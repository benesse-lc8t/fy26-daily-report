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ailbenessecomtw.sharepoint.com/sites/msteams_2f9dd0/Shared Documents/上傳給claude的excel檔/每日集計/"/>
    </mc:Choice>
  </mc:AlternateContent>
  <xr:revisionPtr revIDLastSave="3" documentId="8_{8CC98854-DC0E-4B7C-B70F-9BC7A7BDAE9B}" xr6:coauthVersionLast="47" xr6:coauthVersionMax="47" xr10:uidLastSave="{7AD2D670-06FC-4150-9562-E6B2FBE1948D}"/>
  <bookViews>
    <workbookView xWindow="-120" yWindow="-120" windowWidth="29040" windowHeight="15720" firstSheet="1" activeTab="6" xr2:uid="{716D1B41-6615-43CE-885A-153F21F59930}"/>
  </bookViews>
  <sheets>
    <sheet name="國定假日表" sheetId="1" r:id="rId1"/>
    <sheet name="年度工作天" sheetId="2" r:id="rId2"/>
    <sheet name="管道定義" sheetId="4" r:id="rId3"/>
    <sheet name="2604WEB&amp;KOL" sheetId="3" r:id="rId4"/>
    <sheet name="2604 EC" sheetId="16" r:id="rId5"/>
    <sheet name="2604TM" sheetId="17" r:id="rId6"/>
    <sheet name="2605WEB&amp;KOL" sheetId="18" r:id="rId7"/>
    <sheet name="2605EC" sheetId="19" r:id="rId8"/>
    <sheet name="2605TM" sheetId="5" r:id="rId9"/>
    <sheet name="2606" sheetId="6" r:id="rId10"/>
    <sheet name="2607" sheetId="7" r:id="rId11"/>
    <sheet name="2608" sheetId="8" r:id="rId12"/>
    <sheet name="2609" sheetId="9" r:id="rId13"/>
    <sheet name="2610" sheetId="10" r:id="rId14"/>
    <sheet name="2611" sheetId="11" r:id="rId15"/>
    <sheet name="2612" sheetId="12" r:id="rId16"/>
    <sheet name="2701" sheetId="13" r:id="rId17"/>
    <sheet name="2702" sheetId="14" r:id="rId18"/>
    <sheet name="2703" sheetId="15" r:id="rId19"/>
  </sheets>
  <externalReferences>
    <externalReference r:id="rId20"/>
  </externalReferences>
  <definedNames>
    <definedName name="_xlnm._FilterDatabase" localSheetId="4" hidden="1">'2604 EC'!#REF!</definedName>
    <definedName name="_xlnm._FilterDatabase" localSheetId="5" hidden="1">'2604TM'!#REF!</definedName>
    <definedName name="_xlnm._FilterDatabase" localSheetId="3" hidden="1">'2604WEB&amp;KOL'!$A$1:$G$492</definedName>
  </definedNames>
  <calcPr calcId="191029"/>
  <pivotCaches>
    <pivotCache cacheId="0" r:id="rId21"/>
    <pivotCache cacheId="1" r:id="rId22"/>
    <pivotCache cacheId="7" r:id="rId23"/>
    <pivotCache cacheId="14" r:id="rId24"/>
    <pivotCache cacheId="23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9" l="1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72" i="19"/>
  <c r="A373" i="19"/>
  <c r="A374" i="19"/>
  <c r="A375" i="19"/>
  <c r="A376" i="19"/>
  <c r="A377" i="19"/>
  <c r="A378" i="19"/>
  <c r="A379" i="19"/>
  <c r="A380" i="19"/>
  <c r="A381" i="19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396" i="19"/>
  <c r="A397" i="19"/>
  <c r="A398" i="19"/>
  <c r="A399" i="19"/>
  <c r="A400" i="19"/>
  <c r="A401" i="19"/>
  <c r="A402" i="19"/>
  <c r="A403" i="19"/>
  <c r="A404" i="19"/>
  <c r="A405" i="19"/>
  <c r="A406" i="19"/>
  <c r="A407" i="19"/>
  <c r="A408" i="19"/>
  <c r="A409" i="19"/>
  <c r="A410" i="19"/>
  <c r="A411" i="19"/>
  <c r="A412" i="19"/>
  <c r="A413" i="19"/>
  <c r="A414" i="19"/>
  <c r="A415" i="19"/>
  <c r="A416" i="19"/>
  <c r="A417" i="19"/>
  <c r="A418" i="19"/>
  <c r="A419" i="19"/>
  <c r="A420" i="19"/>
  <c r="A421" i="19"/>
  <c r="A422" i="19"/>
  <c r="A423" i="19"/>
  <c r="A424" i="19"/>
  <c r="A425" i="19"/>
  <c r="A426" i="19"/>
  <c r="A427" i="19"/>
  <c r="A428" i="19"/>
  <c r="A429" i="19"/>
  <c r="A430" i="19"/>
  <c r="A431" i="19"/>
  <c r="A432" i="19"/>
  <c r="A433" i="19"/>
  <c r="A434" i="19"/>
  <c r="A435" i="19"/>
  <c r="A436" i="19"/>
  <c r="A437" i="19"/>
  <c r="A438" i="19"/>
  <c r="A439" i="19"/>
  <c r="A440" i="19"/>
  <c r="A441" i="19"/>
  <c r="A442" i="19"/>
  <c r="A443" i="19"/>
  <c r="A444" i="19"/>
  <c r="A445" i="19"/>
  <c r="A446" i="19"/>
  <c r="A447" i="19"/>
  <c r="A448" i="19"/>
  <c r="A449" i="19"/>
  <c r="A450" i="19"/>
  <c r="A451" i="19"/>
  <c r="A452" i="19"/>
  <c r="A453" i="19"/>
  <c r="A454" i="19"/>
  <c r="A455" i="19"/>
  <c r="A456" i="19"/>
  <c r="A457" i="19"/>
  <c r="A458" i="19"/>
  <c r="A459" i="19"/>
  <c r="A460" i="19"/>
  <c r="A461" i="19"/>
  <c r="A462" i="19"/>
  <c r="A463" i="19"/>
  <c r="A464" i="19"/>
  <c r="A465" i="19"/>
  <c r="A466" i="19"/>
  <c r="A467" i="19"/>
  <c r="A468" i="19"/>
  <c r="A469" i="19"/>
  <c r="A470" i="19"/>
  <c r="A471" i="19"/>
  <c r="A472" i="19"/>
  <c r="A473" i="19"/>
  <c r="A474" i="19"/>
  <c r="A475" i="19"/>
  <c r="A476" i="19"/>
  <c r="A477" i="19"/>
  <c r="A478" i="19"/>
  <c r="A479" i="19"/>
  <c r="A480" i="19"/>
  <c r="A481" i="19"/>
  <c r="A482" i="19"/>
  <c r="A483" i="19"/>
  <c r="A484" i="19"/>
  <c r="A485" i="19"/>
  <c r="A486" i="19"/>
  <c r="A487" i="19"/>
  <c r="A488" i="19"/>
  <c r="A489" i="19"/>
  <c r="A490" i="19"/>
  <c r="A491" i="19"/>
  <c r="A492" i="19"/>
  <c r="A493" i="19"/>
  <c r="A494" i="19"/>
  <c r="A4" i="19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G5" i="5" l="1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G153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173" i="5"/>
  <c r="H173" i="5"/>
  <c r="G174" i="5"/>
  <c r="H174" i="5"/>
  <c r="G175" i="5"/>
  <c r="H175" i="5"/>
  <c r="G176" i="5"/>
  <c r="H176" i="5"/>
  <c r="G177" i="5"/>
  <c r="H177" i="5"/>
  <c r="G178" i="5"/>
  <c r="H178" i="5"/>
  <c r="G179" i="5"/>
  <c r="H179" i="5"/>
  <c r="G180" i="5"/>
  <c r="H180" i="5"/>
  <c r="G181" i="5"/>
  <c r="H181" i="5"/>
  <c r="G182" i="5"/>
  <c r="H182" i="5"/>
  <c r="G183" i="5"/>
  <c r="H183" i="5"/>
  <c r="G184" i="5"/>
  <c r="H184" i="5"/>
  <c r="G185" i="5"/>
  <c r="H185" i="5"/>
  <c r="G186" i="5"/>
  <c r="H186" i="5"/>
  <c r="G187" i="5"/>
  <c r="H187" i="5"/>
  <c r="G188" i="5"/>
  <c r="H188" i="5"/>
  <c r="G189" i="5"/>
  <c r="H189" i="5"/>
  <c r="G190" i="5"/>
  <c r="H190" i="5"/>
  <c r="G191" i="5"/>
  <c r="H191" i="5"/>
  <c r="G192" i="5"/>
  <c r="H192" i="5"/>
  <c r="G193" i="5"/>
  <c r="H193" i="5"/>
  <c r="G194" i="5"/>
  <c r="H194" i="5"/>
  <c r="G195" i="5"/>
  <c r="H195" i="5"/>
  <c r="G196" i="5"/>
  <c r="H196" i="5"/>
  <c r="G197" i="5"/>
  <c r="H197" i="5"/>
  <c r="G198" i="5"/>
  <c r="H198" i="5"/>
  <c r="G199" i="5"/>
  <c r="H199" i="5"/>
  <c r="G200" i="5"/>
  <c r="H200" i="5"/>
  <c r="G201" i="5"/>
  <c r="H201" i="5"/>
  <c r="G202" i="5"/>
  <c r="H202" i="5"/>
  <c r="G203" i="5"/>
  <c r="H203" i="5"/>
  <c r="G204" i="5"/>
  <c r="H204" i="5"/>
  <c r="G205" i="5"/>
  <c r="H205" i="5"/>
  <c r="G206" i="5"/>
  <c r="H206" i="5"/>
  <c r="G207" i="5"/>
  <c r="H207" i="5"/>
  <c r="G208" i="5"/>
  <c r="H208" i="5"/>
  <c r="G209" i="5"/>
  <c r="H209" i="5"/>
  <c r="G210" i="5"/>
  <c r="H210" i="5"/>
  <c r="G211" i="5"/>
  <c r="H211" i="5"/>
  <c r="G212" i="5"/>
  <c r="H212" i="5"/>
  <c r="G213" i="5"/>
  <c r="H213" i="5"/>
  <c r="G214" i="5"/>
  <c r="H214" i="5"/>
  <c r="G215" i="5"/>
  <c r="H215" i="5"/>
  <c r="G216" i="5"/>
  <c r="H216" i="5"/>
  <c r="G217" i="5"/>
  <c r="H217" i="5"/>
  <c r="G218" i="5"/>
  <c r="H218" i="5"/>
  <c r="G219" i="5"/>
  <c r="H219" i="5"/>
  <c r="G220" i="5"/>
  <c r="H220" i="5"/>
  <c r="G221" i="5"/>
  <c r="H221" i="5"/>
  <c r="G222" i="5"/>
  <c r="H222" i="5"/>
  <c r="G223" i="5"/>
  <c r="H223" i="5"/>
  <c r="G224" i="5"/>
  <c r="H224" i="5"/>
  <c r="G225" i="5"/>
  <c r="H225" i="5"/>
  <c r="G226" i="5"/>
  <c r="H226" i="5"/>
  <c r="G227" i="5"/>
  <c r="H227" i="5"/>
  <c r="G228" i="5"/>
  <c r="H228" i="5"/>
  <c r="G229" i="5"/>
  <c r="H229" i="5"/>
  <c r="G230" i="5"/>
  <c r="H230" i="5"/>
  <c r="G231" i="5"/>
  <c r="H231" i="5"/>
  <c r="G232" i="5"/>
  <c r="H232" i="5"/>
  <c r="G233" i="5"/>
  <c r="H233" i="5"/>
  <c r="G234" i="5"/>
  <c r="H234" i="5"/>
  <c r="G235" i="5"/>
  <c r="H235" i="5"/>
  <c r="G236" i="5"/>
  <c r="H236" i="5"/>
  <c r="G237" i="5"/>
  <c r="H237" i="5"/>
  <c r="G238" i="5"/>
  <c r="H238" i="5"/>
  <c r="G239" i="5"/>
  <c r="H239" i="5"/>
  <c r="G240" i="5"/>
  <c r="H240" i="5"/>
  <c r="G241" i="5"/>
  <c r="H241" i="5"/>
  <c r="G242" i="5"/>
  <c r="H242" i="5"/>
  <c r="G243" i="5"/>
  <c r="H243" i="5"/>
  <c r="G244" i="5"/>
  <c r="H244" i="5"/>
  <c r="G245" i="5"/>
  <c r="H245" i="5"/>
  <c r="G246" i="5"/>
  <c r="H246" i="5"/>
  <c r="G247" i="5"/>
  <c r="H247" i="5"/>
  <c r="G248" i="5"/>
  <c r="H248" i="5"/>
  <c r="G249" i="5"/>
  <c r="H249" i="5"/>
  <c r="G250" i="5"/>
  <c r="H250" i="5"/>
  <c r="G251" i="5"/>
  <c r="H251" i="5"/>
  <c r="G252" i="5"/>
  <c r="H252" i="5"/>
  <c r="G253" i="5"/>
  <c r="H253" i="5"/>
  <c r="G254" i="5"/>
  <c r="H254" i="5"/>
  <c r="G255" i="5"/>
  <c r="H255" i="5"/>
  <c r="G256" i="5"/>
  <c r="H256" i="5"/>
  <c r="G257" i="5"/>
  <c r="H257" i="5"/>
  <c r="G258" i="5"/>
  <c r="H258" i="5"/>
  <c r="G259" i="5"/>
  <c r="H259" i="5"/>
  <c r="G260" i="5"/>
  <c r="H260" i="5"/>
  <c r="G261" i="5"/>
  <c r="H261" i="5"/>
  <c r="G262" i="5"/>
  <c r="H262" i="5"/>
  <c r="G263" i="5"/>
  <c r="H263" i="5"/>
  <c r="G264" i="5"/>
  <c r="H264" i="5"/>
  <c r="G265" i="5"/>
  <c r="H265" i="5"/>
  <c r="G266" i="5"/>
  <c r="H266" i="5"/>
  <c r="G267" i="5"/>
  <c r="H267" i="5"/>
  <c r="G268" i="5"/>
  <c r="H268" i="5"/>
  <c r="G269" i="5"/>
  <c r="H269" i="5"/>
  <c r="G270" i="5"/>
  <c r="H270" i="5"/>
  <c r="G271" i="5"/>
  <c r="H271" i="5"/>
  <c r="G272" i="5"/>
  <c r="H272" i="5"/>
  <c r="G273" i="5"/>
  <c r="H273" i="5"/>
  <c r="G274" i="5"/>
  <c r="H274" i="5"/>
  <c r="G275" i="5"/>
  <c r="H275" i="5"/>
  <c r="G276" i="5"/>
  <c r="H276" i="5"/>
  <c r="G277" i="5"/>
  <c r="H277" i="5"/>
  <c r="G278" i="5"/>
  <c r="H278" i="5"/>
  <c r="G279" i="5"/>
  <c r="H279" i="5"/>
  <c r="G280" i="5"/>
  <c r="H280" i="5"/>
  <c r="G281" i="5"/>
  <c r="H281" i="5"/>
  <c r="G282" i="5"/>
  <c r="H282" i="5"/>
  <c r="G283" i="5"/>
  <c r="H283" i="5"/>
  <c r="G284" i="5"/>
  <c r="H284" i="5"/>
  <c r="G285" i="5"/>
  <c r="H285" i="5"/>
  <c r="G286" i="5"/>
  <c r="H286" i="5"/>
  <c r="G287" i="5"/>
  <c r="H287" i="5"/>
  <c r="G288" i="5"/>
  <c r="H288" i="5"/>
  <c r="G289" i="5"/>
  <c r="H289" i="5"/>
  <c r="G290" i="5"/>
  <c r="H290" i="5"/>
  <c r="G291" i="5"/>
  <c r="H291" i="5"/>
  <c r="G292" i="5"/>
  <c r="H292" i="5"/>
  <c r="G293" i="5"/>
  <c r="H293" i="5"/>
  <c r="G294" i="5"/>
  <c r="H294" i="5"/>
  <c r="G295" i="5"/>
  <c r="H295" i="5"/>
  <c r="G296" i="5"/>
  <c r="H296" i="5"/>
  <c r="G297" i="5"/>
  <c r="H297" i="5"/>
  <c r="G298" i="5"/>
  <c r="H298" i="5"/>
  <c r="G299" i="5"/>
  <c r="H299" i="5"/>
  <c r="G300" i="5"/>
  <c r="H300" i="5"/>
  <c r="G301" i="5"/>
  <c r="H301" i="5"/>
  <c r="G302" i="5"/>
  <c r="H302" i="5"/>
  <c r="G303" i="5"/>
  <c r="H303" i="5"/>
  <c r="G304" i="5"/>
  <c r="H304" i="5"/>
  <c r="G305" i="5"/>
  <c r="H305" i="5"/>
  <c r="G306" i="5"/>
  <c r="H306" i="5"/>
  <c r="G307" i="5"/>
  <c r="H307" i="5"/>
  <c r="G308" i="5"/>
  <c r="H308" i="5"/>
  <c r="G309" i="5"/>
  <c r="H309" i="5"/>
  <c r="G310" i="5"/>
  <c r="H310" i="5"/>
  <c r="G311" i="5"/>
  <c r="H311" i="5"/>
  <c r="G312" i="5"/>
  <c r="H312" i="5"/>
  <c r="G313" i="5"/>
  <c r="H313" i="5"/>
  <c r="G314" i="5"/>
  <c r="H314" i="5"/>
  <c r="G315" i="5"/>
  <c r="H315" i="5"/>
  <c r="G316" i="5"/>
  <c r="H316" i="5"/>
  <c r="G317" i="5"/>
  <c r="H317" i="5"/>
  <c r="G318" i="5"/>
  <c r="H318" i="5"/>
  <c r="G319" i="5"/>
  <c r="H319" i="5"/>
  <c r="G320" i="5"/>
  <c r="H320" i="5"/>
  <c r="G321" i="5"/>
  <c r="H321" i="5"/>
  <c r="G322" i="5"/>
  <c r="H322" i="5"/>
  <c r="G323" i="5"/>
  <c r="H323" i="5"/>
  <c r="G324" i="5"/>
  <c r="H324" i="5"/>
  <c r="G325" i="5"/>
  <c r="H325" i="5"/>
  <c r="G326" i="5"/>
  <c r="H326" i="5"/>
  <c r="G327" i="5"/>
  <c r="H327" i="5"/>
  <c r="G328" i="5"/>
  <c r="H328" i="5"/>
  <c r="G329" i="5"/>
  <c r="H329" i="5"/>
  <c r="G330" i="5"/>
  <c r="H330" i="5"/>
  <c r="G331" i="5"/>
  <c r="H331" i="5"/>
  <c r="G332" i="5"/>
  <c r="H332" i="5"/>
  <c r="G333" i="5"/>
  <c r="H333" i="5"/>
  <c r="G334" i="5"/>
  <c r="H334" i="5"/>
  <c r="G335" i="5"/>
  <c r="H335" i="5"/>
  <c r="G336" i="5"/>
  <c r="H336" i="5"/>
  <c r="G337" i="5"/>
  <c r="H337" i="5"/>
  <c r="G338" i="5"/>
  <c r="H338" i="5"/>
  <c r="G339" i="5"/>
  <c r="H339" i="5"/>
  <c r="G340" i="5"/>
  <c r="H340" i="5"/>
  <c r="G341" i="5"/>
  <c r="H341" i="5"/>
  <c r="G342" i="5"/>
  <c r="H342" i="5"/>
  <c r="G343" i="5"/>
  <c r="H343" i="5"/>
  <c r="G344" i="5"/>
  <c r="H344" i="5"/>
  <c r="G345" i="5"/>
  <c r="H345" i="5"/>
  <c r="G346" i="5"/>
  <c r="H346" i="5"/>
  <c r="G347" i="5"/>
  <c r="H347" i="5"/>
  <c r="G348" i="5"/>
  <c r="H348" i="5"/>
  <c r="G349" i="5"/>
  <c r="H349" i="5"/>
  <c r="G350" i="5"/>
  <c r="H350" i="5"/>
  <c r="G351" i="5"/>
  <c r="H351" i="5"/>
  <c r="G352" i="5"/>
  <c r="H352" i="5"/>
  <c r="G353" i="5"/>
  <c r="H353" i="5"/>
  <c r="G354" i="5"/>
  <c r="H354" i="5"/>
  <c r="G355" i="5"/>
  <c r="H355" i="5"/>
  <c r="G356" i="5"/>
  <c r="H356" i="5"/>
  <c r="G357" i="5"/>
  <c r="H357" i="5"/>
  <c r="G358" i="5"/>
  <c r="H358" i="5"/>
  <c r="G359" i="5"/>
  <c r="H359" i="5"/>
  <c r="G360" i="5"/>
  <c r="H360" i="5"/>
  <c r="G361" i="5"/>
  <c r="H361" i="5"/>
  <c r="G362" i="5"/>
  <c r="H362" i="5"/>
  <c r="G363" i="5"/>
  <c r="H363" i="5"/>
  <c r="G364" i="5"/>
  <c r="H364" i="5"/>
  <c r="G365" i="5"/>
  <c r="H365" i="5"/>
  <c r="G366" i="5"/>
  <c r="H366" i="5"/>
  <c r="G367" i="5"/>
  <c r="H367" i="5"/>
  <c r="G368" i="5"/>
  <c r="H368" i="5"/>
  <c r="G369" i="5"/>
  <c r="H369" i="5"/>
  <c r="G370" i="5"/>
  <c r="H370" i="5"/>
  <c r="G371" i="5"/>
  <c r="H371" i="5"/>
  <c r="G372" i="5"/>
  <c r="H372" i="5"/>
  <c r="G373" i="5"/>
  <c r="H373" i="5"/>
  <c r="G374" i="5"/>
  <c r="H374" i="5"/>
  <c r="G375" i="5"/>
  <c r="H375" i="5"/>
  <c r="G376" i="5"/>
  <c r="H376" i="5"/>
  <c r="G377" i="5"/>
  <c r="H377" i="5"/>
  <c r="G378" i="5"/>
  <c r="H378" i="5"/>
  <c r="G379" i="5"/>
  <c r="H379" i="5"/>
  <c r="G380" i="5"/>
  <c r="H380" i="5"/>
  <c r="G381" i="5"/>
  <c r="H381" i="5"/>
  <c r="G382" i="5"/>
  <c r="H382" i="5"/>
  <c r="G383" i="5"/>
  <c r="H383" i="5"/>
  <c r="G384" i="5"/>
  <c r="H384" i="5"/>
  <c r="G385" i="5"/>
  <c r="H385" i="5"/>
  <c r="G386" i="5"/>
  <c r="H386" i="5"/>
  <c r="G387" i="5"/>
  <c r="H387" i="5"/>
  <c r="G388" i="5"/>
  <c r="H388" i="5"/>
  <c r="G389" i="5"/>
  <c r="H389" i="5"/>
  <c r="G390" i="5"/>
  <c r="H390" i="5"/>
  <c r="G391" i="5"/>
  <c r="H391" i="5"/>
  <c r="G392" i="5"/>
  <c r="H392" i="5"/>
  <c r="G393" i="5"/>
  <c r="H393" i="5"/>
  <c r="G394" i="5"/>
  <c r="H394" i="5"/>
  <c r="G395" i="5"/>
  <c r="H395" i="5"/>
  <c r="G396" i="5"/>
  <c r="H396" i="5"/>
  <c r="G397" i="5"/>
  <c r="H397" i="5"/>
  <c r="G398" i="5"/>
  <c r="H398" i="5"/>
  <c r="G399" i="5"/>
  <c r="H399" i="5"/>
  <c r="G400" i="5"/>
  <c r="H400" i="5"/>
  <c r="G401" i="5"/>
  <c r="H401" i="5"/>
  <c r="G402" i="5"/>
  <c r="H402" i="5"/>
  <c r="G403" i="5"/>
  <c r="H403" i="5"/>
  <c r="G404" i="5"/>
  <c r="H404" i="5"/>
  <c r="G405" i="5"/>
  <c r="H405" i="5"/>
  <c r="G406" i="5"/>
  <c r="H406" i="5"/>
  <c r="G407" i="5"/>
  <c r="H407" i="5"/>
  <c r="G408" i="5"/>
  <c r="H408" i="5"/>
  <c r="G409" i="5"/>
  <c r="H409" i="5"/>
  <c r="G410" i="5"/>
  <c r="H410" i="5"/>
  <c r="G411" i="5"/>
  <c r="H411" i="5"/>
  <c r="G412" i="5"/>
  <c r="H412" i="5"/>
  <c r="G413" i="5"/>
  <c r="H413" i="5"/>
  <c r="G414" i="5"/>
  <c r="H414" i="5"/>
  <c r="G415" i="5"/>
  <c r="H415" i="5"/>
  <c r="G416" i="5"/>
  <c r="H416" i="5"/>
  <c r="G417" i="5"/>
  <c r="H417" i="5"/>
  <c r="G418" i="5"/>
  <c r="H418" i="5"/>
  <c r="G419" i="5"/>
  <c r="H419" i="5"/>
  <c r="G420" i="5"/>
  <c r="H420" i="5"/>
  <c r="G421" i="5"/>
  <c r="H421" i="5"/>
  <c r="G422" i="5"/>
  <c r="H422" i="5"/>
  <c r="G423" i="5"/>
  <c r="H423" i="5"/>
  <c r="G424" i="5"/>
  <c r="H424" i="5"/>
  <c r="G425" i="5"/>
  <c r="H425" i="5"/>
  <c r="G426" i="5"/>
  <c r="H426" i="5"/>
  <c r="G427" i="5"/>
  <c r="H427" i="5"/>
  <c r="G428" i="5"/>
  <c r="H428" i="5"/>
  <c r="G429" i="5"/>
  <c r="H429" i="5"/>
  <c r="G430" i="5"/>
  <c r="H430" i="5"/>
  <c r="G431" i="5"/>
  <c r="H431" i="5"/>
  <c r="G432" i="5"/>
  <c r="H432" i="5"/>
  <c r="G433" i="5"/>
  <c r="H433" i="5"/>
  <c r="G434" i="5"/>
  <c r="H434" i="5"/>
  <c r="G435" i="5"/>
  <c r="H435" i="5"/>
  <c r="G436" i="5"/>
  <c r="H436" i="5"/>
  <c r="G437" i="5"/>
  <c r="H437" i="5"/>
  <c r="G438" i="5"/>
  <c r="H438" i="5"/>
  <c r="G439" i="5"/>
  <c r="H439" i="5"/>
  <c r="G440" i="5"/>
  <c r="H440" i="5"/>
  <c r="G441" i="5"/>
  <c r="H441" i="5"/>
  <c r="G442" i="5"/>
  <c r="H442" i="5"/>
  <c r="G443" i="5"/>
  <c r="H443" i="5"/>
  <c r="G444" i="5"/>
  <c r="H444" i="5"/>
  <c r="G445" i="5"/>
  <c r="H445" i="5"/>
  <c r="G446" i="5"/>
  <c r="H446" i="5"/>
  <c r="G447" i="5"/>
  <c r="H447" i="5"/>
  <c r="G448" i="5"/>
  <c r="H448" i="5"/>
  <c r="G449" i="5"/>
  <c r="H449" i="5"/>
  <c r="G450" i="5"/>
  <c r="H450" i="5"/>
  <c r="G451" i="5"/>
  <c r="H451" i="5"/>
  <c r="G452" i="5"/>
  <c r="H452" i="5"/>
  <c r="G453" i="5"/>
  <c r="H453" i="5"/>
  <c r="G454" i="5"/>
  <c r="H454" i="5"/>
  <c r="G455" i="5"/>
  <c r="H455" i="5"/>
  <c r="G456" i="5"/>
  <c r="H456" i="5"/>
  <c r="G457" i="5"/>
  <c r="H457" i="5"/>
  <c r="G458" i="5"/>
  <c r="H458" i="5"/>
  <c r="G459" i="5"/>
  <c r="H459" i="5"/>
  <c r="G460" i="5"/>
  <c r="H460" i="5"/>
  <c r="G461" i="5"/>
  <c r="H461" i="5"/>
  <c r="G462" i="5"/>
  <c r="H462" i="5"/>
  <c r="G463" i="5"/>
  <c r="H463" i="5"/>
  <c r="G464" i="5"/>
  <c r="H464" i="5"/>
  <c r="G465" i="5"/>
  <c r="H465" i="5"/>
  <c r="G466" i="5"/>
  <c r="H466" i="5"/>
  <c r="G467" i="5"/>
  <c r="H467" i="5"/>
  <c r="G468" i="5"/>
  <c r="H468" i="5"/>
  <c r="G469" i="5"/>
  <c r="H469" i="5"/>
  <c r="G470" i="5"/>
  <c r="H470" i="5"/>
  <c r="G471" i="5"/>
  <c r="H471" i="5"/>
  <c r="G472" i="5"/>
  <c r="H472" i="5"/>
  <c r="G473" i="5"/>
  <c r="H473" i="5"/>
  <c r="G474" i="5"/>
  <c r="H474" i="5"/>
  <c r="G475" i="5"/>
  <c r="H475" i="5"/>
  <c r="G476" i="5"/>
  <c r="H476" i="5"/>
  <c r="G477" i="5"/>
  <c r="H477" i="5"/>
  <c r="G478" i="5"/>
  <c r="H478" i="5"/>
  <c r="G479" i="5"/>
  <c r="H479" i="5"/>
  <c r="G480" i="5"/>
  <c r="H480" i="5"/>
  <c r="G481" i="5"/>
  <c r="H481" i="5"/>
  <c r="G482" i="5"/>
  <c r="H482" i="5"/>
  <c r="G483" i="5"/>
  <c r="H483" i="5"/>
  <c r="G484" i="5"/>
  <c r="H484" i="5"/>
  <c r="G485" i="5"/>
  <c r="H485" i="5"/>
  <c r="G486" i="5"/>
  <c r="H486" i="5"/>
  <c r="G487" i="5"/>
  <c r="H487" i="5"/>
  <c r="G488" i="5"/>
  <c r="H488" i="5"/>
  <c r="G489" i="5"/>
  <c r="H489" i="5"/>
  <c r="G490" i="5"/>
  <c r="H490" i="5"/>
  <c r="G491" i="5"/>
  <c r="H491" i="5"/>
  <c r="G492" i="5"/>
  <c r="H492" i="5"/>
  <c r="G493" i="5"/>
  <c r="H493" i="5"/>
  <c r="G494" i="5"/>
  <c r="H494" i="5"/>
  <c r="G495" i="5"/>
  <c r="H495" i="5"/>
  <c r="G496" i="5"/>
  <c r="H496" i="5"/>
  <c r="G497" i="5"/>
  <c r="H497" i="5"/>
  <c r="G498" i="5"/>
  <c r="H498" i="5"/>
  <c r="G499" i="5"/>
  <c r="H499" i="5"/>
  <c r="G500" i="5"/>
  <c r="H500" i="5"/>
  <c r="G501" i="5"/>
  <c r="H501" i="5"/>
  <c r="G502" i="5"/>
  <c r="H502" i="5"/>
  <c r="G503" i="5"/>
  <c r="H503" i="5"/>
  <c r="G504" i="5"/>
  <c r="H504" i="5"/>
  <c r="G505" i="5"/>
  <c r="H505" i="5"/>
  <c r="G506" i="5"/>
  <c r="H506" i="5"/>
  <c r="G507" i="5"/>
  <c r="H507" i="5"/>
  <c r="G508" i="5"/>
  <c r="H508" i="5"/>
  <c r="G509" i="5"/>
  <c r="H509" i="5"/>
  <c r="G510" i="5"/>
  <c r="H510" i="5"/>
  <c r="G511" i="5"/>
  <c r="H511" i="5"/>
  <c r="G512" i="5"/>
  <c r="H512" i="5"/>
  <c r="G513" i="5"/>
  <c r="H513" i="5"/>
  <c r="G514" i="5"/>
  <c r="H514" i="5"/>
  <c r="G515" i="5"/>
  <c r="H515" i="5"/>
  <c r="G516" i="5"/>
  <c r="H516" i="5"/>
  <c r="G517" i="5"/>
  <c r="H517" i="5"/>
  <c r="G518" i="5"/>
  <c r="H518" i="5"/>
  <c r="G519" i="5"/>
  <c r="H519" i="5"/>
  <c r="G520" i="5"/>
  <c r="H520" i="5"/>
  <c r="G521" i="5"/>
  <c r="H521" i="5"/>
  <c r="G522" i="5"/>
  <c r="H522" i="5"/>
  <c r="G523" i="5"/>
  <c r="H523" i="5"/>
  <c r="G524" i="5"/>
  <c r="H524" i="5"/>
  <c r="G525" i="5"/>
  <c r="H525" i="5"/>
  <c r="G526" i="5"/>
  <c r="H526" i="5"/>
  <c r="G527" i="5"/>
  <c r="H527" i="5"/>
  <c r="G528" i="5"/>
  <c r="H528" i="5"/>
  <c r="G529" i="5"/>
  <c r="H529" i="5"/>
  <c r="G530" i="5"/>
  <c r="H530" i="5"/>
  <c r="G531" i="5"/>
  <c r="H531" i="5"/>
  <c r="G532" i="5"/>
  <c r="H532" i="5"/>
  <c r="G533" i="5"/>
  <c r="H533" i="5"/>
  <c r="G534" i="5"/>
  <c r="H534" i="5"/>
  <c r="G535" i="5"/>
  <c r="H535" i="5"/>
  <c r="G536" i="5"/>
  <c r="H536" i="5"/>
  <c r="G537" i="5"/>
  <c r="H537" i="5"/>
  <c r="G538" i="5"/>
  <c r="H538" i="5"/>
  <c r="G539" i="5"/>
  <c r="H539" i="5"/>
  <c r="G540" i="5"/>
  <c r="H540" i="5"/>
  <c r="G541" i="5"/>
  <c r="H541" i="5"/>
  <c r="G542" i="5"/>
  <c r="H542" i="5"/>
  <c r="G543" i="5"/>
  <c r="H543" i="5"/>
  <c r="G544" i="5"/>
  <c r="H544" i="5"/>
  <c r="G545" i="5"/>
  <c r="H545" i="5"/>
  <c r="G546" i="5"/>
  <c r="H546" i="5"/>
  <c r="G547" i="5"/>
  <c r="H547" i="5"/>
  <c r="G548" i="5"/>
  <c r="H548" i="5"/>
  <c r="G549" i="5"/>
  <c r="H549" i="5"/>
  <c r="G550" i="5"/>
  <c r="H550" i="5"/>
  <c r="G551" i="5"/>
  <c r="H551" i="5"/>
  <c r="G552" i="5"/>
  <c r="H552" i="5"/>
  <c r="G553" i="5"/>
  <c r="H553" i="5"/>
  <c r="G554" i="5"/>
  <c r="H554" i="5"/>
  <c r="G555" i="5"/>
  <c r="H555" i="5"/>
  <c r="G556" i="5"/>
  <c r="H556" i="5"/>
  <c r="G557" i="5"/>
  <c r="H557" i="5"/>
  <c r="G558" i="5"/>
  <c r="H558" i="5"/>
  <c r="G559" i="5"/>
  <c r="H559" i="5"/>
  <c r="G560" i="5"/>
  <c r="H560" i="5"/>
  <c r="G561" i="5"/>
  <c r="H561" i="5"/>
  <c r="G562" i="5"/>
  <c r="H562" i="5"/>
  <c r="G563" i="5"/>
  <c r="H563" i="5"/>
  <c r="G564" i="5"/>
  <c r="H564" i="5"/>
  <c r="G565" i="5"/>
  <c r="H565" i="5"/>
  <c r="G566" i="5"/>
  <c r="H566" i="5"/>
  <c r="G567" i="5"/>
  <c r="H567" i="5"/>
  <c r="G568" i="5"/>
  <c r="H568" i="5"/>
  <c r="G569" i="5"/>
  <c r="H569" i="5"/>
  <c r="G570" i="5"/>
  <c r="H570" i="5"/>
  <c r="G571" i="5"/>
  <c r="H571" i="5"/>
  <c r="G572" i="5"/>
  <c r="H572" i="5"/>
  <c r="G573" i="5"/>
  <c r="H573" i="5"/>
  <c r="G574" i="5"/>
  <c r="H574" i="5"/>
  <c r="G575" i="5"/>
  <c r="H575" i="5"/>
  <c r="G576" i="5"/>
  <c r="H576" i="5"/>
  <c r="G577" i="5"/>
  <c r="H577" i="5"/>
  <c r="G578" i="5"/>
  <c r="H578" i="5"/>
  <c r="G579" i="5"/>
  <c r="H579" i="5"/>
  <c r="G580" i="5"/>
  <c r="H580" i="5"/>
  <c r="G581" i="5"/>
  <c r="H581" i="5"/>
  <c r="G582" i="5"/>
  <c r="H582" i="5"/>
  <c r="G583" i="5"/>
  <c r="H583" i="5"/>
  <c r="G584" i="5"/>
  <c r="H584" i="5"/>
  <c r="G585" i="5"/>
  <c r="H585" i="5"/>
  <c r="G586" i="5"/>
  <c r="H586" i="5"/>
  <c r="G587" i="5"/>
  <c r="H587" i="5"/>
  <c r="G588" i="5"/>
  <c r="H588" i="5"/>
  <c r="G589" i="5"/>
  <c r="H589" i="5"/>
  <c r="G590" i="5"/>
  <c r="H590" i="5"/>
  <c r="G591" i="5"/>
  <c r="H591" i="5"/>
  <c r="G592" i="5"/>
  <c r="H592" i="5"/>
  <c r="G593" i="5"/>
  <c r="H593" i="5"/>
  <c r="G594" i="5"/>
  <c r="H594" i="5"/>
  <c r="G595" i="5"/>
  <c r="H595" i="5"/>
  <c r="G596" i="5"/>
  <c r="H596" i="5"/>
  <c r="G597" i="5"/>
  <c r="H597" i="5"/>
  <c r="G598" i="5"/>
  <c r="H598" i="5"/>
  <c r="G599" i="5"/>
  <c r="H599" i="5"/>
  <c r="G600" i="5"/>
  <c r="H600" i="5"/>
  <c r="G601" i="5"/>
  <c r="H601" i="5"/>
  <c r="G602" i="5"/>
  <c r="H602" i="5"/>
  <c r="G603" i="5"/>
  <c r="H603" i="5"/>
  <c r="G604" i="5"/>
  <c r="H604" i="5"/>
  <c r="G605" i="5"/>
  <c r="H605" i="5"/>
  <c r="G606" i="5"/>
  <c r="H606" i="5"/>
  <c r="G607" i="5"/>
  <c r="H607" i="5"/>
  <c r="G608" i="5"/>
  <c r="H608" i="5"/>
  <c r="G609" i="5"/>
  <c r="H609" i="5"/>
  <c r="G610" i="5"/>
  <c r="H610" i="5"/>
  <c r="G611" i="5"/>
  <c r="H611" i="5"/>
  <c r="G612" i="5"/>
  <c r="H612" i="5"/>
  <c r="G613" i="5"/>
  <c r="H613" i="5"/>
  <c r="G614" i="5"/>
  <c r="H614" i="5"/>
  <c r="G615" i="5"/>
  <c r="H615" i="5"/>
  <c r="G616" i="5"/>
  <c r="H616" i="5"/>
  <c r="G617" i="5"/>
  <c r="H617" i="5"/>
  <c r="G618" i="5"/>
  <c r="H618" i="5"/>
  <c r="G619" i="5"/>
  <c r="H619" i="5"/>
  <c r="G620" i="5"/>
  <c r="H620" i="5"/>
  <c r="G621" i="5"/>
  <c r="H621" i="5"/>
  <c r="G622" i="5"/>
  <c r="H622" i="5"/>
  <c r="G623" i="5"/>
  <c r="H623" i="5"/>
  <c r="G624" i="5"/>
  <c r="H624" i="5"/>
  <c r="G625" i="5"/>
  <c r="H625" i="5"/>
  <c r="G626" i="5"/>
  <c r="H626" i="5"/>
  <c r="G627" i="5"/>
  <c r="H627" i="5"/>
  <c r="G628" i="5"/>
  <c r="H628" i="5"/>
  <c r="G629" i="5"/>
  <c r="H629" i="5"/>
  <c r="G630" i="5"/>
  <c r="H630" i="5"/>
  <c r="G631" i="5"/>
  <c r="H631" i="5"/>
  <c r="G632" i="5"/>
  <c r="H632" i="5"/>
  <c r="G633" i="5"/>
  <c r="H633" i="5"/>
  <c r="G634" i="5"/>
  <c r="H634" i="5"/>
  <c r="G635" i="5"/>
  <c r="H635" i="5"/>
  <c r="G636" i="5"/>
  <c r="H636" i="5"/>
  <c r="G637" i="5"/>
  <c r="H637" i="5"/>
  <c r="G638" i="5"/>
  <c r="H638" i="5"/>
  <c r="G639" i="5"/>
  <c r="H639" i="5"/>
  <c r="G640" i="5"/>
  <c r="H640" i="5"/>
  <c r="G641" i="5"/>
  <c r="H641" i="5"/>
  <c r="G642" i="5"/>
  <c r="H642" i="5"/>
  <c r="G643" i="5"/>
  <c r="H643" i="5"/>
  <c r="G644" i="5"/>
  <c r="H644" i="5"/>
  <c r="G645" i="5"/>
  <c r="H645" i="5"/>
  <c r="G646" i="5"/>
  <c r="H646" i="5"/>
  <c r="G647" i="5"/>
  <c r="H647" i="5"/>
  <c r="G648" i="5"/>
  <c r="H648" i="5"/>
  <c r="G649" i="5"/>
  <c r="H649" i="5"/>
  <c r="G650" i="5"/>
  <c r="H650" i="5"/>
  <c r="G651" i="5"/>
  <c r="H651" i="5"/>
  <c r="G652" i="5"/>
  <c r="H652" i="5"/>
  <c r="G653" i="5"/>
  <c r="H653" i="5"/>
  <c r="G654" i="5"/>
  <c r="H654" i="5"/>
  <c r="G655" i="5"/>
  <c r="H655" i="5"/>
  <c r="G656" i="5"/>
  <c r="H656" i="5"/>
  <c r="G657" i="5"/>
  <c r="H657" i="5"/>
  <c r="G658" i="5"/>
  <c r="H658" i="5"/>
  <c r="G659" i="5"/>
  <c r="H659" i="5"/>
  <c r="G660" i="5"/>
  <c r="H660" i="5"/>
  <c r="G661" i="5"/>
  <c r="H661" i="5"/>
  <c r="G662" i="5"/>
  <c r="H662" i="5"/>
  <c r="G663" i="5"/>
  <c r="H663" i="5"/>
  <c r="G664" i="5"/>
  <c r="H664" i="5"/>
  <c r="G665" i="5"/>
  <c r="H665" i="5"/>
  <c r="G666" i="5"/>
  <c r="H666" i="5"/>
  <c r="G667" i="5"/>
  <c r="H667" i="5"/>
  <c r="G668" i="5"/>
  <c r="H668" i="5"/>
  <c r="G669" i="5"/>
  <c r="H669" i="5"/>
  <c r="G670" i="5"/>
  <c r="H670" i="5"/>
  <c r="G671" i="5"/>
  <c r="H671" i="5"/>
  <c r="G672" i="5"/>
  <c r="H672" i="5"/>
  <c r="G673" i="5"/>
  <c r="H673" i="5"/>
  <c r="G674" i="5"/>
  <c r="H674" i="5"/>
  <c r="G675" i="5"/>
  <c r="H675" i="5"/>
  <c r="G676" i="5"/>
  <c r="H676" i="5"/>
  <c r="G677" i="5"/>
  <c r="H677" i="5"/>
  <c r="G678" i="5"/>
  <c r="H678" i="5"/>
  <c r="G679" i="5"/>
  <c r="H679" i="5"/>
  <c r="G680" i="5"/>
  <c r="H680" i="5"/>
  <c r="G681" i="5"/>
  <c r="H681" i="5"/>
  <c r="G682" i="5"/>
  <c r="H682" i="5"/>
  <c r="G683" i="5"/>
  <c r="H683" i="5"/>
  <c r="G684" i="5"/>
  <c r="H684" i="5"/>
  <c r="G685" i="5"/>
  <c r="H685" i="5"/>
  <c r="G686" i="5"/>
  <c r="H686" i="5"/>
  <c r="G687" i="5"/>
  <c r="H687" i="5"/>
  <c r="G688" i="5"/>
  <c r="H688" i="5"/>
  <c r="G689" i="5"/>
  <c r="H689" i="5"/>
  <c r="G690" i="5"/>
  <c r="H690" i="5"/>
  <c r="G691" i="5"/>
  <c r="H691" i="5"/>
  <c r="G692" i="5"/>
  <c r="H692" i="5"/>
  <c r="G693" i="5"/>
  <c r="H693" i="5"/>
  <c r="G694" i="5"/>
  <c r="H694" i="5"/>
  <c r="G695" i="5"/>
  <c r="H695" i="5"/>
  <c r="G696" i="5"/>
  <c r="H696" i="5"/>
  <c r="G697" i="5"/>
  <c r="H697" i="5"/>
  <c r="G698" i="5"/>
  <c r="H698" i="5"/>
  <c r="G699" i="5"/>
  <c r="H699" i="5"/>
  <c r="H4" i="5"/>
  <c r="G4" i="5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8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A1094" i="18"/>
  <c r="A1095" i="18"/>
  <c r="A1096" i="18"/>
  <c r="A1097" i="18"/>
  <c r="A1098" i="18"/>
  <c r="A1099" i="18"/>
  <c r="A1100" i="18"/>
  <c r="A1101" i="18"/>
  <c r="A1102" i="18"/>
  <c r="A1103" i="18"/>
  <c r="A1104" i="18"/>
  <c r="A1105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A1129" i="18"/>
  <c r="A1130" i="18"/>
  <c r="A1131" i="18"/>
  <c r="A1132" i="18"/>
  <c r="A1133" i="18"/>
  <c r="A1134" i="18"/>
  <c r="A1135" i="18"/>
  <c r="A1136" i="18"/>
  <c r="A1137" i="18"/>
  <c r="A1138" i="18"/>
  <c r="A1139" i="18"/>
  <c r="A1140" i="18"/>
  <c r="A1141" i="18"/>
  <c r="A1142" i="18"/>
  <c r="A1143" i="18"/>
  <c r="A1144" i="18"/>
  <c r="A1145" i="18"/>
  <c r="A1146" i="18"/>
  <c r="A1147" i="18"/>
  <c r="A1148" i="18"/>
  <c r="A1149" i="18"/>
  <c r="A1150" i="18"/>
  <c r="A1151" i="18"/>
  <c r="A1152" i="18"/>
  <c r="A1153" i="18"/>
  <c r="A1154" i="18"/>
  <c r="A1155" i="18"/>
  <c r="A1156" i="18"/>
  <c r="A1157" i="18"/>
  <c r="A1158" i="18"/>
  <c r="A1159" i="18"/>
  <c r="A1160" i="18"/>
  <c r="A1161" i="18"/>
  <c r="A1162" i="18"/>
  <c r="A1163" i="18"/>
  <c r="A1164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A1177" i="18"/>
  <c r="A1178" i="18"/>
  <c r="A1179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91" i="18"/>
  <c r="A1192" i="18"/>
  <c r="A1193" i="18"/>
  <c r="A1194" i="18"/>
  <c r="A1195" i="18"/>
  <c r="A1196" i="18"/>
  <c r="A1197" i="18"/>
  <c r="A1198" i="18"/>
  <c r="A1199" i="18"/>
  <c r="A1200" i="18"/>
  <c r="A1201" i="18"/>
  <c r="A1202" i="18"/>
  <c r="A1203" i="18"/>
  <c r="A1204" i="18"/>
  <c r="A1205" i="18"/>
  <c r="A1206" i="18"/>
  <c r="A1207" i="18"/>
  <c r="A1208" i="18"/>
  <c r="A1209" i="18"/>
  <c r="A1210" i="18"/>
  <c r="A1211" i="18"/>
  <c r="A1212" i="18"/>
  <c r="A1213" i="18"/>
  <c r="A1214" i="18"/>
  <c r="A1215" i="18"/>
  <c r="A1216" i="18"/>
  <c r="A1217" i="18"/>
  <c r="A1218" i="18"/>
  <c r="A1219" i="18"/>
  <c r="A1220" i="18"/>
  <c r="A1221" i="18"/>
  <c r="A1222" i="18"/>
  <c r="A1223" i="18"/>
  <c r="A1224" i="18"/>
  <c r="A1225" i="18"/>
  <c r="A1226" i="18"/>
  <c r="A1227" i="18"/>
  <c r="A1228" i="18"/>
  <c r="A1229" i="18"/>
  <c r="A1230" i="18"/>
  <c r="A1231" i="18"/>
  <c r="A1232" i="18"/>
  <c r="A1233" i="18"/>
  <c r="A1234" i="18"/>
  <c r="A1235" i="18"/>
  <c r="A1236" i="18"/>
  <c r="A1237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A1251" i="18"/>
  <c r="A1252" i="18"/>
  <c r="A1253" i="18"/>
  <c r="A1254" i="18"/>
  <c r="A1255" i="18"/>
  <c r="A1256" i="18"/>
  <c r="A1257" i="18"/>
  <c r="A1258" i="18"/>
  <c r="A1259" i="18"/>
  <c r="A1260" i="18"/>
  <c r="A1261" i="18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A1275" i="18"/>
  <c r="A1276" i="18"/>
  <c r="A1277" i="18"/>
  <c r="A1278" i="18"/>
  <c r="A1279" i="18"/>
  <c r="A1280" i="18"/>
  <c r="A1281" i="18"/>
  <c r="A1282" i="18"/>
  <c r="A1283" i="18"/>
  <c r="A1284" i="18"/>
  <c r="A1285" i="18"/>
  <c r="A1286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A1323" i="18"/>
  <c r="A1324" i="18"/>
  <c r="A1325" i="18"/>
  <c r="A1326" i="18"/>
  <c r="A1327" i="18"/>
  <c r="A1328" i="18"/>
  <c r="A1329" i="18"/>
  <c r="A1330" i="18"/>
  <c r="A1331" i="18"/>
  <c r="A1332" i="18"/>
  <c r="A1333" i="18"/>
  <c r="A1334" i="18"/>
  <c r="A1335" i="18"/>
  <c r="A1336" i="18"/>
  <c r="A1337" i="18"/>
  <c r="A1338" i="18"/>
  <c r="A1339" i="18"/>
  <c r="A1340" i="18"/>
  <c r="A1341" i="18"/>
  <c r="A1342" i="18"/>
  <c r="A1343" i="18"/>
  <c r="A1344" i="18"/>
  <c r="A1345" i="18"/>
  <c r="A1346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71" i="18"/>
  <c r="A1372" i="18"/>
  <c r="A1373" i="18"/>
  <c r="A1374" i="18"/>
  <c r="A1375" i="18"/>
  <c r="A1376" i="18"/>
  <c r="A1377" i="18"/>
  <c r="A1378" i="18"/>
  <c r="A1379" i="18"/>
  <c r="A1380" i="18"/>
  <c r="A1381" i="18"/>
  <c r="A1382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A1419" i="18"/>
  <c r="A1420" i="18"/>
  <c r="A1421" i="18"/>
  <c r="A1422" i="18"/>
  <c r="A1423" i="18"/>
  <c r="A1424" i="18"/>
  <c r="A1425" i="18"/>
  <c r="A1426" i="18"/>
  <c r="A1427" i="18"/>
  <c r="A1428" i="18"/>
  <c r="A1429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A1455" i="18"/>
  <c r="A1456" i="18"/>
  <c r="A1457" i="18"/>
  <c r="A1458" i="18"/>
  <c r="A1459" i="18"/>
  <c r="A1460" i="18"/>
  <c r="A1461" i="18"/>
  <c r="A1462" i="18"/>
  <c r="A1463" i="18"/>
  <c r="A1464" i="18"/>
  <c r="A1465" i="18"/>
  <c r="A1466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A1479" i="18"/>
  <c r="A1480" i="18"/>
  <c r="A1481" i="18"/>
  <c r="A1482" i="18"/>
  <c r="A1483" i="18"/>
  <c r="A1484" i="18"/>
  <c r="A1485" i="18"/>
  <c r="A1486" i="18"/>
  <c r="A1487" i="18"/>
  <c r="A1488" i="18"/>
  <c r="A1489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503" i="18"/>
  <c r="A1504" i="18"/>
  <c r="A1505" i="18"/>
  <c r="A1506" i="18"/>
  <c r="A1507" i="18"/>
  <c r="A1508" i="18"/>
  <c r="A1509" i="18"/>
  <c r="A1510" i="18"/>
  <c r="A1511" i="18"/>
  <c r="A1512" i="18"/>
  <c r="A1513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A1574" i="18"/>
  <c r="A1575" i="18"/>
  <c r="A157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A1589" i="18"/>
  <c r="A1590" i="18"/>
  <c r="A1591" i="18"/>
  <c r="A1592" i="18"/>
  <c r="A1593" i="18"/>
  <c r="A1594" i="18"/>
  <c r="A1595" i="18"/>
  <c r="A1596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A1635" i="18"/>
  <c r="A1636" i="18"/>
  <c r="A1637" i="18"/>
  <c r="A1638" i="18"/>
  <c r="A1639" i="18"/>
  <c r="A1640" i="18"/>
  <c r="A1641" i="18"/>
  <c r="A1642" i="18"/>
  <c r="A1643" i="18"/>
  <c r="A1644" i="18"/>
  <c r="A1645" i="18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A1659" i="18"/>
  <c r="A1660" i="18"/>
  <c r="A1661" i="18"/>
  <c r="A1662" i="18"/>
  <c r="A1663" i="18"/>
  <c r="A1664" i="18"/>
  <c r="A1665" i="18"/>
  <c r="A1666" i="18"/>
  <c r="A1667" i="18"/>
  <c r="A1668" i="18"/>
  <c r="A1669" i="18"/>
  <c r="A1670" i="18"/>
  <c r="A1671" i="18"/>
  <c r="A1672" i="18"/>
  <c r="A1673" i="18"/>
  <c r="A1674" i="18"/>
  <c r="A1675" i="18"/>
  <c r="A1676" i="18"/>
  <c r="A1677" i="18"/>
  <c r="A1678" i="18"/>
  <c r="A1679" i="18"/>
  <c r="A1680" i="18"/>
  <c r="A1681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A1718" i="18"/>
  <c r="A1719" i="18"/>
  <c r="A1720" i="18"/>
  <c r="A1721" i="18"/>
  <c r="A1722" i="18"/>
  <c r="A1723" i="18"/>
  <c r="A1724" i="18"/>
  <c r="A1725" i="18"/>
  <c r="A4" i="18"/>
  <c r="A4" i="16"/>
  <c r="A494" i="16"/>
  <c r="A493" i="16"/>
  <c r="A492" i="16"/>
  <c r="A491" i="16"/>
  <c r="A490" i="16"/>
  <c r="A489" i="16"/>
  <c r="A488" i="16"/>
  <c r="A487" i="16"/>
  <c r="A486" i="16"/>
  <c r="A485" i="16"/>
  <c r="A484" i="16"/>
  <c r="A483" i="16"/>
  <c r="A482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C47" i="2" l="1"/>
  <c r="C46" i="2"/>
  <c r="C45" i="2"/>
  <c r="C44" i="2"/>
  <c r="C43" i="2"/>
  <c r="C42" i="2"/>
  <c r="C41" i="2"/>
  <c r="C40" i="2"/>
  <c r="C39" i="2"/>
  <c r="C38" i="2"/>
  <c r="C37" i="2"/>
  <c r="C36" i="2"/>
  <c r="C31" i="2"/>
  <c r="C30" i="2"/>
  <c r="C29" i="2"/>
  <c r="C28" i="2"/>
  <c r="C27" i="2"/>
  <c r="C26" i="2"/>
  <c r="C25" i="2"/>
  <c r="C24" i="2"/>
  <c r="C23" i="2"/>
  <c r="C22" i="2"/>
  <c r="C21" i="2"/>
  <c r="C20" i="2"/>
  <c r="C14" i="2"/>
  <c r="C13" i="2"/>
  <c r="C12" i="2"/>
  <c r="C11" i="2"/>
  <c r="C10" i="2"/>
  <c r="C9" i="2"/>
  <c r="C8" i="2"/>
  <c r="C7" i="2"/>
  <c r="C6" i="2"/>
  <c r="C5" i="2"/>
  <c r="C4" i="2"/>
  <c r="C3" i="2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B13" i="1"/>
  <c r="B14" i="1" s="1"/>
  <c r="D12" i="1"/>
  <c r="D11" i="1"/>
  <c r="D10" i="1"/>
  <c r="D9" i="1"/>
  <c r="D8" i="1"/>
  <c r="D7" i="1"/>
  <c r="D6" i="1"/>
  <c r="D5" i="1"/>
  <c r="D4" i="1"/>
  <c r="D3" i="1"/>
  <c r="D2" i="1"/>
  <c r="D13" i="1" l="1"/>
  <c r="F20" i="2"/>
  <c r="F3" i="2"/>
  <c r="F36" i="2"/>
  <c r="B15" i="1"/>
  <c r="D14" i="1"/>
  <c r="D15" i="1" l="1"/>
  <c r="B16" i="1"/>
  <c r="D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61CAF0-45EB-4523-9793-05727DF740D3}" odcFile="C:\Users\014235\Documents\我的資料來源\172.22.1.137 每日新周邊商品分析 每日新周邊商品分析Cube.odc" keepAlive="1" name="172.22.1.137 每日新周邊商品分析 每日新周邊商品分析Cube" type="5" refreshedVersion="8" background="1" refreshOnLoad="1">
    <dbPr connection="Provider=MSOLAP.8;Integrated Security=SSPI;Persist Security Info=True;Initial Catalog=每日新周邊商品分析;Data Source=172.22.1.137;MDX Compatibility=1;Safety Options=2;MDX Missing Member Mode=Error;Update Isolation Level=2" command="每日新周邊商品分析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172.22.1.137 每日新周邊商品分析 每日新周邊商品分析Cube"/>
    <s v="{[維度_出貨].[發貨年月].&amp;[202604]}"/>
    <s v="{[維度_出貨].[發貨年月].&amp;[20260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<sst xmlns="http://schemas.openxmlformats.org/spreadsheetml/2006/main" count="8201" uniqueCount="388">
  <si>
    <t>年度</t>
    <phoneticPr fontId="5" type="noConversion"/>
  </si>
  <si>
    <t>日期</t>
    <phoneticPr fontId="5" type="noConversion"/>
  </si>
  <si>
    <t>假日</t>
    <phoneticPr fontId="5" type="noConversion"/>
  </si>
  <si>
    <t>星期</t>
    <phoneticPr fontId="5" type="noConversion"/>
  </si>
  <si>
    <t>FY25</t>
    <phoneticPr fontId="4" type="noConversion"/>
  </si>
  <si>
    <t>清明節</t>
    <phoneticPr fontId="5" type="noConversion"/>
  </si>
  <si>
    <t>兒童節</t>
    <phoneticPr fontId="5" type="noConversion"/>
  </si>
  <si>
    <t>勞動節</t>
    <phoneticPr fontId="5" type="noConversion"/>
  </si>
  <si>
    <t>端午節（補假）</t>
    <phoneticPr fontId="5" type="noConversion"/>
  </si>
  <si>
    <t>教師節（補假）</t>
    <phoneticPr fontId="4" type="noConversion"/>
  </si>
  <si>
    <t>國慶日</t>
    <phoneticPr fontId="5" type="noConversion"/>
  </si>
  <si>
    <t>台灣光復日（補假）</t>
    <phoneticPr fontId="4" type="noConversion"/>
  </si>
  <si>
    <t>中秋節</t>
    <phoneticPr fontId="5" type="noConversion"/>
  </si>
  <si>
    <t>行憲紀念日</t>
    <phoneticPr fontId="4" type="noConversion"/>
  </si>
  <si>
    <t>元旦</t>
    <phoneticPr fontId="5" type="noConversion"/>
  </si>
  <si>
    <t>農曆春節</t>
    <phoneticPr fontId="5" type="noConversion"/>
  </si>
  <si>
    <t>二二八（補假）</t>
    <phoneticPr fontId="5" type="noConversion"/>
  </si>
  <si>
    <t>教師節（補假）</t>
    <phoneticPr fontId="5" type="noConversion"/>
  </si>
  <si>
    <t>光復節（補假）</t>
    <phoneticPr fontId="5" type="noConversion"/>
  </si>
  <si>
    <t>FY26</t>
    <phoneticPr fontId="4" type="noConversion"/>
  </si>
  <si>
    <t>兒童節補假</t>
  </si>
  <si>
    <t>兒童節</t>
  </si>
  <si>
    <t>清明節</t>
  </si>
  <si>
    <t>清明節補假</t>
  </si>
  <si>
    <t>勞動節</t>
  </si>
  <si>
    <t>端午節</t>
  </si>
  <si>
    <t>中秋節</t>
  </si>
  <si>
    <t>教師節</t>
  </si>
  <si>
    <t>國慶日補假</t>
  </si>
  <si>
    <t>國慶日</t>
  </si>
  <si>
    <t>台灣光復節</t>
  </si>
  <si>
    <t>台灣光復節補假</t>
  </si>
  <si>
    <t>行憲紀念日</t>
  </si>
  <si>
    <t>元旦（Republic Day）</t>
  </si>
  <si>
    <t>農曆春節假期（含除夕及春節日）</t>
  </si>
  <si>
    <t>和平紀念日（228）</t>
  </si>
  <si>
    <t>和平紀念日補假</t>
  </si>
  <si>
    <t>FY24</t>
    <phoneticPr fontId="4" type="noConversion"/>
  </si>
  <si>
    <t>起始日</t>
    <phoneticPr fontId="4" type="noConversion"/>
  </si>
  <si>
    <t>終止日</t>
    <phoneticPr fontId="4" type="noConversion"/>
  </si>
  <si>
    <t>工作天數</t>
    <phoneticPr fontId="4" type="noConversion"/>
  </si>
  <si>
    <t>團購</t>
    <phoneticPr fontId="4" type="noConversion"/>
  </si>
  <si>
    <t>訂單狀態</t>
  </si>
  <si>
    <t>(多重項目)</t>
  </si>
  <si>
    <t>付款狀態</t>
  </si>
  <si>
    <t>已付款</t>
  </si>
  <si>
    <t>20240H009</t>
  </si>
  <si>
    <t>事業</t>
    <phoneticPr fontId="4" type="noConversion"/>
  </si>
  <si>
    <t>訂單日期</t>
  </si>
  <si>
    <t>銷貨管道</t>
  </si>
  <si>
    <t>主商品貨號</t>
  </si>
  <si>
    <t>訂單成立日期</t>
  </si>
  <si>
    <t>20170H020</t>
  </si>
  <si>
    <t>2026/4/20</t>
  </si>
  <si>
    <t>網站</t>
  </si>
  <si>
    <t>20250FXAM</t>
  </si>
  <si>
    <t>2026/4/1</t>
  </si>
  <si>
    <t>20180H041</t>
  </si>
  <si>
    <t>20180PB0H</t>
  </si>
  <si>
    <t>2026/4/7</t>
  </si>
  <si>
    <t>2026/4/2</t>
  </si>
  <si>
    <t>20180PM01</t>
  </si>
  <si>
    <t>2026/4/3</t>
  </si>
  <si>
    <t>發貨年月</t>
  </si>
  <si>
    <t>202604</t>
  </si>
  <si>
    <t>2026/4/4</t>
  </si>
  <si>
    <t>2026/4/8</t>
  </si>
  <si>
    <t>2026/4/5</t>
  </si>
  <si>
    <t>商品編號</t>
  </si>
  <si>
    <t>發貨日期</t>
  </si>
  <si>
    <t>商品數量</t>
  </si>
  <si>
    <t>管道</t>
    <phoneticPr fontId="4" type="noConversion"/>
  </si>
  <si>
    <t>2026/4/10</t>
  </si>
  <si>
    <t>2026/4/6</t>
  </si>
  <si>
    <t>20190PB04</t>
  </si>
  <si>
    <t>2026-04-01</t>
  </si>
  <si>
    <t>2026/4/11</t>
  </si>
  <si>
    <t>20201M401</t>
  </si>
  <si>
    <t>2026/4/12</t>
  </si>
  <si>
    <t>20210KJ00</t>
  </si>
  <si>
    <t>2026-04-13</t>
  </si>
  <si>
    <t>2026/4/13</t>
  </si>
  <si>
    <t>2026-04-21</t>
  </si>
  <si>
    <t>2026/4/14</t>
  </si>
  <si>
    <t>20210PP08</t>
  </si>
  <si>
    <t>2026/4/15</t>
  </si>
  <si>
    <t>20210PP12</t>
  </si>
  <si>
    <t>2026/4/16</t>
  </si>
  <si>
    <t>2026/4/18</t>
  </si>
  <si>
    <t>2026-04-02</t>
  </si>
  <si>
    <t>2026/4/17</t>
  </si>
  <si>
    <t>2026-04-07</t>
  </si>
  <si>
    <t>2026/4/21</t>
  </si>
  <si>
    <t>2026-04-08</t>
  </si>
  <si>
    <t>20180PP07</t>
  </si>
  <si>
    <t>2026-04-09</t>
  </si>
  <si>
    <t>2026-04-10</t>
  </si>
  <si>
    <t>2026-04-14</t>
  </si>
  <si>
    <t>2026-04-15</t>
  </si>
  <si>
    <t>20190PP04</t>
  </si>
  <si>
    <t>2026-04-16</t>
  </si>
  <si>
    <t>20240FB00</t>
  </si>
  <si>
    <t>2026-04-17</t>
  </si>
  <si>
    <t>2026-04-18</t>
  </si>
  <si>
    <t>2026-04-20</t>
  </si>
  <si>
    <t>20211C607</t>
  </si>
  <si>
    <t>20215PB01</t>
  </si>
  <si>
    <t>2026/4/9</t>
  </si>
  <si>
    <t>2026/4/19</t>
  </si>
  <si>
    <t>20252CXAC</t>
  </si>
  <si>
    <t>20221C611</t>
  </si>
  <si>
    <t>20220MY00</t>
  </si>
  <si>
    <t>20200H003</t>
  </si>
  <si>
    <t>20191C710</t>
  </si>
  <si>
    <t>20200H016</t>
  </si>
  <si>
    <t>20221C6B6</t>
  </si>
  <si>
    <t>20200H017</t>
  </si>
  <si>
    <t>20200H026</t>
  </si>
  <si>
    <t>20250FA00</t>
  </si>
  <si>
    <t>20200PM07</t>
  </si>
  <si>
    <t>20240H022</t>
  </si>
  <si>
    <t>20221PB03</t>
  </si>
  <si>
    <t>20204PB01</t>
  </si>
  <si>
    <t>20256CXAA</t>
  </si>
  <si>
    <t>20222C606</t>
  </si>
  <si>
    <t>20230H003</t>
  </si>
  <si>
    <t>2020FPB01</t>
  </si>
  <si>
    <t>20210H002</t>
  </si>
  <si>
    <t>20220KG00</t>
  </si>
  <si>
    <t>20230H008</t>
  </si>
  <si>
    <t>20225PB02</t>
  </si>
  <si>
    <t>2022MPB04</t>
  </si>
  <si>
    <t>20240FM00</t>
  </si>
  <si>
    <t>20230MY00</t>
  </si>
  <si>
    <t>20210PQ01</t>
  </si>
  <si>
    <t>20211C608</t>
  </si>
  <si>
    <t>20215C611</t>
  </si>
  <si>
    <t>2021KPG03</t>
  </si>
  <si>
    <t>20250FXAN</t>
  </si>
  <si>
    <t>20235C903</t>
  </si>
  <si>
    <t>20230PP02</t>
  </si>
  <si>
    <t>20250FD00</t>
  </si>
  <si>
    <t>20220EA00</t>
  </si>
  <si>
    <t>20233PB02</t>
  </si>
  <si>
    <t>20220EB00</t>
  </si>
  <si>
    <t>20240FA00</t>
  </si>
  <si>
    <t>20255CXAB</t>
  </si>
  <si>
    <t>20220EC00</t>
  </si>
  <si>
    <t>20245C905</t>
  </si>
  <si>
    <t>20255CXAC</t>
  </si>
  <si>
    <t>20235C603</t>
  </si>
  <si>
    <t>20233PB0M</t>
  </si>
  <si>
    <t>20234C603</t>
  </si>
  <si>
    <t>20220EG00</t>
  </si>
  <si>
    <t>20220EM00</t>
  </si>
  <si>
    <t>20250FXAP</t>
  </si>
  <si>
    <t>20241CXAA</t>
  </si>
  <si>
    <t>20220H002</t>
  </si>
  <si>
    <t>20250FE00</t>
  </si>
  <si>
    <t>20220H007</t>
  </si>
  <si>
    <t>20220H009</t>
  </si>
  <si>
    <t>20234C610</t>
  </si>
  <si>
    <t>20234CE10</t>
  </si>
  <si>
    <t>20234CF10</t>
  </si>
  <si>
    <t>2023FCV02</t>
  </si>
  <si>
    <t>2023MPB01</t>
  </si>
  <si>
    <t>20220H010</t>
  </si>
  <si>
    <t>20220HXAA</t>
  </si>
  <si>
    <t>20220KA00</t>
  </si>
  <si>
    <t>20220KA01</t>
  </si>
  <si>
    <t>20220KB00</t>
  </si>
  <si>
    <t>20220KF00</t>
  </si>
  <si>
    <t>20254CXAG</t>
  </si>
  <si>
    <t>20254CXAM</t>
  </si>
  <si>
    <t>團購</t>
  </si>
  <si>
    <t>20255CXBD</t>
  </si>
  <si>
    <t>20220PP02</t>
  </si>
  <si>
    <t>20220PQ01</t>
  </si>
  <si>
    <t>20255CXBE</t>
  </si>
  <si>
    <t>20255CXBF</t>
  </si>
  <si>
    <t>20255CXBB</t>
  </si>
  <si>
    <t>20255CXBC</t>
  </si>
  <si>
    <t>20250FXBH</t>
  </si>
  <si>
    <t>20223PW01</t>
  </si>
  <si>
    <t>20224PB02</t>
  </si>
  <si>
    <t>20240H023</t>
  </si>
  <si>
    <t>20240PP06</t>
  </si>
  <si>
    <t>20240RA04</t>
  </si>
  <si>
    <t>20240RYA2</t>
  </si>
  <si>
    <t>20240RYA3</t>
  </si>
  <si>
    <t>20244C911</t>
  </si>
  <si>
    <t>20240RYA4</t>
  </si>
  <si>
    <t>2022MPB11</t>
  </si>
  <si>
    <t>20230EA00</t>
  </si>
  <si>
    <t>20230EE00</t>
  </si>
  <si>
    <t>20255CXAA</t>
  </si>
  <si>
    <t>2024MPB01</t>
  </si>
  <si>
    <t>2021FCV02</t>
  </si>
  <si>
    <t>20230EG00</t>
  </si>
  <si>
    <t>2020FC801</t>
  </si>
  <si>
    <t>20230EH00</t>
  </si>
  <si>
    <t>2022FCV11</t>
  </si>
  <si>
    <t>20230EJ00</t>
  </si>
  <si>
    <t>2023FC809</t>
  </si>
  <si>
    <t>20230EK00</t>
  </si>
  <si>
    <t>20230EM00</t>
  </si>
  <si>
    <t>2022FC801</t>
  </si>
  <si>
    <t>20230EP00</t>
  </si>
  <si>
    <t>2020FC803</t>
  </si>
  <si>
    <t>20230EQ00</t>
  </si>
  <si>
    <t>20203C601</t>
  </si>
  <si>
    <t>20250FB01</t>
  </si>
  <si>
    <t>20230ER00</t>
  </si>
  <si>
    <t>20230ET00</t>
  </si>
  <si>
    <t>20250FF00</t>
  </si>
  <si>
    <t>20230H001</t>
  </si>
  <si>
    <t>20250FXBT</t>
  </si>
  <si>
    <t>20230H009</t>
  </si>
  <si>
    <t>20230H011</t>
  </si>
  <si>
    <t>20230H029</t>
  </si>
  <si>
    <t>20230H032</t>
  </si>
  <si>
    <t>20250FXAJ</t>
  </si>
  <si>
    <t>20250FG00</t>
  </si>
  <si>
    <t>20230H033</t>
  </si>
  <si>
    <t>20230KA00</t>
  </si>
  <si>
    <t>20250FXCH</t>
  </si>
  <si>
    <t>20250FXAC</t>
  </si>
  <si>
    <t>20230PM02</t>
  </si>
  <si>
    <t>20250FXBC</t>
  </si>
  <si>
    <t>20252FA00</t>
  </si>
  <si>
    <t>20260H001</t>
  </si>
  <si>
    <t>20260H002</t>
  </si>
  <si>
    <t>20250H002</t>
  </si>
  <si>
    <t>20230PM04</t>
  </si>
  <si>
    <t>20250H001</t>
  </si>
  <si>
    <t>31250H002</t>
  </si>
  <si>
    <t>31250H004</t>
  </si>
  <si>
    <t>3125HP009</t>
  </si>
  <si>
    <t>3125HP011</t>
  </si>
  <si>
    <t>2023FPB01</t>
  </si>
  <si>
    <t>2023MPB03</t>
  </si>
  <si>
    <t>2023TPM01</t>
  </si>
  <si>
    <t>20240EA01</t>
  </si>
  <si>
    <t>20240EA02</t>
  </si>
  <si>
    <t>20240EA03</t>
  </si>
  <si>
    <t>20240EA04</t>
  </si>
  <si>
    <t>20240EA08</t>
  </si>
  <si>
    <t>20240EA09</t>
  </si>
  <si>
    <t>20240EA12</t>
  </si>
  <si>
    <t>20240EA14</t>
  </si>
  <si>
    <t>20240EB01</t>
  </si>
  <si>
    <t>20240EB02</t>
  </si>
  <si>
    <t>20240EC01</t>
  </si>
  <si>
    <t>20240EC04</t>
  </si>
  <si>
    <t>20240EC05</t>
  </si>
  <si>
    <t>20240H002</t>
  </si>
  <si>
    <t>20240H006</t>
  </si>
  <si>
    <t>20240H007</t>
  </si>
  <si>
    <t>20240H010</t>
  </si>
  <si>
    <t>20240H011</t>
  </si>
  <si>
    <t>20240H012</t>
  </si>
  <si>
    <t>20240H013</t>
  </si>
  <si>
    <t>20240H014</t>
  </si>
  <si>
    <t>20240H024</t>
  </si>
  <si>
    <t>20240H025</t>
  </si>
  <si>
    <t>20240H026</t>
  </si>
  <si>
    <t>20240H027</t>
  </si>
  <si>
    <t>20240H028</t>
  </si>
  <si>
    <t>20240H029</t>
  </si>
  <si>
    <t>20240H031</t>
  </si>
  <si>
    <t>20240H032</t>
  </si>
  <si>
    <t>20240H039</t>
  </si>
  <si>
    <t>20240H042</t>
  </si>
  <si>
    <t>20240RA03</t>
  </si>
  <si>
    <t>20240RA05</t>
  </si>
  <si>
    <t>20240RB03</t>
  </si>
  <si>
    <t>20240RC02</t>
  </si>
  <si>
    <t>20240RC03</t>
  </si>
  <si>
    <t>20240RC04</t>
  </si>
  <si>
    <t>20240RC05</t>
  </si>
  <si>
    <t>20240RYA5</t>
  </si>
  <si>
    <t>20245C604</t>
  </si>
  <si>
    <t>2024GPS01</t>
  </si>
  <si>
    <t>2024GPS05</t>
  </si>
  <si>
    <t>2024HPB01</t>
  </si>
  <si>
    <t>20250EA02</t>
  </si>
  <si>
    <t>20250EA03</t>
  </si>
  <si>
    <t>20250EA05</t>
  </si>
  <si>
    <t>20250EA06</t>
  </si>
  <si>
    <t>20250EA07</t>
  </si>
  <si>
    <t>20250EB01</t>
  </si>
  <si>
    <t>20250FC01</t>
  </si>
  <si>
    <t>20250FC03</t>
  </si>
  <si>
    <t>20250FD01</t>
  </si>
  <si>
    <t>20250H003</t>
  </si>
  <si>
    <t>20250H004</t>
  </si>
  <si>
    <t>20250H013</t>
  </si>
  <si>
    <t>20250H014</t>
  </si>
  <si>
    <t>20250H017</t>
  </si>
  <si>
    <t>20250H018</t>
  </si>
  <si>
    <t>20250H020</t>
  </si>
  <si>
    <t>20251PB02</t>
  </si>
  <si>
    <t>2025GPS01</t>
  </si>
  <si>
    <t>20260H003</t>
  </si>
  <si>
    <t>樞紐表管道</t>
    <phoneticPr fontId="4" type="noConversion"/>
  </si>
  <si>
    <t>對應後的管道</t>
    <phoneticPr fontId="4" type="noConversion"/>
  </si>
  <si>
    <t>網站</t>
    <phoneticPr fontId="4" type="noConversion"/>
  </si>
  <si>
    <t>WEB</t>
    <phoneticPr fontId="4" type="noConversion"/>
  </si>
  <si>
    <t>KOL</t>
    <phoneticPr fontId="4" type="noConversion"/>
  </si>
  <si>
    <t>EC</t>
    <phoneticPr fontId="4" type="noConversion"/>
  </si>
  <si>
    <t>20230H010</t>
  </si>
  <si>
    <t>20201PB0A</t>
  </si>
  <si>
    <t>20212C603</t>
  </si>
  <si>
    <t>20230M401</t>
  </si>
  <si>
    <t>20250FA13</t>
  </si>
  <si>
    <t>20250WJ01</t>
  </si>
  <si>
    <t>20250WJ12</t>
  </si>
  <si>
    <t>2026-04-04</t>
  </si>
  <si>
    <t>2026-04-11</t>
  </si>
  <si>
    <t>電銷</t>
  </si>
  <si>
    <t>管道</t>
  </si>
  <si>
    <t>加總 - 未稅價格</t>
  </si>
  <si>
    <t>TM</t>
    <phoneticPr fontId="4" type="noConversion"/>
  </si>
  <si>
    <t>2026-04-22</t>
  </si>
  <si>
    <t>20210PM03</t>
  </si>
  <si>
    <t>20211PR04</t>
  </si>
  <si>
    <t>2026/4/22</t>
  </si>
  <si>
    <t>20250FB02</t>
  </si>
  <si>
    <t>2026/4/23</t>
  </si>
  <si>
    <t>2026/4/24</t>
  </si>
  <si>
    <t>2026/4/26</t>
  </si>
  <si>
    <t>2026/4/27</t>
  </si>
  <si>
    <t>2026/4/25</t>
  </si>
  <si>
    <t>20252CXAD</t>
  </si>
  <si>
    <t>20240EA11</t>
  </si>
  <si>
    <t>20240H001</t>
  </si>
  <si>
    <t>20240RA02</t>
  </si>
  <si>
    <t>20240RB02</t>
  </si>
  <si>
    <t>20240RC01</t>
  </si>
  <si>
    <t>20250FXAB</t>
  </si>
  <si>
    <t>2026-04-23</t>
  </si>
  <si>
    <t>2026-04-24</t>
  </si>
  <si>
    <t>2026-04-27</t>
  </si>
  <si>
    <t>2020FPB02</t>
  </si>
  <si>
    <t>2026-04-25</t>
  </si>
  <si>
    <t>20250FXAK</t>
  </si>
  <si>
    <t>發貨日期</t>
    <phoneticPr fontId="4" type="noConversion"/>
  </si>
  <si>
    <t>加總 - 未稅價格</t>
    <phoneticPr fontId="4" type="noConversion"/>
  </si>
  <si>
    <t>含稅金額</t>
  </si>
  <si>
    <t>2026/4/28</t>
  </si>
  <si>
    <t>2026-04-28</t>
  </si>
  <si>
    <t>2026-04-29</t>
  </si>
  <si>
    <t>2026-04-30</t>
  </si>
  <si>
    <t>2026/4/30</t>
  </si>
  <si>
    <t>2026/4/29</t>
  </si>
  <si>
    <t>20250FC02</t>
  </si>
  <si>
    <t>20250FXAD</t>
  </si>
  <si>
    <t>2026/5/1</t>
  </si>
  <si>
    <t>2026/5/2</t>
  </si>
  <si>
    <t>2026/5/3</t>
  </si>
  <si>
    <t>20250H016</t>
  </si>
  <si>
    <t>2026-05-01</t>
  </si>
  <si>
    <t>202605</t>
  </si>
  <si>
    <t>商品貨號</t>
  </si>
  <si>
    <t>電銷</t>
    <phoneticPr fontId="4" type="noConversion"/>
  </si>
  <si>
    <t>加總 - 數量</t>
  </si>
  <si>
    <t>2026/5/4</t>
  </si>
  <si>
    <t>2026/5/5</t>
  </si>
  <si>
    <t>20230PM03</t>
  </si>
  <si>
    <t>20240H003</t>
  </si>
  <si>
    <t>20250H015</t>
  </si>
  <si>
    <t>20245CXAB</t>
  </si>
  <si>
    <t>20260WA02</t>
  </si>
  <si>
    <t>20250FXBM</t>
  </si>
  <si>
    <t>2026-05-04</t>
  </si>
  <si>
    <t>2026-05-05</t>
  </si>
  <si>
    <t>20260FXAA</t>
  </si>
  <si>
    <t>學習周邊</t>
  </si>
  <si>
    <t>學習</t>
  </si>
  <si>
    <t>生活周邊</t>
  </si>
  <si>
    <t>Mirafeel</t>
  </si>
  <si>
    <t>數位經典</t>
  </si>
  <si>
    <t/>
  </si>
  <si>
    <t>20220M601</t>
  </si>
  <si>
    <t>2026-05-06</t>
  </si>
  <si>
    <t>2026/5/6</t>
  </si>
  <si>
    <t>20221PR02</t>
  </si>
  <si>
    <t>20244PB01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</si>
</sst>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[$-404]aaa;@"/>
    <numFmt numFmtId="177" formatCode="&quot;共&quot;###&quot;工&quot;&quot;作&quot;&quot;天&quot;"/>
    <numFmt numFmtId="178" formatCode="m/d/yyyy"/>
    <numFmt numFmtId="179" formatCode="0_);[Red]\(0\)"/>
  </numFmts>
  <fonts count="1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sz val="12"/>
      <color rgb="FF000099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176" fontId="6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7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177" fontId="0" fillId="7" borderId="0" xfId="0" applyNumberFormat="1" applyFill="1">
      <alignment vertical="center"/>
    </xf>
    <xf numFmtId="0" fontId="0" fillId="0" borderId="0" xfId="0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177" fontId="0" fillId="8" borderId="0" xfId="0" applyNumberFormat="1" applyFill="1">
      <alignment vertical="center"/>
    </xf>
    <xf numFmtId="0" fontId="7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10" borderId="0" xfId="0" applyFill="1">
      <alignment vertical="center"/>
    </xf>
    <xf numFmtId="0" fontId="7" fillId="10" borderId="0" xfId="0" applyFont="1" applyFill="1" applyAlignment="1">
      <alignment horizontal="center" vertical="center"/>
    </xf>
    <xf numFmtId="177" fontId="0" fillId="10" borderId="0" xfId="0" applyNumberFormat="1" applyFill="1">
      <alignment vertical="center"/>
    </xf>
    <xf numFmtId="0" fontId="7" fillId="11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3" fontId="0" fillId="0" borderId="0" xfId="0" applyNumberFormat="1">
      <alignment vertical="center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 applyAlignment="1" applyProtection="1">
      <protection locked="0"/>
    </xf>
    <xf numFmtId="0" fontId="9" fillId="12" borderId="0" xfId="0" applyFont="1" applyFill="1">
      <alignment vertical="center"/>
    </xf>
    <xf numFmtId="0" fontId="9" fillId="0" borderId="0" xfId="0" applyFont="1">
      <alignment vertical="center"/>
    </xf>
    <xf numFmtId="3" fontId="0" fillId="0" borderId="0" xfId="1" applyNumberFormat="1" applyFont="1">
      <alignment vertical="center"/>
    </xf>
    <xf numFmtId="3" fontId="9" fillId="12" borderId="0" xfId="0" applyNumberFormat="1" applyFont="1" applyFill="1">
      <alignment vertical="center"/>
    </xf>
    <xf numFmtId="0" fontId="0" fillId="13" borderId="0" xfId="0" applyFill="1">
      <alignment vertical="center"/>
    </xf>
    <xf numFmtId="178" fontId="8" fillId="0" borderId="0" xfId="0" applyNumberFormat="1" applyFont="1">
      <alignment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14" fontId="0" fillId="0" borderId="0" xfId="0" applyNumberFormat="1" applyFill="1">
      <alignment vertical="center"/>
    </xf>
    <xf numFmtId="3" fontId="0" fillId="0" borderId="0" xfId="0" applyNumberFormat="1" applyFill="1" applyAlignment="1">
      <alignment vertical="center" wrapText="1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vertical="center" wrapText="1"/>
    </xf>
    <xf numFmtId="178" fontId="8" fillId="0" borderId="0" xfId="0" applyNumberFormat="1" applyFont="1" applyFill="1">
      <alignment vertical="center"/>
    </xf>
    <xf numFmtId="3" fontId="8" fillId="0" borderId="0" xfId="0" applyNumberFormat="1" applyFont="1" applyFill="1" applyAlignment="1">
      <alignment vertical="center" wrapText="1"/>
    </xf>
  </cellXfs>
  <cellStyles count="2">
    <cellStyle name="一般" xfId="0" builtinId="0"/>
    <cellStyle name="千分位" xfId="1" builtinId="3"/>
  </cellStyles>
  <dxfs count="215">
    <dxf>
      <font>
        <name val="微軟正黑體"/>
        <charset val="136"/>
      </font>
    </dxf>
    <dxf>
      <font>
        <color rgb="FF000099"/>
      </font>
    </dxf>
    <dxf>
      <numFmt numFmtId="178" formatCode="m/d/yyyy"/>
    </dxf>
    <dxf>
      <numFmt numFmtId="178" formatCode="m/d/yyyy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99"/>
        </patternFill>
      </fill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</font>
    </dxf>
    <dxf>
      <alignment wrapText="1"/>
    </dxf>
    <dxf>
      <alignment wrapText="1"/>
    </dxf>
    <dxf>
      <numFmt numFmtId="19" formatCode="yyyy/m/d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yyyy/m/d"/>
    </dxf>
    <dxf>
      <alignment wrapText="1"/>
    </dxf>
    <dxf>
      <alignment wrapText="1"/>
    </dxf>
    <dxf>
      <font>
        <b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ill>
        <patternFill patternType="solid">
          <bgColor rgb="FFFFFF99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8" formatCode="m/d/yyyy"/>
    </dxf>
    <dxf>
      <numFmt numFmtId="178" formatCode="m/d/yyyy"/>
    </dxf>
    <dxf>
      <font>
        <color rgb="FF000099"/>
      </font>
    </dxf>
    <dxf>
      <font>
        <name val="微軟正黑體"/>
        <charset val="136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yyyy/m/d"/>
    </dxf>
    <dxf>
      <alignment wrapText="1"/>
    </dxf>
    <dxf>
      <alignment wrapText="1"/>
    </dxf>
    <dxf>
      <font>
        <b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ill>
        <patternFill patternType="solid">
          <bgColor rgb="FFFFFF99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8" formatCode="m/d/yyyy"/>
    </dxf>
    <dxf>
      <numFmt numFmtId="178" formatCode="m/d/yyyy"/>
    </dxf>
    <dxf>
      <font>
        <color rgb="FF000099"/>
      </font>
    </dxf>
    <dxf>
      <font>
        <name val="微軟正黑體"/>
        <charset val="136"/>
      </font>
    </dxf>
    <dxf>
      <font>
        <b/>
        <strike val="0"/>
        <outline val="0"/>
        <shadow val="0"/>
        <u val="none"/>
        <vertAlign val="baseline"/>
        <sz val="12"/>
        <color rgb="FF0000FF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numFmt numFmtId="19" formatCode="yyyy/m/d"/>
    </dxf>
    <dxf>
      <numFmt numFmtId="19" formatCode="yyyy/m/d"/>
    </dxf>
    <dxf>
      <font>
        <b/>
        <strike val="0"/>
        <outline val="0"/>
        <shadow val="0"/>
        <u val="none"/>
        <vertAlign val="baseline"/>
        <sz val="12"/>
        <color rgb="FF0000FF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numFmt numFmtId="19" formatCode="yyyy/m/d"/>
    </dxf>
    <dxf>
      <numFmt numFmtId="19" formatCode="yyyy/m/d"/>
    </dxf>
    <dxf>
      <font>
        <b/>
        <strike val="0"/>
        <outline val="0"/>
        <shadow val="0"/>
        <u val="none"/>
        <vertAlign val="baseline"/>
        <sz val="12"/>
        <color rgb="FF0000FF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numFmt numFmtId="19" formatCode="yyyy/m/d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76" formatCode="[$-404]aaa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-w\&#20493;&#27138;&#29983;&#31038;&#21729;&#20849;&#29992;&#36039;&#26009;&#22846;\&#9734;&#21608;&#37002;&#38598;&#35336;\&#21697;&#34399;\&#37559;&#36008;&#21934;&#21697;&#34399;&#20027;&#27284;.xlsx" TargetMode="External"/><Relationship Id="rId1" Type="http://schemas.openxmlformats.org/officeDocument/2006/relationships/externalLinkPath" Target="file:///\\fileserver-w\&#20493;&#27138;&#29983;&#31038;&#21729;&#20849;&#29992;&#36039;&#26009;&#22846;\&#9734;&#21608;&#37002;&#38598;&#35336;\&#21697;&#34399;\&#37559;&#36008;&#21934;&#21697;&#34399;&#20027;&#272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周邊商品銷售(cube）"/>
      <sheetName val="學習商品銷售(cube）"/>
      <sheetName val="ERP品號品名建置表"/>
      <sheetName val="銷貨單品號主檔"/>
      <sheetName val="周邊商品中類表"/>
      <sheetName val="260430"/>
      <sheetName val="260427"/>
      <sheetName val="260410"/>
      <sheetName val="260327"/>
      <sheetName val="260325"/>
      <sheetName val="260304"/>
      <sheetName val="260224"/>
      <sheetName val="260204"/>
      <sheetName val="260102"/>
      <sheetName val="251231"/>
      <sheetName val="251210"/>
      <sheetName val="251209"/>
      <sheetName val="251119"/>
      <sheetName val="251023"/>
      <sheetName val="251017"/>
      <sheetName val="251009"/>
      <sheetName val="251007"/>
      <sheetName val="250930"/>
      <sheetName val="250919"/>
      <sheetName val="250917"/>
      <sheetName val="250820"/>
      <sheetName val="250812"/>
      <sheetName val="250731"/>
      <sheetName val="250724"/>
      <sheetName val="250618-2"/>
      <sheetName val="250618-1"/>
      <sheetName val="250605"/>
      <sheetName val="250526"/>
      <sheetName val="250501"/>
      <sheetName val="250513"/>
      <sheetName val="250317"/>
    </sheetNames>
    <sheetDataSet>
      <sheetData sheetId="0"/>
      <sheetData sheetId="1"/>
      <sheetData sheetId="2"/>
      <sheetData sheetId="3">
        <row r="1">
          <cell r="A1" t="str">
            <v>製品編號</v>
          </cell>
          <cell r="B1" t="str">
            <v>商品簡稱</v>
          </cell>
          <cell r="C1" t="str">
            <v>事業大類</v>
          </cell>
          <cell r="D1" t="str">
            <v>事業中類</v>
          </cell>
        </row>
        <row r="2">
          <cell r="A2" t="str">
            <v>20240FM09</v>
          </cell>
          <cell r="B2" t="str">
            <v>IC注音學習卡</v>
          </cell>
          <cell r="C2" t="str">
            <v>學習</v>
          </cell>
          <cell r="D2" t="str">
            <v>學習</v>
          </cell>
        </row>
        <row r="3">
          <cell r="A3" t="str">
            <v>20240FXAE</v>
          </cell>
          <cell r="B3" t="str">
            <v>點讀巧比思考力遊戲組+購物遊戲組</v>
          </cell>
          <cell r="C3" t="str">
            <v>學習</v>
          </cell>
          <cell r="D3" t="str">
            <v>學習</v>
          </cell>
        </row>
        <row r="4">
          <cell r="A4" t="str">
            <v>20240FA00</v>
          </cell>
          <cell r="B4" t="str">
            <v>寶寶生活好習慣套組</v>
          </cell>
          <cell r="C4" t="str">
            <v>學習</v>
          </cell>
          <cell r="D4" t="str">
            <v>學習</v>
          </cell>
        </row>
        <row r="5">
          <cell r="A5" t="str">
            <v>20240FA01</v>
          </cell>
          <cell r="B5" t="str">
            <v>親子共讀繪本-刷牙</v>
          </cell>
          <cell r="C5" t="str">
            <v>學習</v>
          </cell>
          <cell r="D5" t="str">
            <v>學習</v>
          </cell>
        </row>
        <row r="6">
          <cell r="A6" t="str">
            <v>20240FA02</v>
          </cell>
          <cell r="B6" t="str">
            <v>親子共讀繪本-洗澡</v>
          </cell>
          <cell r="C6" t="str">
            <v>學習</v>
          </cell>
          <cell r="D6" t="str">
            <v>學習</v>
          </cell>
        </row>
        <row r="7">
          <cell r="A7" t="str">
            <v>20240FA03</v>
          </cell>
          <cell r="B7" t="str">
            <v>親子共讀繪本-吃飯</v>
          </cell>
          <cell r="C7" t="str">
            <v>學習</v>
          </cell>
          <cell r="D7" t="str">
            <v>學習</v>
          </cell>
        </row>
        <row r="8">
          <cell r="A8" t="str">
            <v>20240FA04</v>
          </cell>
          <cell r="B8" t="str">
            <v>親子共讀繪本-睡覺</v>
          </cell>
          <cell r="C8" t="str">
            <v>學習</v>
          </cell>
          <cell r="D8" t="str">
            <v>學習</v>
          </cell>
        </row>
        <row r="9">
          <cell r="A9" t="str">
            <v>20240FA05</v>
          </cell>
          <cell r="B9" t="str">
            <v>親子共讀繪本-上廁所</v>
          </cell>
          <cell r="C9" t="str">
            <v>學習</v>
          </cell>
          <cell r="D9" t="str">
            <v>學習</v>
          </cell>
        </row>
        <row r="10">
          <cell r="A10" t="str">
            <v>20240FA06</v>
          </cell>
          <cell r="B10" t="str">
            <v>晚安故事書-河馬醫生</v>
          </cell>
          <cell r="C10" t="str">
            <v>學習</v>
          </cell>
          <cell r="D10" t="str">
            <v>學習</v>
          </cell>
        </row>
        <row r="11">
          <cell r="A11" t="str">
            <v>20240FA07</v>
          </cell>
          <cell r="B11" t="str">
            <v>晚安故事書-小聲點</v>
          </cell>
          <cell r="C11" t="str">
            <v>學習</v>
          </cell>
          <cell r="D11" t="str">
            <v>學習</v>
          </cell>
        </row>
        <row r="12">
          <cell r="A12" t="str">
            <v>20240FA08</v>
          </cell>
          <cell r="B12" t="str">
            <v>晚安故事書-拔蘿蔔</v>
          </cell>
          <cell r="C12" t="str">
            <v>學習</v>
          </cell>
          <cell r="D12" t="str">
            <v>學習</v>
          </cell>
        </row>
        <row r="13">
          <cell r="A13" t="str">
            <v>20240FA09</v>
          </cell>
          <cell r="B13" t="str">
            <v>寶寶生活好習慣 附錄-我會坐馬桶海報</v>
          </cell>
          <cell r="C13" t="str">
            <v>學習</v>
          </cell>
          <cell r="D13" t="str">
            <v>學習</v>
          </cell>
        </row>
        <row r="14">
          <cell r="A14" t="str">
            <v>20240FA10</v>
          </cell>
          <cell r="B14" t="str">
            <v>寶寶生活好習慣 附錄-人物貼紙</v>
          </cell>
          <cell r="C14" t="str">
            <v>學習</v>
          </cell>
          <cell r="D14" t="str">
            <v>學習</v>
          </cell>
        </row>
        <row r="15">
          <cell r="A15" t="str">
            <v>20240FA11</v>
          </cell>
          <cell r="B15" t="str">
            <v>寶寶生活好習慣 爸媽報報</v>
          </cell>
          <cell r="C15" t="str">
            <v>學習</v>
          </cell>
          <cell r="D15" t="str">
            <v>學習</v>
          </cell>
        </row>
        <row r="16">
          <cell r="A16" t="str">
            <v>20240FA00-包裝盒</v>
          </cell>
          <cell r="B16" t="str">
            <v>寶寶生活好習慣套組A外盒</v>
          </cell>
          <cell r="C16" t="str">
            <v>學習</v>
          </cell>
          <cell r="D16" t="str">
            <v>學習</v>
          </cell>
        </row>
        <row r="17">
          <cell r="A17" t="str">
            <v>20240FC00</v>
          </cell>
          <cell r="B17" t="str">
            <v>點讀巧比遊戲組</v>
          </cell>
          <cell r="C17" t="str">
            <v>學習</v>
          </cell>
          <cell r="D17" t="str">
            <v>學習</v>
          </cell>
        </row>
        <row r="18">
          <cell r="A18" t="str">
            <v>20240FC01</v>
          </cell>
          <cell r="B18" t="str">
            <v>思考力點讀小書-動物</v>
          </cell>
          <cell r="C18" t="str">
            <v>學習</v>
          </cell>
          <cell r="D18" t="str">
            <v>學習</v>
          </cell>
        </row>
        <row r="19">
          <cell r="A19" t="str">
            <v>20240FC02</v>
          </cell>
          <cell r="B19" t="str">
            <v>思考力點讀小書-車子</v>
          </cell>
          <cell r="C19" t="str">
            <v>學習</v>
          </cell>
          <cell r="D19" t="str">
            <v>學習</v>
          </cell>
        </row>
        <row r="20">
          <cell r="A20" t="str">
            <v>20240FC03</v>
          </cell>
          <cell r="B20" t="str">
            <v>思考力點讀小書-打果汁</v>
          </cell>
          <cell r="C20" t="str">
            <v>學習</v>
          </cell>
          <cell r="D20" t="str">
            <v>學習</v>
          </cell>
        </row>
        <row r="21">
          <cell r="A21" t="str">
            <v>20240FC04</v>
          </cell>
          <cell r="B21" t="str">
            <v>思考力點讀小書-公園</v>
          </cell>
          <cell r="C21" t="str">
            <v>學習</v>
          </cell>
          <cell r="D21" t="str">
            <v>學習</v>
          </cell>
        </row>
        <row r="22">
          <cell r="A22" t="str">
            <v>20240FC05</v>
          </cell>
          <cell r="B22" t="str">
            <v>思考力點讀小書-上學</v>
          </cell>
          <cell r="C22" t="str">
            <v>學習</v>
          </cell>
          <cell r="D22" t="str">
            <v>學習</v>
          </cell>
        </row>
        <row r="23">
          <cell r="A23" t="str">
            <v>20240FC06</v>
          </cell>
          <cell r="B23" t="str">
            <v>思考力點讀小書-蛋糕派對</v>
          </cell>
          <cell r="C23" t="str">
            <v>學習</v>
          </cell>
          <cell r="D23" t="str">
            <v>學習</v>
          </cell>
        </row>
        <row r="24">
          <cell r="A24" t="str">
            <v>20240FC07</v>
          </cell>
          <cell r="B24" t="str">
            <v>思考力點讀小書-公車</v>
          </cell>
          <cell r="C24" t="str">
            <v>學習</v>
          </cell>
          <cell r="D24" t="str">
            <v>學習</v>
          </cell>
        </row>
        <row r="25">
          <cell r="A25" t="str">
            <v>20240FC08</v>
          </cell>
          <cell r="B25" t="str">
            <v>思考力點讀小書-金魚</v>
          </cell>
          <cell r="C25" t="str">
            <v>學習</v>
          </cell>
          <cell r="D25" t="str">
            <v>學習</v>
          </cell>
        </row>
        <row r="26">
          <cell r="A26" t="str">
            <v>20240FC09</v>
          </cell>
          <cell r="B26" t="str">
            <v>思考力點讀小書-貼紙遊戲</v>
          </cell>
          <cell r="C26" t="str">
            <v>學習</v>
          </cell>
          <cell r="D26" t="str">
            <v>學習</v>
          </cell>
        </row>
        <row r="27">
          <cell r="A27" t="str">
            <v>20240FC10</v>
          </cell>
          <cell r="B27" t="str">
            <v>巧虎收納盒</v>
          </cell>
          <cell r="C27" t="str">
            <v>學習</v>
          </cell>
          <cell r="D27" t="str">
            <v>學習</v>
          </cell>
        </row>
        <row r="28">
          <cell r="A28" t="str">
            <v>20240FC11</v>
          </cell>
          <cell r="B28" t="str">
            <v>認知語彙圖卡</v>
          </cell>
          <cell r="C28" t="str">
            <v>學習</v>
          </cell>
          <cell r="D28" t="str">
            <v>學習</v>
          </cell>
        </row>
        <row r="29">
          <cell r="A29" t="str">
            <v>20240FC12</v>
          </cell>
          <cell r="B29" t="str">
            <v>點讀巧比遊戲組使用說明</v>
          </cell>
          <cell r="C29" t="str">
            <v>學習</v>
          </cell>
          <cell r="D29" t="str">
            <v>學習</v>
          </cell>
        </row>
        <row r="30">
          <cell r="A30" t="str">
            <v>20200FA00</v>
          </cell>
          <cell r="B30" t="str">
            <v>巧虎注音拼音學習套組</v>
          </cell>
          <cell r="C30" t="str">
            <v>學習</v>
          </cell>
          <cell r="D30" t="str">
            <v>學習</v>
          </cell>
        </row>
        <row r="31">
          <cell r="A31" t="str">
            <v>20200FA00-包裝盒</v>
          </cell>
          <cell r="B31" t="str">
            <v>巧虎注音拼音學習套組-包裝盒</v>
          </cell>
          <cell r="C31" t="str">
            <v>學習</v>
          </cell>
          <cell r="D31" t="str">
            <v>學習</v>
          </cell>
        </row>
        <row r="32">
          <cell r="A32" t="str">
            <v>20200FA01</v>
          </cell>
          <cell r="B32" t="str">
            <v>尋找注音小精靈</v>
          </cell>
          <cell r="C32" t="str">
            <v>學習</v>
          </cell>
          <cell r="D32" t="str">
            <v>學習</v>
          </cell>
        </row>
        <row r="33">
          <cell r="A33" t="str">
            <v>20200FA02</v>
          </cell>
          <cell r="B33" t="str">
            <v>聽唸謠學注音</v>
          </cell>
          <cell r="C33" t="str">
            <v>學習</v>
          </cell>
          <cell r="D33" t="str">
            <v>學習</v>
          </cell>
        </row>
        <row r="34">
          <cell r="A34" t="str">
            <v>20200FA03</v>
          </cell>
          <cell r="B34" t="str">
            <v>注音王國歷險記</v>
          </cell>
          <cell r="C34" t="str">
            <v>學習</v>
          </cell>
          <cell r="D34" t="str">
            <v>學習</v>
          </cell>
        </row>
        <row r="35">
          <cell r="A35" t="str">
            <v>20200FA06</v>
          </cell>
          <cell r="B35" t="str">
            <v>注音互動學習機</v>
          </cell>
          <cell r="C35" t="str">
            <v>學習</v>
          </cell>
          <cell r="D35" t="str">
            <v>學習</v>
          </cell>
        </row>
        <row r="36">
          <cell r="A36" t="str">
            <v>20200FA07</v>
          </cell>
          <cell r="B36" t="str">
            <v>注音描寫磁畫板</v>
          </cell>
          <cell r="C36" t="str">
            <v>學習</v>
          </cell>
          <cell r="D36" t="str">
            <v>學習</v>
          </cell>
        </row>
        <row r="37">
          <cell r="A37" t="str">
            <v>20200FA10</v>
          </cell>
          <cell r="B37" t="str">
            <v>注音描寫卡</v>
          </cell>
          <cell r="C37" t="str">
            <v>學習</v>
          </cell>
          <cell r="D37" t="str">
            <v>學習</v>
          </cell>
        </row>
        <row r="38">
          <cell r="A38" t="str">
            <v>20200FAD9</v>
          </cell>
          <cell r="B38" t="str">
            <v>注音奇幻樂園</v>
          </cell>
          <cell r="C38" t="str">
            <v>學習</v>
          </cell>
          <cell r="D38" t="str">
            <v>學習</v>
          </cell>
        </row>
        <row r="39">
          <cell r="A39" t="str">
            <v>20200FB00</v>
          </cell>
          <cell r="B39" t="str">
            <v>九九乘法偵探套組</v>
          </cell>
          <cell r="C39" t="str">
            <v>學習</v>
          </cell>
          <cell r="D39" t="str">
            <v>學習</v>
          </cell>
        </row>
        <row r="40">
          <cell r="A40" t="str">
            <v>20200FB00-包裝箱</v>
          </cell>
          <cell r="B40" t="str">
            <v>九九乘法偵探套組-包裝箱</v>
          </cell>
          <cell r="C40" t="str">
            <v>學習</v>
          </cell>
          <cell r="D40" t="str">
            <v>學習</v>
          </cell>
        </row>
        <row r="41">
          <cell r="A41" t="str">
            <v>20200FB01</v>
          </cell>
          <cell r="B41" t="str">
            <v>九九偵探數學遊戲書1</v>
          </cell>
          <cell r="C41" t="str">
            <v>學習</v>
          </cell>
          <cell r="D41" t="str">
            <v>學習</v>
          </cell>
        </row>
        <row r="42">
          <cell r="A42" t="str">
            <v>20200FB02</v>
          </cell>
          <cell r="B42" t="str">
            <v>九九偵探數學遊戲書2</v>
          </cell>
          <cell r="C42" t="str">
            <v>學習</v>
          </cell>
          <cell r="D42" t="str">
            <v>學習</v>
          </cell>
        </row>
        <row r="43">
          <cell r="A43" t="str">
            <v>20200FB03</v>
          </cell>
          <cell r="B43" t="str">
            <v>九九偵探數學遊戲書3</v>
          </cell>
          <cell r="C43" t="str">
            <v>學習</v>
          </cell>
          <cell r="D43" t="str">
            <v>學習</v>
          </cell>
        </row>
        <row r="44">
          <cell r="A44" t="str">
            <v>20200FB05</v>
          </cell>
          <cell r="B44" t="str">
            <v>九九乘法遊戲機</v>
          </cell>
          <cell r="C44" t="str">
            <v>學習</v>
          </cell>
          <cell r="D44" t="str">
            <v>學習</v>
          </cell>
        </row>
        <row r="45">
          <cell r="A45" t="str">
            <v>20200FB06</v>
          </cell>
          <cell r="B45" t="str">
            <v>數學偵探解碼筆</v>
          </cell>
          <cell r="C45" t="str">
            <v>學習</v>
          </cell>
          <cell r="D45" t="str">
            <v>學習</v>
          </cell>
        </row>
        <row r="46">
          <cell r="A46" t="str">
            <v>20200FB09</v>
          </cell>
          <cell r="B46" t="str">
            <v>九九乘法遊戲機說明書</v>
          </cell>
          <cell r="C46" t="str">
            <v>學習</v>
          </cell>
          <cell r="D46" t="str">
            <v>學習</v>
          </cell>
        </row>
        <row r="47">
          <cell r="A47" t="str">
            <v>20200FBD8</v>
          </cell>
          <cell r="B47" t="str">
            <v>九九乘法DVD</v>
          </cell>
          <cell r="C47" t="str">
            <v>學習</v>
          </cell>
          <cell r="D47" t="str">
            <v>學習</v>
          </cell>
        </row>
        <row r="48">
          <cell r="A48" t="str">
            <v>20201M101</v>
          </cell>
          <cell r="B48" t="str">
            <v>遊戲書1 PEEK-A-BOO</v>
          </cell>
          <cell r="C48" t="str">
            <v>學習</v>
          </cell>
          <cell r="D48" t="str">
            <v>學習</v>
          </cell>
        </row>
        <row r="49">
          <cell r="A49" t="str">
            <v>20201M102</v>
          </cell>
          <cell r="B49" t="str">
            <v>遊戲書2 THE JELLY 4 CONCERT TOUR</v>
          </cell>
          <cell r="C49" t="str">
            <v>學習</v>
          </cell>
          <cell r="D49" t="str">
            <v>學習</v>
          </cell>
        </row>
        <row r="50">
          <cell r="A50" t="str">
            <v>20201M103</v>
          </cell>
          <cell r="B50" t="str">
            <v>遊戲書3 EARS MOUTH NOSE AND EYES</v>
          </cell>
          <cell r="C50" t="str">
            <v>學習</v>
          </cell>
          <cell r="D50" t="str">
            <v>學習</v>
          </cell>
        </row>
        <row r="51">
          <cell r="A51" t="str">
            <v>20201M104</v>
          </cell>
          <cell r="B51" t="str">
            <v>遊戲書4 SPEEDY DELIVERY</v>
          </cell>
          <cell r="C51" t="str">
            <v>學習</v>
          </cell>
          <cell r="D51" t="str">
            <v>學習</v>
          </cell>
        </row>
        <row r="52">
          <cell r="A52" t="str">
            <v>20201M105</v>
          </cell>
          <cell r="B52" t="str">
            <v>遊戲書5 A COLORFUL WORLD</v>
          </cell>
          <cell r="C52" t="str">
            <v>學習</v>
          </cell>
          <cell r="D52" t="str">
            <v>學習</v>
          </cell>
        </row>
        <row r="53">
          <cell r="A53" t="str">
            <v>20201M106</v>
          </cell>
          <cell r="B53" t="str">
            <v>遊戲書6 WORD BOOK</v>
          </cell>
          <cell r="C53" t="str">
            <v>學習</v>
          </cell>
          <cell r="D53" t="str">
            <v>學習</v>
          </cell>
        </row>
        <row r="54">
          <cell r="A54" t="str">
            <v>20201M206</v>
          </cell>
          <cell r="B54" t="str">
            <v>WORD BOOK貼紙</v>
          </cell>
          <cell r="C54" t="str">
            <v>學習</v>
          </cell>
          <cell r="D54" t="str">
            <v>學習</v>
          </cell>
        </row>
        <row r="55">
          <cell r="A55" t="str">
            <v>20201M401</v>
          </cell>
          <cell r="B55" t="str">
            <v>英文使用手冊</v>
          </cell>
          <cell r="C55" t="str">
            <v>學習</v>
          </cell>
          <cell r="D55" t="str">
            <v>學習</v>
          </cell>
        </row>
        <row r="56">
          <cell r="A56" t="str">
            <v>20201M601</v>
          </cell>
          <cell r="B56" t="str">
            <v>我的CD PLAYER&amp;果凍四兄妹</v>
          </cell>
          <cell r="C56" t="str">
            <v>學習</v>
          </cell>
          <cell r="D56" t="str">
            <v>學習</v>
          </cell>
        </row>
        <row r="57">
          <cell r="A57" t="str">
            <v>20201M603</v>
          </cell>
          <cell r="B57" t="str">
            <v>學習偶&amp;YUMMY水果片</v>
          </cell>
          <cell r="C57" t="str">
            <v>學習</v>
          </cell>
          <cell r="D57" t="str">
            <v>學習</v>
          </cell>
        </row>
        <row r="58">
          <cell r="A58" t="str">
            <v>20201M605</v>
          </cell>
          <cell r="B58" t="str">
            <v>英語互動學習機</v>
          </cell>
          <cell r="C58" t="str">
            <v>學習</v>
          </cell>
          <cell r="D58" t="str">
            <v>學習</v>
          </cell>
        </row>
        <row r="59">
          <cell r="A59" t="str">
            <v>20201MD01</v>
          </cell>
          <cell r="B59" t="str">
            <v>英文DVD1</v>
          </cell>
          <cell r="C59" t="str">
            <v>學習</v>
          </cell>
          <cell r="D59" t="str">
            <v>學習</v>
          </cell>
        </row>
        <row r="60">
          <cell r="A60" t="str">
            <v>20201MD02</v>
          </cell>
          <cell r="B60" t="str">
            <v>英文DVD2</v>
          </cell>
          <cell r="C60" t="str">
            <v>學習</v>
          </cell>
          <cell r="D60" t="str">
            <v>學習</v>
          </cell>
        </row>
        <row r="61">
          <cell r="A61" t="str">
            <v>20201MD03</v>
          </cell>
          <cell r="B61" t="str">
            <v>英文DVD3</v>
          </cell>
          <cell r="C61" t="str">
            <v>學習</v>
          </cell>
          <cell r="D61" t="str">
            <v>學習</v>
          </cell>
        </row>
        <row r="62">
          <cell r="A62" t="str">
            <v>20201ME01</v>
          </cell>
          <cell r="B62" t="str">
            <v>巧虎CD收納盒&amp;CD</v>
          </cell>
          <cell r="C62" t="str">
            <v>學習</v>
          </cell>
          <cell r="D62" t="str">
            <v>學習</v>
          </cell>
        </row>
        <row r="63">
          <cell r="A63" t="str">
            <v>20201MY00</v>
          </cell>
          <cell r="B63" t="str">
            <v>和巧虎一起說英語套組初階版</v>
          </cell>
          <cell r="C63" t="str">
            <v>學習</v>
          </cell>
          <cell r="D63" t="str">
            <v>學習</v>
          </cell>
        </row>
        <row r="64">
          <cell r="A64" t="str">
            <v>20201MY00-包裝箱</v>
          </cell>
          <cell r="B64" t="str">
            <v>和巧虎一起說英語-包裝箱</v>
          </cell>
          <cell r="C64" t="str">
            <v>學習</v>
          </cell>
          <cell r="D64" t="str">
            <v>學習</v>
          </cell>
        </row>
        <row r="65">
          <cell r="A65" t="str">
            <v>2021MPB12</v>
          </cell>
          <cell r="B65" t="str">
            <v>巧虎純棉方巾組(2入)</v>
          </cell>
          <cell r="C65" t="str">
            <v>學習</v>
          </cell>
          <cell r="D65" t="str">
            <v>學習</v>
          </cell>
        </row>
        <row r="66">
          <cell r="A66" t="str">
            <v>20220M101</v>
          </cell>
          <cell r="B66" t="str">
            <v>遊戲書1 NUMBERS</v>
          </cell>
          <cell r="C66" t="str">
            <v>學習</v>
          </cell>
          <cell r="D66" t="str">
            <v>學習</v>
          </cell>
        </row>
        <row r="67">
          <cell r="A67" t="str">
            <v>20220M102</v>
          </cell>
          <cell r="B67" t="str">
            <v>遊戲書2 SHAPES</v>
          </cell>
          <cell r="C67" t="str">
            <v>學習</v>
          </cell>
          <cell r="D67" t="str">
            <v>學習</v>
          </cell>
        </row>
        <row r="68">
          <cell r="A68" t="str">
            <v>20220M103</v>
          </cell>
          <cell r="B68" t="str">
            <v>遊戲書3 WHAT IS YOUR NAME?</v>
          </cell>
          <cell r="C68" t="str">
            <v>學習</v>
          </cell>
          <cell r="D68" t="str">
            <v>學習</v>
          </cell>
        </row>
        <row r="69">
          <cell r="A69" t="str">
            <v>20220M104</v>
          </cell>
          <cell r="B69" t="str">
            <v>遊戲書4 I DID IT</v>
          </cell>
          <cell r="C69" t="str">
            <v>學習</v>
          </cell>
          <cell r="D69" t="str">
            <v>學習</v>
          </cell>
        </row>
        <row r="70">
          <cell r="A70" t="str">
            <v>20220M105</v>
          </cell>
          <cell r="B70" t="str">
            <v>遊戲書5 I FOUND IT!</v>
          </cell>
          <cell r="C70" t="str">
            <v>學習</v>
          </cell>
          <cell r="D70" t="str">
            <v>學習</v>
          </cell>
        </row>
        <row r="71">
          <cell r="A71" t="str">
            <v>20220M106</v>
          </cell>
          <cell r="B71" t="str">
            <v>遊戲書6 I CAN HELP YOU</v>
          </cell>
          <cell r="C71" t="str">
            <v>學習</v>
          </cell>
          <cell r="D71" t="str">
            <v>學習</v>
          </cell>
        </row>
        <row r="72">
          <cell r="A72" t="str">
            <v>20220M201</v>
          </cell>
          <cell r="B72" t="str">
            <v>和巧虎一起說英語貼紙</v>
          </cell>
          <cell r="C72" t="str">
            <v>學習</v>
          </cell>
          <cell r="D72" t="str">
            <v>學習</v>
          </cell>
        </row>
        <row r="73">
          <cell r="A73" t="str">
            <v>20220M301</v>
          </cell>
          <cell r="B73" t="str">
            <v>ALPHABET WORKBOOK字母練習本</v>
          </cell>
          <cell r="C73" t="str">
            <v>學習</v>
          </cell>
          <cell r="D73" t="str">
            <v>學習</v>
          </cell>
        </row>
        <row r="74">
          <cell r="A74" t="str">
            <v>20220M401</v>
          </cell>
          <cell r="B74" t="str">
            <v>英文進階使用手冊</v>
          </cell>
          <cell r="C74" t="str">
            <v>學習</v>
          </cell>
          <cell r="D74" t="str">
            <v>學習</v>
          </cell>
        </row>
        <row r="75">
          <cell r="A75" t="str">
            <v>20220M601</v>
          </cell>
          <cell r="B75" t="str">
            <v>英語點一點遊戲機</v>
          </cell>
          <cell r="C75" t="str">
            <v>學習</v>
          </cell>
          <cell r="D75" t="str">
            <v>學習</v>
          </cell>
        </row>
        <row r="76">
          <cell r="A76" t="str">
            <v>20220M602</v>
          </cell>
          <cell r="B76" t="str">
            <v>英語超聰明遊戲機</v>
          </cell>
          <cell r="C76" t="str">
            <v>學習</v>
          </cell>
          <cell r="D76" t="str">
            <v>學習</v>
          </cell>
        </row>
        <row r="77">
          <cell r="A77" t="str">
            <v>20220MD01</v>
          </cell>
          <cell r="B77" t="str">
            <v>英文進階 DVD1</v>
          </cell>
          <cell r="C77" t="str">
            <v>學習</v>
          </cell>
          <cell r="D77" t="str">
            <v>學習</v>
          </cell>
        </row>
        <row r="78">
          <cell r="A78" t="str">
            <v>20220MD02</v>
          </cell>
          <cell r="B78" t="str">
            <v>英文進階 DVD2</v>
          </cell>
          <cell r="C78" t="str">
            <v>學習</v>
          </cell>
          <cell r="D78" t="str">
            <v>學習</v>
          </cell>
        </row>
        <row r="79">
          <cell r="A79" t="str">
            <v>20220MD03</v>
          </cell>
          <cell r="B79" t="str">
            <v>英文進階 DVD3</v>
          </cell>
          <cell r="C79" t="str">
            <v>學習</v>
          </cell>
          <cell r="D79" t="str">
            <v>學習</v>
          </cell>
        </row>
        <row r="80">
          <cell r="A80" t="str">
            <v>20220ME01</v>
          </cell>
          <cell r="B80" t="str">
            <v>英語指令遊戲墊</v>
          </cell>
          <cell r="C80" t="str">
            <v>學習</v>
          </cell>
          <cell r="D80" t="str">
            <v>學習</v>
          </cell>
        </row>
        <row r="81">
          <cell r="A81" t="str">
            <v>20220ME02</v>
          </cell>
          <cell r="B81" t="str">
            <v>英語指令遊戲牌</v>
          </cell>
          <cell r="C81" t="str">
            <v>學習</v>
          </cell>
          <cell r="D81" t="str">
            <v>學習</v>
          </cell>
        </row>
        <row r="82">
          <cell r="A82" t="str">
            <v>20220MY00</v>
          </cell>
          <cell r="B82" t="str">
            <v>和巧虎一起說英語套組進階版</v>
          </cell>
          <cell r="C82" t="str">
            <v>學習</v>
          </cell>
          <cell r="D82" t="str">
            <v>學習</v>
          </cell>
        </row>
        <row r="83">
          <cell r="A83" t="str">
            <v>20220MY00-包裝箱</v>
          </cell>
          <cell r="B83" t="str">
            <v>和巧虎一起說英語進階版-包裝箱</v>
          </cell>
          <cell r="C83" t="str">
            <v>學習</v>
          </cell>
          <cell r="D83" t="str">
            <v>學習</v>
          </cell>
        </row>
        <row r="84">
          <cell r="A84" t="str">
            <v>2022MPB10</v>
          </cell>
          <cell r="B84" t="str">
            <v>巧虎真聰明拼圖</v>
          </cell>
          <cell r="C84" t="str">
            <v>學習</v>
          </cell>
          <cell r="D84" t="str">
            <v>學習</v>
          </cell>
        </row>
        <row r="85">
          <cell r="A85" t="str">
            <v>20230FXAA</v>
          </cell>
          <cell r="B85" t="str">
            <v>注音&amp;英語初階合購</v>
          </cell>
          <cell r="C85" t="str">
            <v>學習</v>
          </cell>
          <cell r="D85" t="str">
            <v>學習</v>
          </cell>
        </row>
        <row r="86">
          <cell r="A86" t="str">
            <v>20230FXAB</v>
          </cell>
          <cell r="B86" t="str">
            <v>注音&amp;英語進階合購</v>
          </cell>
          <cell r="C86" t="str">
            <v>學習</v>
          </cell>
          <cell r="D86" t="str">
            <v>學習</v>
          </cell>
        </row>
        <row r="87">
          <cell r="A87" t="str">
            <v>20230FXAC</v>
          </cell>
          <cell r="B87" t="str">
            <v>英語初階+護脊書包合購組-女款(12L)</v>
          </cell>
          <cell r="C87" t="str">
            <v>學習</v>
          </cell>
          <cell r="D87" t="str">
            <v>學習</v>
          </cell>
        </row>
        <row r="88">
          <cell r="A88" t="str">
            <v>20230FXAD</v>
          </cell>
          <cell r="B88" t="str">
            <v>英語初階+護脊書包合購組-男款(12L)</v>
          </cell>
          <cell r="C88" t="str">
            <v>學習</v>
          </cell>
          <cell r="D88" t="str">
            <v>學習</v>
          </cell>
        </row>
        <row r="89">
          <cell r="A89" t="str">
            <v>20230FXAE</v>
          </cell>
          <cell r="B89" t="str">
            <v>英語進階+護脊書包合購組-女款(12L)</v>
          </cell>
          <cell r="C89" t="str">
            <v>學習</v>
          </cell>
          <cell r="D89" t="str">
            <v>學習</v>
          </cell>
        </row>
        <row r="90">
          <cell r="A90" t="str">
            <v>20230FXAF</v>
          </cell>
          <cell r="B90" t="str">
            <v>英語進階+護脊書包合購組-男款(12L)</v>
          </cell>
          <cell r="C90" t="str">
            <v>學習</v>
          </cell>
          <cell r="D90" t="str">
            <v>學習</v>
          </cell>
        </row>
        <row r="91">
          <cell r="A91" t="str">
            <v>20230FXAG</v>
          </cell>
          <cell r="B91" t="str">
            <v>英語進階+護脊書包合購組-女款(22L)</v>
          </cell>
          <cell r="C91" t="str">
            <v>學習</v>
          </cell>
          <cell r="D91" t="str">
            <v>學習</v>
          </cell>
        </row>
        <row r="92">
          <cell r="A92" t="str">
            <v>20230FXAH</v>
          </cell>
          <cell r="B92" t="str">
            <v>英語進階+護脊書包合購組-男款(22L)</v>
          </cell>
          <cell r="C92" t="str">
            <v>學習</v>
          </cell>
          <cell r="D92" t="str">
            <v>學習</v>
          </cell>
        </row>
        <row r="93">
          <cell r="A93" t="str">
            <v>20230FXAJ</v>
          </cell>
          <cell r="B93" t="str">
            <v>巧虎注音+護脊書包合購組-女款(12L)</v>
          </cell>
          <cell r="C93" t="str">
            <v>學習</v>
          </cell>
          <cell r="D93" t="str">
            <v>學習</v>
          </cell>
        </row>
        <row r="94">
          <cell r="A94" t="str">
            <v>20230FXAK</v>
          </cell>
          <cell r="B94" t="str">
            <v>巧虎注音+護脊書包合購組-男款(12L)</v>
          </cell>
          <cell r="C94" t="str">
            <v>學習</v>
          </cell>
          <cell r="D94" t="str">
            <v>學習</v>
          </cell>
        </row>
        <row r="95">
          <cell r="A95" t="str">
            <v>20230FXAM</v>
          </cell>
          <cell r="B95" t="str">
            <v>巧虎注音+護脊書包合購組-女款(22L)</v>
          </cell>
          <cell r="C95" t="str">
            <v>學習</v>
          </cell>
          <cell r="D95" t="str">
            <v>學習</v>
          </cell>
        </row>
        <row r="96">
          <cell r="A96" t="str">
            <v>20230FXAN</v>
          </cell>
          <cell r="B96" t="str">
            <v>巧虎注音+護脊書包合購組-男款(22L)</v>
          </cell>
          <cell r="C96" t="str">
            <v>學習</v>
          </cell>
          <cell r="D96" t="str">
            <v>學習</v>
          </cell>
        </row>
        <row r="97">
          <cell r="A97" t="str">
            <v>20230FXAP</v>
          </cell>
          <cell r="B97" t="str">
            <v>巧虎九九+護脊書包合購組-女款(22L)</v>
          </cell>
          <cell r="C97" t="str">
            <v>學習</v>
          </cell>
          <cell r="D97" t="str">
            <v>學習</v>
          </cell>
        </row>
        <row r="98">
          <cell r="A98" t="str">
            <v>20230FXAQ</v>
          </cell>
          <cell r="B98" t="str">
            <v>巧虎九九+護脊書包合購組-男款(22L)</v>
          </cell>
          <cell r="C98" t="str">
            <v>學習</v>
          </cell>
          <cell r="D98" t="str">
            <v>學習</v>
          </cell>
        </row>
        <row r="99">
          <cell r="A99" t="str">
            <v>20230M101</v>
          </cell>
          <cell r="B99" t="str">
            <v>Peek-a-Boo</v>
          </cell>
          <cell r="C99" t="str">
            <v>學習</v>
          </cell>
          <cell r="D99" t="str">
            <v>學習</v>
          </cell>
        </row>
        <row r="100">
          <cell r="A100" t="str">
            <v>20230M102</v>
          </cell>
          <cell r="B100" t="str">
            <v>The Up and Down in the Zoo</v>
          </cell>
          <cell r="C100" t="str">
            <v>學習</v>
          </cell>
          <cell r="D100" t="str">
            <v>學習</v>
          </cell>
        </row>
        <row r="101">
          <cell r="A101" t="str">
            <v>20230M103</v>
          </cell>
          <cell r="B101" t="str">
            <v>Ears Mouth Nose and Eyes</v>
          </cell>
          <cell r="C101" t="str">
            <v>學習</v>
          </cell>
          <cell r="D101" t="str">
            <v>學習</v>
          </cell>
        </row>
        <row r="102">
          <cell r="A102" t="str">
            <v>20230M104</v>
          </cell>
          <cell r="B102" t="str">
            <v>Speedy Delivery</v>
          </cell>
          <cell r="C102" t="str">
            <v>學習</v>
          </cell>
          <cell r="D102" t="str">
            <v>學習</v>
          </cell>
        </row>
        <row r="103">
          <cell r="A103" t="str">
            <v>20230M105</v>
          </cell>
          <cell r="B103" t="str">
            <v>A colorful World</v>
          </cell>
          <cell r="C103" t="str">
            <v>學習</v>
          </cell>
          <cell r="D103" t="str">
            <v>學習</v>
          </cell>
        </row>
        <row r="104">
          <cell r="A104" t="str">
            <v>20230M106</v>
          </cell>
          <cell r="B104" t="str">
            <v>Word Book</v>
          </cell>
          <cell r="C104" t="str">
            <v>學習</v>
          </cell>
          <cell r="D104" t="str">
            <v>學習</v>
          </cell>
        </row>
        <row r="105">
          <cell r="A105" t="str">
            <v>20230M401</v>
          </cell>
          <cell r="B105" t="str">
            <v>英語PLUS使用手冊</v>
          </cell>
          <cell r="C105" t="str">
            <v>學習</v>
          </cell>
          <cell r="D105" t="str">
            <v>學習</v>
          </cell>
        </row>
        <row r="106">
          <cell r="A106" t="str">
            <v>20230M601</v>
          </cell>
          <cell r="B106" t="str">
            <v>我的CD播放器</v>
          </cell>
          <cell r="C106" t="str">
            <v>學習</v>
          </cell>
          <cell r="D106" t="str">
            <v>學習</v>
          </cell>
        </row>
        <row r="107">
          <cell r="A107" t="str">
            <v>20230M602</v>
          </cell>
          <cell r="B107" t="str">
            <v>英語扮演遊戲機</v>
          </cell>
          <cell r="C107" t="str">
            <v>學習</v>
          </cell>
          <cell r="D107" t="str">
            <v>學習</v>
          </cell>
        </row>
        <row r="108">
          <cell r="A108" t="str">
            <v>20230MX00</v>
          </cell>
          <cell r="B108" t="str">
            <v>英語合購組(初階+進階)</v>
          </cell>
          <cell r="C108" t="str">
            <v>學習</v>
          </cell>
          <cell r="D108" t="str">
            <v>學習</v>
          </cell>
        </row>
        <row r="109">
          <cell r="A109" t="str">
            <v>20230MY00</v>
          </cell>
          <cell r="B109" t="str">
            <v>和巧虎一起說英語Plus</v>
          </cell>
          <cell r="C109" t="str">
            <v>學習</v>
          </cell>
          <cell r="D109" t="str">
            <v>學習</v>
          </cell>
        </row>
        <row r="110">
          <cell r="A110" t="str">
            <v>20240FM00</v>
          </cell>
          <cell r="B110" t="str">
            <v>注音套組2.0</v>
          </cell>
          <cell r="C110" t="str">
            <v>學習</v>
          </cell>
          <cell r="D110" t="str">
            <v>學習</v>
          </cell>
        </row>
        <row r="111">
          <cell r="A111" t="str">
            <v>20240FM00-包裝盒</v>
          </cell>
          <cell r="B111" t="str">
            <v>注音套組2.0外盒</v>
          </cell>
          <cell r="C111" t="str">
            <v>學習</v>
          </cell>
          <cell r="D111" t="str">
            <v>學習</v>
          </cell>
        </row>
        <row r="112">
          <cell r="A112" t="str">
            <v>20240FM01</v>
          </cell>
          <cell r="B112" t="str">
            <v>注音念謠動物園</v>
          </cell>
          <cell r="C112" t="str">
            <v>學習</v>
          </cell>
          <cell r="D112" t="str">
            <v>學習</v>
          </cell>
        </row>
        <row r="113">
          <cell r="A113" t="str">
            <v>20240FM02</v>
          </cell>
          <cell r="B113" t="str">
            <v>ㄅㄆㄇ筆順遊戲書</v>
          </cell>
          <cell r="C113" t="str">
            <v>學習</v>
          </cell>
          <cell r="D113" t="str">
            <v>學習</v>
          </cell>
        </row>
        <row r="114">
          <cell r="A114" t="str">
            <v>20240FM03</v>
          </cell>
          <cell r="B114" t="str">
            <v>拼音一級棒</v>
          </cell>
          <cell r="C114" t="str">
            <v>學習</v>
          </cell>
          <cell r="D114" t="str">
            <v>學習</v>
          </cell>
        </row>
        <row r="115">
          <cell r="A115" t="str">
            <v>20240FM04</v>
          </cell>
          <cell r="B115" t="str">
            <v>念謠小高手</v>
          </cell>
          <cell r="C115" t="str">
            <v>學習</v>
          </cell>
          <cell r="D115" t="str">
            <v>學習</v>
          </cell>
        </row>
        <row r="116">
          <cell r="A116" t="str">
            <v>20240FM05</v>
          </cell>
          <cell r="B116" t="str">
            <v>注音語詞海報</v>
          </cell>
          <cell r="C116" t="str">
            <v>學習</v>
          </cell>
          <cell r="D116" t="str">
            <v>學習</v>
          </cell>
        </row>
        <row r="117">
          <cell r="A117" t="str">
            <v>20240FM06</v>
          </cell>
          <cell r="B117" t="str">
            <v>拼音語詞挑戰卡</v>
          </cell>
          <cell r="C117" t="str">
            <v>學習</v>
          </cell>
          <cell r="D117" t="str">
            <v>學習</v>
          </cell>
        </row>
        <row r="118">
          <cell r="A118" t="str">
            <v>20240FM07</v>
          </cell>
          <cell r="B118" t="str">
            <v>IC注音描寫機</v>
          </cell>
          <cell r="C118" t="str">
            <v>學習</v>
          </cell>
          <cell r="D118" t="str">
            <v>學習</v>
          </cell>
        </row>
        <row r="119">
          <cell r="A119" t="str">
            <v>20240FM08</v>
          </cell>
          <cell r="B119" t="str">
            <v>描寫筆</v>
          </cell>
          <cell r="C119" t="str">
            <v>學習</v>
          </cell>
          <cell r="D119" t="str">
            <v>學習</v>
          </cell>
        </row>
        <row r="120">
          <cell r="A120" t="str">
            <v>20240RA01</v>
          </cell>
          <cell r="B120" t="str">
            <v>Mirafeel單包S</v>
          </cell>
          <cell r="C120" t="str">
            <v>Mirafeel</v>
          </cell>
          <cell r="D120" t="str">
            <v>Mirafeel</v>
          </cell>
        </row>
        <row r="121">
          <cell r="A121" t="str">
            <v>20240RA03</v>
          </cell>
          <cell r="B121" t="str">
            <v>Mirafeel單包L</v>
          </cell>
          <cell r="C121" t="str">
            <v>Mirafeel</v>
          </cell>
          <cell r="D121" t="str">
            <v>Mirafeel</v>
          </cell>
        </row>
        <row r="122">
          <cell r="A122" t="str">
            <v>20240RA04</v>
          </cell>
          <cell r="B122" t="str">
            <v>Mirafeel單包XL</v>
          </cell>
          <cell r="C122" t="str">
            <v>Mirafeel</v>
          </cell>
          <cell r="D122" t="str">
            <v>Mirafeel</v>
          </cell>
        </row>
        <row r="123">
          <cell r="A123" t="str">
            <v>20240RA05</v>
          </cell>
          <cell r="B123" t="str">
            <v>Mirafeel單包XXL</v>
          </cell>
          <cell r="C123" t="str">
            <v>Mirafeel</v>
          </cell>
          <cell r="D123" t="str">
            <v>Mirafeel</v>
          </cell>
        </row>
        <row r="124">
          <cell r="A124" t="str">
            <v>20240RC01</v>
          </cell>
          <cell r="B124" t="str">
            <v>Mirafeel試用包S</v>
          </cell>
          <cell r="C124" t="str">
            <v>Mirafeel</v>
          </cell>
          <cell r="D124" t="str">
            <v>Mirafeel</v>
          </cell>
        </row>
        <row r="125">
          <cell r="A125" t="str">
            <v>20240RC02</v>
          </cell>
          <cell r="B125" t="str">
            <v>Mirafeel試用包M</v>
          </cell>
          <cell r="C125" t="str">
            <v>Mirafeel</v>
          </cell>
          <cell r="D125" t="str">
            <v>Mirafeel</v>
          </cell>
        </row>
        <row r="126">
          <cell r="A126" t="str">
            <v>20240RC03</v>
          </cell>
          <cell r="B126" t="str">
            <v>Mirafeel試用包L</v>
          </cell>
          <cell r="C126" t="str">
            <v>Mirafeel</v>
          </cell>
          <cell r="D126" t="str">
            <v>Mirafeel</v>
          </cell>
        </row>
        <row r="127">
          <cell r="A127" t="str">
            <v>20240RC04</v>
          </cell>
          <cell r="B127" t="str">
            <v>Mirafeel試用包XL</v>
          </cell>
          <cell r="C127" t="str">
            <v>Mirafeel</v>
          </cell>
          <cell r="D127" t="str">
            <v>Mirafeel</v>
          </cell>
        </row>
        <row r="128">
          <cell r="A128" t="str">
            <v>20240RC05</v>
          </cell>
          <cell r="B128" t="str">
            <v>Mirafeel試用包XXL</v>
          </cell>
          <cell r="C128" t="str">
            <v>Mirafeel</v>
          </cell>
          <cell r="D128" t="str">
            <v>Mirafeel</v>
          </cell>
        </row>
        <row r="129">
          <cell r="A129" t="str">
            <v>20240RYA2</v>
          </cell>
          <cell r="B129" t="str">
            <v>Mirafeel整箱M</v>
          </cell>
          <cell r="C129" t="str">
            <v>Mirafeel</v>
          </cell>
          <cell r="D129" t="str">
            <v>Mirafeel</v>
          </cell>
        </row>
        <row r="130">
          <cell r="A130" t="str">
            <v>20240RA02</v>
          </cell>
          <cell r="B130" t="str">
            <v>Mirafeel單包M</v>
          </cell>
          <cell r="C130" t="str">
            <v>Mirafeel</v>
          </cell>
          <cell r="D130" t="str">
            <v>Mirafeel</v>
          </cell>
        </row>
        <row r="131">
          <cell r="A131" t="str">
            <v>20240RB01</v>
          </cell>
          <cell r="B131" t="str">
            <v>Mirafeel半包S</v>
          </cell>
          <cell r="C131" t="str">
            <v>Mirafeel</v>
          </cell>
          <cell r="D131" t="str">
            <v>Mirafeel</v>
          </cell>
        </row>
        <row r="132">
          <cell r="A132" t="str">
            <v>20240RB02</v>
          </cell>
          <cell r="B132" t="str">
            <v>Mirafeel半包M</v>
          </cell>
          <cell r="C132" t="str">
            <v>Mirafeel</v>
          </cell>
          <cell r="D132" t="str">
            <v>Mirafeel</v>
          </cell>
        </row>
        <row r="133">
          <cell r="A133" t="str">
            <v>20240RB03</v>
          </cell>
          <cell r="B133" t="str">
            <v>Mirafeel半包L</v>
          </cell>
          <cell r="C133" t="str">
            <v>Mirafeel</v>
          </cell>
          <cell r="D133" t="str">
            <v>Mirafeel</v>
          </cell>
        </row>
        <row r="134">
          <cell r="A134" t="str">
            <v>20240RYA1</v>
          </cell>
          <cell r="B134" t="str">
            <v>Mirafeel整箱S</v>
          </cell>
          <cell r="C134" t="str">
            <v>Mirafeel</v>
          </cell>
          <cell r="D134" t="str">
            <v>Mirafeel</v>
          </cell>
        </row>
        <row r="135">
          <cell r="A135" t="str">
            <v>20240RYA3</v>
          </cell>
          <cell r="B135" t="str">
            <v>Mirafeel整箱L</v>
          </cell>
          <cell r="C135" t="str">
            <v>Mirafeel</v>
          </cell>
          <cell r="D135" t="str">
            <v>Mirafeel</v>
          </cell>
        </row>
        <row r="136">
          <cell r="A136" t="str">
            <v>20240RYA4</v>
          </cell>
          <cell r="B136" t="str">
            <v>Mirafeel整箱XL</v>
          </cell>
          <cell r="C136" t="str">
            <v>Mirafeel</v>
          </cell>
          <cell r="D136" t="str">
            <v>Mirafeel</v>
          </cell>
        </row>
        <row r="137">
          <cell r="A137" t="str">
            <v>20240RYA5</v>
          </cell>
          <cell r="B137" t="str">
            <v>Mirafeel整箱XXL</v>
          </cell>
          <cell r="C137" t="str">
            <v>Mirafeel</v>
          </cell>
          <cell r="D137" t="str">
            <v>Mirafeel</v>
          </cell>
        </row>
        <row r="138">
          <cell r="A138" t="str">
            <v>2024MXAA</v>
          </cell>
          <cell r="B138" t="str">
            <v>初階</v>
          </cell>
          <cell r="C138" t="str">
            <v>學習</v>
          </cell>
          <cell r="D138" t="str">
            <v>學習</v>
          </cell>
        </row>
        <row r="139">
          <cell r="A139" t="str">
            <v>2024MXAB</v>
          </cell>
          <cell r="B139" t="str">
            <v>進階</v>
          </cell>
          <cell r="C139" t="str">
            <v>學習</v>
          </cell>
          <cell r="D139" t="str">
            <v>學習</v>
          </cell>
        </row>
        <row r="140">
          <cell r="A140" t="str">
            <v>20240FXAJ</v>
          </cell>
          <cell r="B140" t="str">
            <v>九九</v>
          </cell>
          <cell r="C140" t="str">
            <v>學習</v>
          </cell>
          <cell r="D140" t="str">
            <v>學習</v>
          </cell>
        </row>
        <row r="141">
          <cell r="A141" t="str">
            <v>20240FXAG</v>
          </cell>
          <cell r="B141" t="str">
            <v>寶寶生活好習慣套組</v>
          </cell>
          <cell r="C141" t="str">
            <v>學習</v>
          </cell>
          <cell r="D141" t="str">
            <v>學習</v>
          </cell>
        </row>
        <row r="142">
          <cell r="A142" t="str">
            <v>20240FXAH</v>
          </cell>
          <cell r="B142" t="str">
            <v>巧比套組＋購物組</v>
          </cell>
          <cell r="C142" t="str">
            <v>學習</v>
          </cell>
          <cell r="D142" t="str">
            <v>學習</v>
          </cell>
        </row>
        <row r="143">
          <cell r="A143" t="str">
            <v>20240FXAF</v>
          </cell>
          <cell r="B143" t="str">
            <v>寶寶生活好習慣套組</v>
          </cell>
          <cell r="C143" t="str">
            <v>學習</v>
          </cell>
          <cell r="D143" t="str">
            <v>學習</v>
          </cell>
        </row>
        <row r="144">
          <cell r="A144" t="str">
            <v>20240FXAK</v>
          </cell>
          <cell r="B144" t="str">
            <v>點讀巧比思考力遊戲組+餐廳遊戲組</v>
          </cell>
          <cell r="C144" t="str">
            <v>學習</v>
          </cell>
          <cell r="D144" t="str">
            <v>學習</v>
          </cell>
        </row>
        <row r="145">
          <cell r="A145" t="str">
            <v>20222C603</v>
          </cell>
          <cell r="B145" t="str">
            <v>餐廳遊戲組〈幼〉</v>
          </cell>
          <cell r="C145" t="str">
            <v>學習</v>
          </cell>
          <cell r="D145" t="str">
            <v>學習</v>
          </cell>
        </row>
        <row r="146">
          <cell r="A146" t="str">
            <v>20240FXAM</v>
          </cell>
          <cell r="B146" t="str">
            <v>點讀巧比套組+餐廳遊戲組(贈數字配對組)</v>
          </cell>
          <cell r="C146" t="str">
            <v>學習</v>
          </cell>
          <cell r="D146" t="str">
            <v>學習</v>
          </cell>
        </row>
        <row r="147">
          <cell r="A147" t="str">
            <v>20250FA00</v>
          </cell>
          <cell r="B147" t="str">
            <v>好情緒EQ X 品格人際套組</v>
          </cell>
          <cell r="C147" t="str">
            <v>學習</v>
          </cell>
          <cell r="D147" t="str">
            <v>學習</v>
          </cell>
        </row>
        <row r="148">
          <cell r="A148" t="str">
            <v>20240FXAN</v>
          </cell>
          <cell r="B148" t="str">
            <v>寶寶生活好習慣套組+兩用水壺+疊疊杯</v>
          </cell>
          <cell r="C148" t="str">
            <v>學習</v>
          </cell>
          <cell r="D148" t="str">
            <v>學習</v>
          </cell>
        </row>
        <row r="149">
          <cell r="A149" t="str">
            <v>20240FXAP</v>
          </cell>
          <cell r="B149" t="str">
            <v>寶寶生活好習慣套組A+巧虎手偶互動組+兩用水壺+疊疊杯</v>
          </cell>
          <cell r="C149" t="str">
            <v>學習</v>
          </cell>
          <cell r="D149" t="str">
            <v>學習</v>
          </cell>
        </row>
        <row r="150">
          <cell r="A150" t="str">
            <v>20240FXAR</v>
          </cell>
          <cell r="B150" t="str">
            <v>點讀巧比思考力遊戲組+巧虎推推樂</v>
          </cell>
          <cell r="C150" t="str">
            <v>學習</v>
          </cell>
          <cell r="D150" t="str">
            <v>學習</v>
          </cell>
        </row>
        <row r="151">
          <cell r="A151" t="str">
            <v>20240FXAS</v>
          </cell>
          <cell r="B151" t="str">
            <v>點讀巧比思考力遊戲組+點心數字配對+廳餐遊戲+推推樂</v>
          </cell>
          <cell r="C151" t="str">
            <v>學習</v>
          </cell>
          <cell r="D151" t="str">
            <v>學習</v>
          </cell>
        </row>
        <row r="152">
          <cell r="A152" t="str">
            <v>20240FXAT</v>
          </cell>
          <cell r="B152" t="str">
            <v>和巧虎一起學-注音拼音套組+益智積木</v>
          </cell>
          <cell r="C152" t="str">
            <v>學習</v>
          </cell>
          <cell r="D152" t="str">
            <v>學習</v>
          </cell>
        </row>
        <row r="153">
          <cell r="A153" t="str">
            <v>2024MXAC</v>
          </cell>
          <cell r="B153" t="str">
            <v>和巧虎一起說英語 PLUS⁺ 【初階版】+DIY英語城堡+野餐墊</v>
          </cell>
          <cell r="C153" t="str">
            <v>學習</v>
          </cell>
          <cell r="D153" t="str">
            <v>學習</v>
          </cell>
        </row>
        <row r="154">
          <cell r="A154" t="str">
            <v>2024MXAD</v>
          </cell>
          <cell r="B154" t="str">
            <v>和巧虎一起說英語【進階版】+元氣枕+平衡滾滾樂</v>
          </cell>
          <cell r="C154" t="str">
            <v>學習</v>
          </cell>
          <cell r="D154" t="str">
            <v>學習</v>
          </cell>
        </row>
        <row r="155">
          <cell r="A155" t="str">
            <v>20250FXAA</v>
          </cell>
          <cell r="B155" t="str">
            <v>好情緒EQ X 品格人際套組</v>
          </cell>
          <cell r="C155" t="str">
            <v>學習</v>
          </cell>
          <cell r="D155" t="str">
            <v>學習</v>
          </cell>
        </row>
        <row r="156">
          <cell r="A156" t="str">
            <v>20250FXAB</v>
          </cell>
          <cell r="B156" t="str">
            <v>精選世界名著套組(全系列 共15冊)</v>
          </cell>
          <cell r="C156" t="str">
            <v>學習</v>
          </cell>
          <cell r="D156" t="str">
            <v>學習</v>
          </cell>
        </row>
        <row r="157">
          <cell r="A157" t="str">
            <v>20250FXAC</v>
          </cell>
          <cell r="B157" t="str">
            <v>閱讀橋梁書套組(全系列 共11冊+1卡牌遊戲)</v>
          </cell>
          <cell r="C157" t="str">
            <v>學習</v>
          </cell>
          <cell r="D157" t="str">
            <v>學習</v>
          </cell>
        </row>
        <row r="158">
          <cell r="A158" t="str">
            <v>20250FXAD</v>
          </cell>
          <cell r="B158" t="str">
            <v>閱讀橋梁書(卡哩村超能力學園-單套3冊+卡牌遊戲)</v>
          </cell>
          <cell r="C158" t="str">
            <v>學習</v>
          </cell>
          <cell r="D158" t="str">
            <v>學習</v>
          </cell>
        </row>
        <row r="159">
          <cell r="A159" t="str">
            <v>20250FC01</v>
          </cell>
          <cell r="B159" t="str">
            <v>精選世界名著(勇氣與挑戰系列-單套5冊)</v>
          </cell>
          <cell r="C159" t="str">
            <v>學習</v>
          </cell>
          <cell r="D159" t="str">
            <v>學習</v>
          </cell>
        </row>
        <row r="160">
          <cell r="A160" t="str">
            <v>20250FC02</v>
          </cell>
          <cell r="B160" t="str">
            <v>精選世界名著(愛與成長系列-單套5冊)</v>
          </cell>
          <cell r="C160" t="str">
            <v>學習</v>
          </cell>
          <cell r="D160" t="str">
            <v>學習</v>
          </cell>
        </row>
        <row r="161">
          <cell r="A161" t="str">
            <v>20250FC03</v>
          </cell>
          <cell r="B161" t="str">
            <v>精選世界名著(奇幻與推理系列-單套5冊)</v>
          </cell>
          <cell r="C161" t="str">
            <v>學習</v>
          </cell>
          <cell r="D161" t="str">
            <v>學習</v>
          </cell>
        </row>
        <row r="162">
          <cell r="A162" t="str">
            <v>20250FB01</v>
          </cell>
          <cell r="B162" t="str">
            <v>閱讀橋梁書(IQ184 偵探團-單套4冊)</v>
          </cell>
          <cell r="C162" t="str">
            <v>學習</v>
          </cell>
          <cell r="D162" t="str">
            <v>學習</v>
          </cell>
        </row>
        <row r="163">
          <cell r="A163" t="str">
            <v>20250FB02</v>
          </cell>
          <cell r="B163" t="str">
            <v>閱讀橋梁書(黑腹貓華生-單套4冊)</v>
          </cell>
          <cell r="C163" t="str">
            <v>學習</v>
          </cell>
          <cell r="D163" t="str">
            <v>學習</v>
          </cell>
        </row>
        <row r="164">
          <cell r="A164" t="str">
            <v>20250FB03</v>
          </cell>
          <cell r="B164" t="str">
            <v>閱讀橋樑書系列3_卡哩村超能力學園</v>
          </cell>
          <cell r="C164" t="str">
            <v>學習</v>
          </cell>
          <cell r="D164" t="str">
            <v>學習</v>
          </cell>
        </row>
        <row r="165">
          <cell r="A165" t="str">
            <v>20250FXAE</v>
          </cell>
          <cell r="B165" t="str">
            <v>精選世界名著套組(全系列 共15冊)-蝦皮</v>
          </cell>
          <cell r="C165" t="str">
            <v>學習</v>
          </cell>
          <cell r="D165" t="str">
            <v>學習</v>
          </cell>
        </row>
        <row r="166">
          <cell r="A166" t="str">
            <v>20250FXAF</v>
          </cell>
          <cell r="B166" t="str">
            <v>閱讀橋梁書套組(全系列 共11冊+1卡牌遊戲)-蝦皮</v>
          </cell>
          <cell r="C166" t="str">
            <v>學習</v>
          </cell>
          <cell r="D166" t="str">
            <v>學習</v>
          </cell>
        </row>
        <row r="167">
          <cell r="A167" t="str">
            <v>20250FXAG</v>
          </cell>
          <cell r="B167" t="str">
            <v>點讀巧比+專心吃飯組</v>
          </cell>
          <cell r="C167" t="str">
            <v>學習</v>
          </cell>
          <cell r="D167" t="str">
            <v>學習</v>
          </cell>
        </row>
        <row r="168">
          <cell r="A168" t="str">
            <v>20250FXAH</v>
          </cell>
          <cell r="B168" t="str">
            <v>情緒EQ+巧虎手偶遊戲組</v>
          </cell>
          <cell r="C168" t="str">
            <v>學習</v>
          </cell>
          <cell r="D168" t="str">
            <v>學習</v>
          </cell>
        </row>
        <row r="169">
          <cell r="A169" t="str">
            <v>20250MXAA</v>
          </cell>
          <cell r="B169" t="str">
            <v>英語進階套組+IC時鐘小高手</v>
          </cell>
          <cell r="C169" t="str">
            <v>學習</v>
          </cell>
          <cell r="D169" t="str">
            <v>學習</v>
          </cell>
        </row>
        <row r="170">
          <cell r="A170" t="str">
            <v>20250FXAJ</v>
          </cell>
          <cell r="B170" t="str">
            <v>寶寶套組+專心吃飯組</v>
          </cell>
          <cell r="C170" t="str">
            <v>學習</v>
          </cell>
          <cell r="D170" t="str">
            <v>學習</v>
          </cell>
        </row>
        <row r="171">
          <cell r="A171" t="str">
            <v>20250FXAK</v>
          </cell>
          <cell r="B171" t="str">
            <v>寶寶套組+拖把小精靈</v>
          </cell>
          <cell r="C171" t="str">
            <v>學習</v>
          </cell>
          <cell r="D171" t="str">
            <v>學習</v>
          </cell>
        </row>
        <row r="172">
          <cell r="A172" t="str">
            <v>20250FD00</v>
          </cell>
          <cell r="B172" t="str">
            <v>寶寶語彙表達．智育學習套組</v>
          </cell>
          <cell r="C172" t="str">
            <v>學習</v>
          </cell>
          <cell r="D172" t="str">
            <v>學習</v>
          </cell>
        </row>
        <row r="173">
          <cell r="A173" t="str">
            <v>20250FXAN</v>
          </cell>
          <cell r="B173" t="str">
            <v>好情緒EQ+巧虎手偶</v>
          </cell>
          <cell r="C173" t="str">
            <v>學習</v>
          </cell>
          <cell r="D173" t="str">
            <v>學習</v>
          </cell>
        </row>
        <row r="174">
          <cell r="A174" t="str">
            <v>20250FXAP</v>
          </cell>
          <cell r="B174" t="str">
            <v>寶寶套組+巧虎手偶</v>
          </cell>
          <cell r="C174" t="str">
            <v>學習</v>
          </cell>
          <cell r="D174" t="str">
            <v>學習</v>
          </cell>
        </row>
        <row r="175">
          <cell r="A175" t="str">
            <v>20250FXAR</v>
          </cell>
          <cell r="B175" t="str">
            <v>語彙智育套組+巧虎手偶</v>
          </cell>
          <cell r="C175" t="str">
            <v>學習</v>
          </cell>
          <cell r="D175" t="str">
            <v>學習</v>
          </cell>
        </row>
        <row r="176">
          <cell r="A176" t="str">
            <v>20250FXAS</v>
          </cell>
          <cell r="B176" t="str">
            <v>語彙智育套組+白沙屯媽祖祈福禮盒</v>
          </cell>
          <cell r="C176" t="str">
            <v>學習</v>
          </cell>
          <cell r="D176" t="str">
            <v>學習</v>
          </cell>
        </row>
        <row r="177">
          <cell r="A177" t="str">
            <v>20250FXAT</v>
          </cell>
          <cell r="B177" t="str">
            <v>語彙智育套組+巧虎收納袋</v>
          </cell>
          <cell r="C177" t="str">
            <v>學習</v>
          </cell>
          <cell r="D177" t="str">
            <v>學習</v>
          </cell>
        </row>
        <row r="178">
          <cell r="A178" t="str">
            <v>20250FXAV</v>
          </cell>
          <cell r="B178" t="str">
            <v>寶寶套組+白沙屯媽祖祈福禮盒</v>
          </cell>
          <cell r="C178" t="str">
            <v>學習</v>
          </cell>
          <cell r="D178" t="str">
            <v>學習</v>
          </cell>
        </row>
        <row r="179">
          <cell r="A179" t="str">
            <v>20250FE00</v>
          </cell>
          <cell r="B179" t="str">
            <v>巧虎雙語點讀圖鑑</v>
          </cell>
          <cell r="C179" t="str">
            <v>學習</v>
          </cell>
          <cell r="D179" t="str">
            <v>學習</v>
          </cell>
        </row>
        <row r="180">
          <cell r="A180" t="str">
            <v>20250FXBH</v>
          </cell>
          <cell r="B180" t="str">
            <v>巧虎雙語點讀圖鑑+巧虎手偶組</v>
          </cell>
          <cell r="C180" t="str">
            <v>學習</v>
          </cell>
          <cell r="D180" t="str">
            <v>學習</v>
          </cell>
        </row>
        <row r="181">
          <cell r="A181" t="str">
            <v>20250FXBJ</v>
          </cell>
          <cell r="B181" t="str">
            <v>巧虎雙語點讀圖鑑+IC火車語彙組</v>
          </cell>
          <cell r="C181" t="str">
            <v>學習</v>
          </cell>
          <cell r="D181" t="str">
            <v>學習</v>
          </cell>
        </row>
        <row r="182">
          <cell r="A182" t="str">
            <v>20250FXBK</v>
          </cell>
          <cell r="B182" t="str">
            <v>巧虎雙語點讀圖鑑+彩色釣魚遊戲組</v>
          </cell>
          <cell r="C182" t="str">
            <v>學習</v>
          </cell>
          <cell r="D182" t="str">
            <v>學習</v>
          </cell>
        </row>
        <row r="183">
          <cell r="A183" t="str">
            <v>20250FXBM</v>
          </cell>
          <cell r="B183" t="str">
            <v>英語初階套組+巧虎手偶組</v>
          </cell>
          <cell r="C183" t="str">
            <v>學習</v>
          </cell>
          <cell r="D183" t="str">
            <v>學習</v>
          </cell>
        </row>
        <row r="184">
          <cell r="A184" t="str">
            <v>20250FXBR</v>
          </cell>
          <cell r="B184" t="str">
            <v>數學套組+巧虎手偶組</v>
          </cell>
          <cell r="C184" t="str">
            <v>學習</v>
          </cell>
          <cell r="D184" t="str">
            <v>學習</v>
          </cell>
        </row>
        <row r="185">
          <cell r="A185" t="str">
            <v>20250FXBS</v>
          </cell>
          <cell r="B185" t="str">
            <v>聰明左右腦點讀套組+巧虎手偶組</v>
          </cell>
          <cell r="C185" t="str">
            <v>學習</v>
          </cell>
          <cell r="D185" t="str">
            <v>學習</v>
          </cell>
        </row>
        <row r="186">
          <cell r="A186" t="str">
            <v>20250FXBT</v>
          </cell>
          <cell r="B186" t="str">
            <v>巧虎語點讀圖鑑+白沙屯媽祖</v>
          </cell>
          <cell r="C186" t="str">
            <v>學習</v>
          </cell>
          <cell r="D186" t="str">
            <v>學習</v>
          </cell>
        </row>
        <row r="187">
          <cell r="A187" t="str">
            <v>20250FXBV</v>
          </cell>
          <cell r="B187" t="str">
            <v>好情緒EQ X品格套組+白沙屯媽祖</v>
          </cell>
          <cell r="C187" t="str">
            <v>學習</v>
          </cell>
          <cell r="D187" t="str">
            <v>學習</v>
          </cell>
        </row>
        <row r="188">
          <cell r="A188" t="str">
            <v>20250FXBW</v>
          </cell>
          <cell r="B188" t="str">
            <v>寶寶套組+白沙屯媽祖</v>
          </cell>
          <cell r="C188" t="str">
            <v>學習</v>
          </cell>
          <cell r="D188" t="str">
            <v>學習</v>
          </cell>
        </row>
        <row r="189">
          <cell r="A189" t="str">
            <v>20250FXCA</v>
          </cell>
          <cell r="B189" t="str">
            <v>英語初階套組+白沙屯媽祖</v>
          </cell>
          <cell r="C189" t="str">
            <v>學習</v>
          </cell>
          <cell r="D189" t="str">
            <v>學習</v>
          </cell>
        </row>
        <row r="190">
          <cell r="A190" t="str">
            <v>20250FF00</v>
          </cell>
          <cell r="B190" t="str">
            <v>聰明左右腦 點讀大冒險套組</v>
          </cell>
          <cell r="C190" t="str">
            <v>學習</v>
          </cell>
          <cell r="D190" t="str">
            <v>學習</v>
          </cell>
        </row>
        <row r="191">
          <cell r="A191" t="str">
            <v>20250FG00</v>
          </cell>
          <cell r="B191" t="str">
            <v>和巧虎一起學數學套組</v>
          </cell>
          <cell r="C191" t="str">
            <v>學習</v>
          </cell>
          <cell r="D191" t="str">
            <v>學習</v>
          </cell>
        </row>
        <row r="192">
          <cell r="A192" t="str">
            <v>20250FXCB</v>
          </cell>
          <cell r="B192" t="str">
            <v>聰明左右腦 點讀大冒險套組</v>
          </cell>
          <cell r="C192" t="str">
            <v>學習</v>
          </cell>
          <cell r="D192" t="str">
            <v>學習</v>
          </cell>
        </row>
        <row r="193">
          <cell r="A193" t="str">
            <v>20250FXCC</v>
          </cell>
          <cell r="B193" t="str">
            <v>和巧虎一起學數學套組 </v>
          </cell>
          <cell r="C193" t="str">
            <v>學習</v>
          </cell>
          <cell r="D193" t="str">
            <v>學習</v>
          </cell>
        </row>
        <row r="194">
          <cell r="A194" t="str">
            <v>20250MXAB</v>
          </cell>
          <cell r="B194" t="str">
            <v>和巧虎一起說英語【PLUS+初階版】</v>
          </cell>
          <cell r="C194" t="str">
            <v>學習</v>
          </cell>
          <cell r="D194" t="str">
            <v>學習</v>
          </cell>
        </row>
        <row r="195">
          <cell r="A195" t="str">
            <v>20250MXAC</v>
          </cell>
          <cell r="B195" t="str">
            <v>和巧虎一起說英語【進階版】</v>
          </cell>
          <cell r="C195" t="str">
            <v>學習</v>
          </cell>
          <cell r="D195" t="str">
            <v>學習</v>
          </cell>
        </row>
        <row r="196">
          <cell r="A196" t="str">
            <v>20250FXCD</v>
          </cell>
          <cell r="B196" t="str">
            <v>和巧虎一起學-注音拼音套組</v>
          </cell>
          <cell r="C196" t="str">
            <v>學習</v>
          </cell>
          <cell r="D196" t="str">
            <v>學習</v>
          </cell>
        </row>
        <row r="197">
          <cell r="A197" t="str">
            <v>20250FXCE</v>
          </cell>
          <cell r="B197" t="str">
            <v>好情緒EQ X 品格人際套組</v>
          </cell>
          <cell r="C197" t="str">
            <v>學習</v>
          </cell>
          <cell r="D197" t="str">
            <v>學習</v>
          </cell>
        </row>
        <row r="198">
          <cell r="A198" t="str">
            <v>20250MXAD</v>
          </cell>
          <cell r="B198" t="str">
            <v>和巧虎一起說英語【PLUS+初階版】</v>
          </cell>
          <cell r="C198" t="str">
            <v>學習</v>
          </cell>
          <cell r="D198" t="str">
            <v>學習</v>
          </cell>
        </row>
        <row r="199">
          <cell r="A199" t="str">
            <v>20250MXAE</v>
          </cell>
          <cell r="B199" t="str">
            <v>和巧虎一起說英語【進階版】</v>
          </cell>
          <cell r="C199" t="str">
            <v>學習</v>
          </cell>
          <cell r="D199" t="str">
            <v>學習</v>
          </cell>
        </row>
        <row r="200">
          <cell r="A200" t="str">
            <v>20250FXCF</v>
          </cell>
          <cell r="B200" t="str">
            <v>和巧虎一起學-注音拼音套組</v>
          </cell>
          <cell r="C200" t="str">
            <v>學習</v>
          </cell>
          <cell r="D200" t="str">
            <v>學習</v>
          </cell>
        </row>
        <row r="201">
          <cell r="A201" t="str">
            <v>20250FXCG</v>
          </cell>
          <cell r="B201" t="str">
            <v>好情緒EQ X 品格人際套組</v>
          </cell>
          <cell r="C201" t="str">
            <v>學習</v>
          </cell>
          <cell r="D201" t="str">
            <v>學習</v>
          </cell>
        </row>
        <row r="202">
          <cell r="A202" t="str">
            <v>20250FXCH</v>
          </cell>
          <cell r="B202" t="str">
            <v>巧虎雙語點讀圖鑑+</v>
          </cell>
          <cell r="C202" t="str">
            <v>學習</v>
          </cell>
          <cell r="D202" t="str">
            <v>學習</v>
          </cell>
        </row>
        <row r="203">
          <cell r="A203" t="str">
            <v>20260FXAA</v>
          </cell>
          <cell r="B203" t="str">
            <v>進階+注音合購</v>
          </cell>
          <cell r="C203" t="str">
            <v>學習</v>
          </cell>
          <cell r="D203" t="str">
            <v>學習</v>
          </cell>
        </row>
        <row r="204">
          <cell r="A204" t="str">
            <v>20250WJ03</v>
          </cell>
          <cell r="B204" t="str">
            <v>數位典藏3個月</v>
          </cell>
          <cell r="C204" t="str">
            <v>數位經典</v>
          </cell>
          <cell r="D204" t="str">
            <v>數位經典</v>
          </cell>
        </row>
        <row r="205">
          <cell r="A205" t="str">
            <v>20250WJ01</v>
          </cell>
          <cell r="B205" t="str">
            <v>數位典藏1個月</v>
          </cell>
          <cell r="C205" t="str">
            <v>數位經典</v>
          </cell>
          <cell r="D205" t="str">
            <v>數位經典</v>
          </cell>
        </row>
        <row r="206">
          <cell r="A206" t="str">
            <v>20250WJ12</v>
          </cell>
          <cell r="B206" t="str">
            <v>數位典藏1年</v>
          </cell>
          <cell r="C206" t="str">
            <v>數位經典</v>
          </cell>
          <cell r="D206" t="str">
            <v>數位經典</v>
          </cell>
        </row>
        <row r="207">
          <cell r="A207" t="str">
            <v>20260WK12</v>
          </cell>
          <cell r="B207" t="str">
            <v>團購數位典藏1年</v>
          </cell>
          <cell r="C207" t="str">
            <v>數位經典</v>
          </cell>
          <cell r="D207" t="str">
            <v>數位經典</v>
          </cell>
        </row>
        <row r="208">
          <cell r="A208" t="str">
            <v>20240FB00</v>
          </cell>
          <cell r="B208" t="str">
            <v>拖把小精靈套組</v>
          </cell>
          <cell r="C208" t="str">
            <v>周邊商品</v>
          </cell>
          <cell r="D208" t="str">
            <v>學習周邊</v>
          </cell>
        </row>
        <row r="209">
          <cell r="A209" t="str">
            <v>20240FD00</v>
          </cell>
          <cell r="B209" t="str">
            <v>巧虎活力車編程遊戲組</v>
          </cell>
          <cell r="C209" t="str">
            <v>周邊商品</v>
          </cell>
          <cell r="D209" t="str">
            <v>學習周邊</v>
          </cell>
        </row>
        <row r="210">
          <cell r="A210" t="str">
            <v>20240H022</v>
          </cell>
          <cell r="B210" t="str">
            <v>專心吃飯音樂立體書套組</v>
          </cell>
          <cell r="C210" t="str">
            <v>周邊商品</v>
          </cell>
          <cell r="D210" t="str">
            <v>學習周邊</v>
          </cell>
        </row>
        <row r="211">
          <cell r="A211" t="str">
            <v>20231C6B6</v>
          </cell>
          <cell r="B211" t="str">
            <v>開始號IC語彙農場小火車</v>
          </cell>
          <cell r="C211" t="str">
            <v>周邊商品</v>
          </cell>
          <cell r="D211" t="str">
            <v>學習周邊</v>
          </cell>
        </row>
        <row r="212">
          <cell r="A212" t="str">
            <v>20231C6B7</v>
          </cell>
          <cell r="B212" t="str">
            <v>開始號Hello巧虎偶</v>
          </cell>
          <cell r="C212" t="str">
            <v>周邊商品</v>
          </cell>
          <cell r="D212" t="str">
            <v>學習周邊</v>
          </cell>
        </row>
        <row r="213">
          <cell r="A213" t="str">
            <v>20221C6B6</v>
          </cell>
          <cell r="B213" t="str">
            <v>2206月號寶寶開始號IC火車語彙學習組</v>
          </cell>
          <cell r="C213" t="str">
            <v>周邊商品</v>
          </cell>
          <cell r="D213" t="str">
            <v>學習周邊</v>
          </cell>
        </row>
        <row r="214">
          <cell r="A214" t="str">
            <v>20221C6B7</v>
          </cell>
          <cell r="B214" t="str">
            <v>2207月號寶寶開始號ABC英語配件</v>
          </cell>
          <cell r="C214" t="str">
            <v>周邊商品</v>
          </cell>
          <cell r="D214" t="str">
            <v>學習周邊</v>
          </cell>
        </row>
        <row r="215">
          <cell r="A215" t="str">
            <v>20211C602</v>
          </cell>
          <cell r="B215" t="str">
            <v>寶寶版彩色釣魚遊戲組</v>
          </cell>
          <cell r="C215" t="str">
            <v>周邊商品</v>
          </cell>
          <cell r="D215" t="str">
            <v>學習周邊</v>
          </cell>
        </row>
        <row r="216">
          <cell r="A216" t="str">
            <v>20241C605</v>
          </cell>
          <cell r="B216" t="str">
            <v>2405月號寶寶版動物親子拼圖組</v>
          </cell>
          <cell r="C216" t="str">
            <v>周邊商品</v>
          </cell>
          <cell r="D216" t="str">
            <v>學習周邊</v>
          </cell>
        </row>
        <row r="217">
          <cell r="A217" t="str">
            <v>20241CE05</v>
          </cell>
          <cell r="B217" t="str">
            <v>2405月號寶寶版動物親子拼圖遊戲圖</v>
          </cell>
          <cell r="C217" t="str">
            <v>周邊商品</v>
          </cell>
          <cell r="D217" t="str">
            <v>學習周邊</v>
          </cell>
        </row>
        <row r="218">
          <cell r="A218" t="str">
            <v>20211C608</v>
          </cell>
          <cell r="B218" t="str">
            <v>寶寶版顏色娃娃扮演遊戲組 (EVA)</v>
          </cell>
          <cell r="C218" t="str">
            <v>周邊商品</v>
          </cell>
          <cell r="D218" t="str">
            <v>學習周邊</v>
          </cell>
        </row>
        <row r="219">
          <cell r="A219" t="str">
            <v>20211C611</v>
          </cell>
          <cell r="B219" t="str">
            <v>2111月號寶寶版交通工具拼圖書</v>
          </cell>
          <cell r="C219" t="str">
            <v>周邊商品</v>
          </cell>
          <cell r="D219" t="str">
            <v>學習周邊</v>
          </cell>
        </row>
        <row r="220">
          <cell r="A220" t="str">
            <v>20221C611</v>
          </cell>
          <cell r="B220" t="str">
            <v>2211月號寶寶版生活語彙認知圖鑑</v>
          </cell>
          <cell r="C220" t="str">
            <v>周邊商品</v>
          </cell>
          <cell r="D220" t="str">
            <v>學習周邊</v>
          </cell>
        </row>
        <row r="221">
          <cell r="A221" t="str">
            <v>20222C604</v>
          </cell>
          <cell r="B221" t="str">
            <v>2204月號幼幼版動物拼圖遊戲組</v>
          </cell>
          <cell r="C221" t="str">
            <v>周邊商品</v>
          </cell>
          <cell r="D221" t="str">
            <v>學習周邊</v>
          </cell>
        </row>
        <row r="222">
          <cell r="A222" t="str">
            <v>20222CH04</v>
          </cell>
          <cell r="B222" t="str">
            <v>2204月號幼幼版動物拼圖遊戲組海報</v>
          </cell>
          <cell r="C222" t="str">
            <v>周邊商品</v>
          </cell>
          <cell r="D222" t="str">
            <v>學習周邊</v>
          </cell>
        </row>
        <row r="223">
          <cell r="A223" t="str">
            <v>20232C605</v>
          </cell>
          <cell r="B223" t="str">
            <v>2305月號幼幼版顏色認知冰淇淋組(布)</v>
          </cell>
          <cell r="C223" t="str">
            <v>周邊商品</v>
          </cell>
          <cell r="D223" t="str">
            <v>學習周邊</v>
          </cell>
        </row>
        <row r="224">
          <cell r="A224" t="str">
            <v>20223C608</v>
          </cell>
          <cell r="B224" t="str">
            <v>2208快樂版邏輯推理遊戲棋</v>
          </cell>
          <cell r="C224" t="str">
            <v>周邊商品</v>
          </cell>
          <cell r="D224" t="str">
            <v>學習周邊</v>
          </cell>
        </row>
        <row r="225">
          <cell r="A225" t="str">
            <v>20191C710</v>
          </cell>
          <cell r="B225" t="str">
            <v>1910寶寶版交通工具拼圖書</v>
          </cell>
          <cell r="C225" t="str">
            <v>周邊商品</v>
          </cell>
          <cell r="D225" t="str">
            <v>學習周邊</v>
          </cell>
        </row>
        <row r="226">
          <cell r="A226" t="str">
            <v>20201C604</v>
          </cell>
          <cell r="B226" t="str">
            <v>寶寶版點心分享遊戲組</v>
          </cell>
          <cell r="C226" t="str">
            <v>周邊商品</v>
          </cell>
          <cell r="D226" t="str">
            <v>學習周邊</v>
          </cell>
        </row>
        <row r="227">
          <cell r="A227" t="str">
            <v>20201CE04</v>
          </cell>
          <cell r="B227" t="str">
            <v>寶寶版點心分享遊戲附件</v>
          </cell>
          <cell r="C227" t="str">
            <v>周邊商品</v>
          </cell>
          <cell r="D227" t="str">
            <v>學習周邊</v>
          </cell>
        </row>
        <row r="228">
          <cell r="A228" t="str">
            <v>20212C603</v>
          </cell>
          <cell r="B228" t="str">
            <v>2203幼幼版交通安全猜謎組</v>
          </cell>
          <cell r="C228" t="str">
            <v>周邊商品</v>
          </cell>
          <cell r="D228" t="str">
            <v>學習周邊</v>
          </cell>
        </row>
        <row r="229">
          <cell r="A229" t="str">
            <v>20212CH03</v>
          </cell>
          <cell r="B229" t="str">
            <v>2203月號幼幼版教具海報</v>
          </cell>
          <cell r="C229" t="str">
            <v>周邊商品</v>
          </cell>
          <cell r="D229" t="str">
            <v>學習周邊</v>
          </cell>
        </row>
        <row r="230">
          <cell r="A230" t="str">
            <v>20241CXAC</v>
          </cell>
          <cell r="B230" t="str">
            <v>寶寶版點心分享遊戲組+附件</v>
          </cell>
          <cell r="C230" t="str">
            <v>周邊商品</v>
          </cell>
          <cell r="D230" t="str">
            <v>學習周邊</v>
          </cell>
        </row>
        <row r="231">
          <cell r="A231" t="str">
            <v>20242CXAB</v>
          </cell>
          <cell r="B231" t="str">
            <v>2108幼幼版幼兒園好朋友立體積木+附件</v>
          </cell>
          <cell r="C231" t="str">
            <v>周邊商品</v>
          </cell>
          <cell r="D231" t="str">
            <v>學習周邊</v>
          </cell>
        </row>
        <row r="232">
          <cell r="A232" t="str">
            <v>20212C608</v>
          </cell>
          <cell r="B232" t="str">
            <v>2108幼幼版幼兒園好朋友立體積木</v>
          </cell>
          <cell r="C232" t="str">
            <v>周邊商品</v>
          </cell>
          <cell r="D232" t="str">
            <v>學習周邊</v>
          </cell>
        </row>
        <row r="233">
          <cell r="A233" t="str">
            <v>20212CE08</v>
          </cell>
          <cell r="B233" t="str">
            <v>積木附件</v>
          </cell>
          <cell r="C233" t="str">
            <v>周邊商品</v>
          </cell>
          <cell r="D233" t="str">
            <v>學習周邊</v>
          </cell>
        </row>
        <row r="234">
          <cell r="A234" t="str">
            <v>2021FC809</v>
          </cell>
          <cell r="B234" t="str">
            <v>2109進階版名人系列</v>
          </cell>
          <cell r="C234" t="str">
            <v>周邊商品</v>
          </cell>
          <cell r="D234" t="str">
            <v>學習周邊</v>
          </cell>
        </row>
        <row r="235">
          <cell r="A235" t="str">
            <v>2021FC812</v>
          </cell>
          <cell r="B235" t="str">
            <v>2112進階版名人系列</v>
          </cell>
          <cell r="C235" t="str">
            <v>周邊商品</v>
          </cell>
          <cell r="D235" t="str">
            <v>學習周邊</v>
          </cell>
        </row>
        <row r="236">
          <cell r="A236" t="str">
            <v>20223C612</v>
          </cell>
          <cell r="B236" t="str">
            <v>2212快樂版甜甜圈派對組</v>
          </cell>
          <cell r="C236" t="str">
            <v>周邊商品</v>
          </cell>
          <cell r="D236" t="str">
            <v>學習周邊</v>
          </cell>
        </row>
        <row r="237">
          <cell r="A237" t="str">
            <v>20232C607</v>
          </cell>
          <cell r="B237" t="str">
            <v>2307幼幼版海洋世界</v>
          </cell>
          <cell r="C237" t="str">
            <v>周邊商品</v>
          </cell>
          <cell r="D237" t="str">
            <v>學習周邊</v>
          </cell>
        </row>
        <row r="238">
          <cell r="A238" t="str">
            <v>20232CH07</v>
          </cell>
          <cell r="B238" t="str">
            <v>海裡動物拼圖底圖</v>
          </cell>
          <cell r="C238" t="str">
            <v>周邊商品</v>
          </cell>
          <cell r="D238" t="str">
            <v>學習周邊</v>
          </cell>
        </row>
        <row r="239">
          <cell r="A239" t="str">
            <v>20242CXAC</v>
          </cell>
          <cell r="B239" t="str">
            <v>幼幼版海底世界+拼圖底圖</v>
          </cell>
          <cell r="C239" t="str">
            <v>周邊商品</v>
          </cell>
          <cell r="D239" t="str">
            <v>學習周邊</v>
          </cell>
        </row>
        <row r="240">
          <cell r="A240" t="str">
            <v>20234C610</v>
          </cell>
          <cell r="B240" t="str">
            <v>2310成長版空間軌道建築師</v>
          </cell>
          <cell r="C240" t="str">
            <v>周邊商品</v>
          </cell>
          <cell r="D240" t="str">
            <v>學習周邊</v>
          </cell>
        </row>
        <row r="241">
          <cell r="A241" t="str">
            <v>20234CE10</v>
          </cell>
          <cell r="B241" t="str">
            <v>手冊</v>
          </cell>
          <cell r="C241" t="str">
            <v>周邊商品</v>
          </cell>
          <cell r="D241" t="str">
            <v>學習周邊</v>
          </cell>
        </row>
        <row r="242">
          <cell r="A242" t="str">
            <v>20234CF10</v>
          </cell>
          <cell r="B242" t="str">
            <v>跑道</v>
          </cell>
          <cell r="C242" t="str">
            <v>周邊商品</v>
          </cell>
          <cell r="D242" t="str">
            <v>學習周邊</v>
          </cell>
        </row>
        <row r="243">
          <cell r="A243" t="str">
            <v>20244CXAB</v>
          </cell>
          <cell r="B243" t="str">
            <v>2310成長版空間軌道建築師+手冊+跑道</v>
          </cell>
          <cell r="C243" t="str">
            <v>周邊商品</v>
          </cell>
          <cell r="D243" t="str">
            <v>學習周邊</v>
          </cell>
        </row>
        <row r="244">
          <cell r="A244" t="str">
            <v>20245CXAA</v>
          </cell>
          <cell r="B244" t="str">
            <v>學習版品格系列+貼紙</v>
          </cell>
          <cell r="C244" t="str">
            <v>周邊商品</v>
          </cell>
          <cell r="D244" t="str">
            <v>學習周邊</v>
          </cell>
        </row>
        <row r="245">
          <cell r="A245" t="str">
            <v>20245CXAB</v>
          </cell>
          <cell r="B245" t="str">
            <v>百變圖形疊疊樂+解答</v>
          </cell>
          <cell r="C245" t="str">
            <v>周邊商品</v>
          </cell>
          <cell r="D245" t="str">
            <v>學習周邊</v>
          </cell>
        </row>
        <row r="246">
          <cell r="A246" t="str">
            <v>20245C604</v>
          </cell>
          <cell r="B246" t="str">
            <v>2404學習版百變圖形疊疊樂</v>
          </cell>
          <cell r="C246" t="str">
            <v>周邊商品</v>
          </cell>
          <cell r="D246" t="str">
            <v>學習周邊</v>
          </cell>
        </row>
        <row r="247">
          <cell r="A247" t="str">
            <v>20235C606</v>
          </cell>
          <cell r="B247" t="str">
            <v>2306月號學習版教具(購物桌遊，類似大富翁)</v>
          </cell>
          <cell r="C247" t="str">
            <v>周邊商品</v>
          </cell>
          <cell r="D247" t="str">
            <v>學習周邊</v>
          </cell>
        </row>
        <row r="248">
          <cell r="A248" t="str">
            <v>20224CF08</v>
          </cell>
          <cell r="B248" t="str">
            <v>2208成長版小雞圖卡</v>
          </cell>
          <cell r="C248" t="str">
            <v>周邊商品</v>
          </cell>
          <cell r="D248" t="str">
            <v>學習周邊</v>
          </cell>
        </row>
        <row r="249">
          <cell r="A249" t="str">
            <v>20240HXAB</v>
          </cell>
          <cell r="B249" t="str">
            <v>專心吃飯音樂書+家家酒扮演組</v>
          </cell>
          <cell r="C249" t="str">
            <v>周邊商品</v>
          </cell>
          <cell r="D249" t="str">
            <v>學習周邊</v>
          </cell>
        </row>
        <row r="250">
          <cell r="A250" t="str">
            <v>20240FXAC</v>
          </cell>
          <cell r="B250" t="str">
            <v>巧虎手偶組+甜甜圈組</v>
          </cell>
          <cell r="C250" t="str">
            <v>周邊商品</v>
          </cell>
          <cell r="D250" t="str">
            <v>學習周邊</v>
          </cell>
        </row>
        <row r="251">
          <cell r="A251" t="str">
            <v>20240H023</v>
          </cell>
          <cell r="B251" t="str">
            <v>巧連智家家酒扮演組</v>
          </cell>
          <cell r="C251" t="str">
            <v>周邊商品</v>
          </cell>
          <cell r="D251" t="str">
            <v>學習周邊</v>
          </cell>
        </row>
        <row r="252">
          <cell r="A252" t="str">
            <v>20240FXAD</v>
          </cell>
          <cell r="B252" t="str">
            <v>運筆小書組+百變疊疊樂</v>
          </cell>
          <cell r="C252" t="str">
            <v>周邊商品</v>
          </cell>
          <cell r="D252" t="str">
            <v>學習周邊</v>
          </cell>
        </row>
        <row r="253">
          <cell r="A253" t="str">
            <v>20211C607</v>
          </cell>
          <cell r="B253" t="str">
            <v>形狀顏色積木組</v>
          </cell>
          <cell r="C253" t="str">
            <v>周邊商品</v>
          </cell>
          <cell r="D253" t="str">
            <v>學習周邊</v>
          </cell>
        </row>
        <row r="254">
          <cell r="A254" t="str">
            <v>20241CXAE</v>
          </cell>
          <cell r="B254" t="str">
            <v>形狀顏色積木組+粉紅娃娃</v>
          </cell>
          <cell r="C254" t="str">
            <v>周邊商品</v>
          </cell>
          <cell r="D254" t="str">
            <v>學習周邊</v>
          </cell>
        </row>
        <row r="255">
          <cell r="A255" t="str">
            <v>20240FJ00</v>
          </cell>
          <cell r="B255" t="str">
            <v>巧虎手偶互動遊戲組</v>
          </cell>
          <cell r="C255" t="str">
            <v>周邊商品</v>
          </cell>
          <cell r="D255" t="str">
            <v>學習周邊</v>
          </cell>
        </row>
        <row r="256">
          <cell r="A256" t="str">
            <v>20241CXAG</v>
          </cell>
          <cell r="B256" t="str">
            <v>獅兔象小火車+ABC英語配件</v>
          </cell>
          <cell r="C256" t="str">
            <v>周邊商品</v>
          </cell>
          <cell r="D256" t="str">
            <v>學習周邊</v>
          </cell>
        </row>
        <row r="257">
          <cell r="A257" t="str">
            <v>20241CXAA</v>
          </cell>
          <cell r="B257" t="str">
            <v>2405月號寶寶版動物親子拼圖組+遊戲圖</v>
          </cell>
          <cell r="C257" t="str">
            <v>周邊商品</v>
          </cell>
          <cell r="D257" t="str">
            <v>學習周邊</v>
          </cell>
        </row>
        <row r="258">
          <cell r="A258" t="str">
            <v>20241CXAF</v>
          </cell>
          <cell r="B258" t="str">
            <v>雞狗豬款小火車+巧虎偶+底圖</v>
          </cell>
          <cell r="C258" t="str">
            <v>周邊商品</v>
          </cell>
          <cell r="D258" t="str">
            <v>學習周邊</v>
          </cell>
        </row>
        <row r="259">
          <cell r="A259" t="str">
            <v>20240H020</v>
          </cell>
          <cell r="B259" t="str">
            <v>巧虎牙齒亮晶晶套組</v>
          </cell>
          <cell r="C259" t="str">
            <v>周邊商品</v>
          </cell>
          <cell r="D259" t="str">
            <v>學習周邊</v>
          </cell>
        </row>
        <row r="260">
          <cell r="A260" t="str">
            <v>20240H021</v>
          </cell>
          <cell r="B260" t="str">
            <v>巧虎四色運筆塗鴉組</v>
          </cell>
          <cell r="C260" t="str">
            <v>周邊商品</v>
          </cell>
          <cell r="D260" t="str">
            <v>學習周邊</v>
          </cell>
        </row>
        <row r="261">
          <cell r="A261" t="str">
            <v>20240HXAA</v>
          </cell>
          <cell r="B261" t="str">
            <v>巧虎牙齒亮晶晶+寶寶顏色娃娃扮演遊戲組</v>
          </cell>
          <cell r="C261" t="str">
            <v>周邊商品</v>
          </cell>
          <cell r="D261" t="str">
            <v>學習周邊</v>
          </cell>
        </row>
        <row r="262">
          <cell r="A262" t="str">
            <v>2023FC809</v>
          </cell>
          <cell r="B262" t="str">
            <v>10分鐘閱讀理解祕笈</v>
          </cell>
          <cell r="C262" t="str">
            <v>周邊商品</v>
          </cell>
          <cell r="D262" t="str">
            <v>學習周邊</v>
          </cell>
        </row>
        <row r="263">
          <cell r="A263" t="str">
            <v>2022FC801</v>
          </cell>
          <cell r="B263" t="str">
            <v>漫畫成語組</v>
          </cell>
          <cell r="C263" t="str">
            <v>周邊商品</v>
          </cell>
          <cell r="D263" t="str">
            <v>學習周邊</v>
          </cell>
        </row>
        <row r="264">
          <cell r="A264" t="str">
            <v>20240FXAB</v>
          </cell>
          <cell r="B264" t="str">
            <v>巧虎手偶組+巧虎牙齒亮晶晶套組</v>
          </cell>
          <cell r="C264" t="str">
            <v>周邊商品</v>
          </cell>
          <cell r="D264" t="str">
            <v>學習周邊</v>
          </cell>
        </row>
        <row r="265">
          <cell r="A265" t="str">
            <v>20232C609</v>
          </cell>
          <cell r="B265" t="str">
            <v>幼幼版點點火箭車</v>
          </cell>
          <cell r="C265" t="str">
            <v>周邊商品</v>
          </cell>
          <cell r="D265" t="str">
            <v>學習周邊</v>
          </cell>
        </row>
        <row r="266">
          <cell r="A266" t="str">
            <v>20232C612</v>
          </cell>
          <cell r="B266" t="str">
            <v>幼幼版巧虎分類超市遊戲組</v>
          </cell>
          <cell r="C266" t="str">
            <v>周邊商品</v>
          </cell>
          <cell r="D266" t="str">
            <v>學習周邊</v>
          </cell>
        </row>
        <row r="267">
          <cell r="A267" t="str">
            <v>20242CF12</v>
          </cell>
          <cell r="B267" t="str">
            <v>2412月號幼幼版教具附件點讀結帳圖卡</v>
          </cell>
          <cell r="C267" t="str">
            <v>周邊商品</v>
          </cell>
          <cell r="D267" t="str">
            <v>學習周邊</v>
          </cell>
        </row>
        <row r="268">
          <cell r="A268" t="str">
            <v>20242CH12</v>
          </cell>
          <cell r="B268" t="str">
            <v>2412月號幼幼版教具附件點讀超市遊戲底紙</v>
          </cell>
          <cell r="C268" t="str">
            <v>周邊商品</v>
          </cell>
          <cell r="D268" t="str">
            <v>學習周邊</v>
          </cell>
        </row>
        <row r="269">
          <cell r="A269" t="str">
            <v>20242C607</v>
          </cell>
          <cell r="B269" t="str">
            <v>2407月號幼幼版表達力餐廳遊戲組</v>
          </cell>
          <cell r="C269" t="str">
            <v>周邊商品</v>
          </cell>
          <cell r="D269" t="str">
            <v>學習周邊</v>
          </cell>
        </row>
        <row r="270">
          <cell r="A270" t="str">
            <v>20242CF07</v>
          </cell>
          <cell r="B270" t="str">
            <v>2407月號幼幼版點讀教具圖卡</v>
          </cell>
          <cell r="C270" t="str">
            <v>周邊商品</v>
          </cell>
          <cell r="D270" t="str">
            <v>學習周邊</v>
          </cell>
        </row>
        <row r="271">
          <cell r="A271" t="str">
            <v>20242CE01</v>
          </cell>
          <cell r="B271" t="str">
            <v>2501月號幼幼版互動點點遊戲書</v>
          </cell>
          <cell r="C271" t="str">
            <v>周邊商品</v>
          </cell>
          <cell r="D271" t="str">
            <v>學習周邊</v>
          </cell>
        </row>
        <row r="272">
          <cell r="A272" t="str">
            <v>20242CE02</v>
          </cell>
          <cell r="B272" t="str">
            <v>2502月號幼幼版互動點點遊戲書</v>
          </cell>
          <cell r="C272" t="str">
            <v>周邊商品</v>
          </cell>
          <cell r="D272" t="str">
            <v>學習周邊</v>
          </cell>
        </row>
        <row r="273">
          <cell r="A273" t="str">
            <v>20242CE03</v>
          </cell>
          <cell r="B273" t="str">
            <v>2503月號幼幼版互動點點遊戲書</v>
          </cell>
          <cell r="C273" t="str">
            <v>周邊商品</v>
          </cell>
          <cell r="D273" t="str">
            <v>學習周邊</v>
          </cell>
        </row>
        <row r="274">
          <cell r="A274" t="str">
            <v>20242CE04</v>
          </cell>
          <cell r="B274" t="str">
            <v>2404月號幼幼版點點互動點讀小書</v>
          </cell>
          <cell r="C274" t="str">
            <v>周邊商品</v>
          </cell>
          <cell r="D274" t="str">
            <v>學習周邊</v>
          </cell>
        </row>
        <row r="275">
          <cell r="A275" t="str">
            <v>20242CE09</v>
          </cell>
          <cell r="B275" t="str">
            <v>2409月號幼幼版互動點點遊戲書</v>
          </cell>
          <cell r="C275" t="str">
            <v>周邊商品</v>
          </cell>
          <cell r="D275" t="str">
            <v>學習周邊</v>
          </cell>
        </row>
        <row r="276">
          <cell r="A276" t="str">
            <v>20242CE10</v>
          </cell>
          <cell r="B276" t="str">
            <v>2410月號幼幼版互動點點遊戲書</v>
          </cell>
          <cell r="C276" t="str">
            <v>周邊商品</v>
          </cell>
          <cell r="D276" t="str">
            <v>學習周邊</v>
          </cell>
        </row>
        <row r="277">
          <cell r="A277" t="str">
            <v>20242CE11</v>
          </cell>
          <cell r="B277" t="str">
            <v>2411月號幼幼版互動點點遊戲書</v>
          </cell>
          <cell r="C277" t="str">
            <v>周邊商品</v>
          </cell>
          <cell r="D277" t="str">
            <v>學習周邊</v>
          </cell>
        </row>
        <row r="278">
          <cell r="A278" t="str">
            <v>20242CE12</v>
          </cell>
          <cell r="B278" t="str">
            <v>2412月號幼幼版互動點點遊戲書</v>
          </cell>
          <cell r="C278" t="str">
            <v>周邊商品</v>
          </cell>
          <cell r="D278" t="str">
            <v>學習周邊</v>
          </cell>
        </row>
        <row r="279">
          <cell r="A279" t="str">
            <v>20242CF05</v>
          </cell>
          <cell r="B279" t="str">
            <v>2405月號幼幼版母親節點讀卡片</v>
          </cell>
          <cell r="C279" t="str">
            <v>周邊商品</v>
          </cell>
          <cell r="D279" t="str">
            <v>學習周邊</v>
          </cell>
        </row>
        <row r="280">
          <cell r="A280" t="str">
            <v>20242CH09</v>
          </cell>
          <cell r="B280" t="str">
            <v>2409月號幼幼版教具附件動物園遊戲底圖</v>
          </cell>
          <cell r="C280" t="str">
            <v>周邊商品</v>
          </cell>
          <cell r="D280" t="str">
            <v>學習周邊</v>
          </cell>
        </row>
        <row r="281">
          <cell r="A281" t="str">
            <v>20223C609</v>
          </cell>
          <cell r="B281" t="str">
            <v>2409快樂版巧虎點讀筆</v>
          </cell>
          <cell r="C281" t="str">
            <v>周邊商品</v>
          </cell>
          <cell r="D281" t="str">
            <v>學習周邊</v>
          </cell>
        </row>
        <row r="282">
          <cell r="A282" t="str">
            <v>20243C301</v>
          </cell>
          <cell r="B282" t="str">
            <v>2501月號快樂版邏輯閱讀點點書</v>
          </cell>
          <cell r="C282" t="str">
            <v>周邊商品</v>
          </cell>
          <cell r="D282" t="str">
            <v>學習周邊</v>
          </cell>
        </row>
        <row r="283">
          <cell r="A283" t="str">
            <v>20243C302</v>
          </cell>
          <cell r="B283" t="str">
            <v>2502月號快樂版邏輯閱讀點點書</v>
          </cell>
          <cell r="C283" t="str">
            <v>周邊商品</v>
          </cell>
          <cell r="D283" t="str">
            <v>學習周邊</v>
          </cell>
        </row>
        <row r="284">
          <cell r="A284" t="str">
            <v>20243C303</v>
          </cell>
          <cell r="B284" t="str">
            <v>2503月號快樂版邏輯閱讀點點書</v>
          </cell>
          <cell r="C284" t="str">
            <v>周邊商品</v>
          </cell>
          <cell r="D284" t="str">
            <v>學習周邊</v>
          </cell>
        </row>
        <row r="285">
          <cell r="A285" t="str">
            <v>20243C304</v>
          </cell>
          <cell r="B285" t="str">
            <v>2404月號快樂版專注聆聽點點書</v>
          </cell>
          <cell r="C285" t="str">
            <v>周邊商品</v>
          </cell>
          <cell r="D285" t="str">
            <v>學習周邊</v>
          </cell>
        </row>
        <row r="286">
          <cell r="A286" t="str">
            <v>20243C305</v>
          </cell>
          <cell r="B286" t="str">
            <v>2405月號快樂版專注聆聽點點書</v>
          </cell>
          <cell r="C286" t="str">
            <v>周邊商品</v>
          </cell>
          <cell r="D286" t="str">
            <v>學習周邊</v>
          </cell>
        </row>
        <row r="287">
          <cell r="A287" t="str">
            <v>20243C306</v>
          </cell>
          <cell r="B287" t="str">
            <v>2406月號快樂版專注聆聽點點書</v>
          </cell>
          <cell r="C287" t="str">
            <v>周邊商品</v>
          </cell>
          <cell r="D287" t="str">
            <v>學習周邊</v>
          </cell>
        </row>
        <row r="288">
          <cell r="A288" t="str">
            <v>20243C307</v>
          </cell>
          <cell r="B288" t="str">
            <v>2407月號快樂版專注聆聽點點書</v>
          </cell>
          <cell r="C288" t="str">
            <v>周邊商品</v>
          </cell>
          <cell r="D288" t="str">
            <v>學習周邊</v>
          </cell>
        </row>
        <row r="289">
          <cell r="A289" t="str">
            <v>20243C308</v>
          </cell>
          <cell r="B289" t="str">
            <v>2408月號快樂版專注聆聽點點書</v>
          </cell>
          <cell r="C289" t="str">
            <v>周邊商品</v>
          </cell>
          <cell r="D289" t="str">
            <v>學習周邊</v>
          </cell>
        </row>
        <row r="290">
          <cell r="A290" t="str">
            <v>20243C309</v>
          </cell>
          <cell r="B290" t="str">
            <v>2409月號快樂版邏輯閱讀點點書</v>
          </cell>
          <cell r="C290" t="str">
            <v>周邊商品</v>
          </cell>
          <cell r="D290" t="str">
            <v>學習周邊</v>
          </cell>
        </row>
        <row r="291">
          <cell r="A291" t="str">
            <v>20243C310</v>
          </cell>
          <cell r="B291" t="str">
            <v>2410月號快樂版邏輯閱讀點點書</v>
          </cell>
          <cell r="C291" t="str">
            <v>周邊商品</v>
          </cell>
          <cell r="D291" t="str">
            <v>學習周邊</v>
          </cell>
        </row>
        <row r="292">
          <cell r="A292" t="str">
            <v>20243C311</v>
          </cell>
          <cell r="B292" t="str">
            <v>2411月號快樂版邏輯閱讀點點書</v>
          </cell>
          <cell r="C292" t="str">
            <v>周邊商品</v>
          </cell>
          <cell r="D292" t="str">
            <v>學習周邊</v>
          </cell>
        </row>
        <row r="293">
          <cell r="A293" t="str">
            <v>20243C312</v>
          </cell>
          <cell r="B293" t="str">
            <v>2412月號快樂版邏輯閱讀點點書</v>
          </cell>
          <cell r="C293" t="str">
            <v>周邊商品</v>
          </cell>
          <cell r="D293" t="str">
            <v>學習周邊</v>
          </cell>
        </row>
        <row r="294">
          <cell r="A294" t="str">
            <v>20231C612</v>
          </cell>
          <cell r="B294" t="str">
            <v xml:space="preserve">寶寶版巧虎收音機 </v>
          </cell>
          <cell r="C294" t="str">
            <v>周邊商品</v>
          </cell>
          <cell r="D294" t="str">
            <v>學習周邊</v>
          </cell>
        </row>
        <row r="295">
          <cell r="A295" t="str">
            <v xml:space="preserve">20234C603 </v>
          </cell>
          <cell r="B295" t="str">
            <v>成長版IC時鐘小高手</v>
          </cell>
          <cell r="C295" t="str">
            <v>周邊商品</v>
          </cell>
          <cell r="D295" t="str">
            <v>學習周邊</v>
          </cell>
        </row>
        <row r="296">
          <cell r="A296" t="str">
            <v>20235C602</v>
          </cell>
          <cell r="B296" t="str">
            <v>學習版座標轉轉機</v>
          </cell>
          <cell r="C296" t="str">
            <v>周邊商品</v>
          </cell>
          <cell r="D296" t="str">
            <v>學習周邊</v>
          </cell>
        </row>
        <row r="297">
          <cell r="A297" t="str">
            <v>20235C603</v>
          </cell>
          <cell r="B297" t="str">
            <v>學習版巧虎數獨組</v>
          </cell>
          <cell r="C297" t="str">
            <v>周邊商品</v>
          </cell>
          <cell r="D297" t="str">
            <v>學習周邊</v>
          </cell>
        </row>
        <row r="298">
          <cell r="A298" t="str">
            <v>20245CE02</v>
          </cell>
          <cell r="B298" t="str">
            <v>2502奇幻王國書</v>
          </cell>
          <cell r="C298" t="str">
            <v>周邊商品</v>
          </cell>
          <cell r="D298" t="str">
            <v>學習周邊</v>
          </cell>
        </row>
        <row r="299">
          <cell r="A299" t="str">
            <v>20245CA04</v>
          </cell>
          <cell r="B299" t="str">
            <v>2404月號學習版貼紙</v>
          </cell>
          <cell r="C299" t="str">
            <v>周邊商品</v>
          </cell>
          <cell r="D299" t="str">
            <v>學習周邊</v>
          </cell>
        </row>
        <row r="300">
          <cell r="A300" t="str">
            <v>20245C904</v>
          </cell>
          <cell r="B300" t="str">
            <v>2404月號學習版入學準備</v>
          </cell>
          <cell r="C300" t="str">
            <v>周邊商品</v>
          </cell>
          <cell r="D300" t="str">
            <v>學習周邊</v>
          </cell>
        </row>
        <row r="301">
          <cell r="A301" t="str">
            <v>20245CA07</v>
          </cell>
          <cell r="B301" t="str">
            <v>2407月號學習版貼紙</v>
          </cell>
          <cell r="C301" t="str">
            <v>周邊商品</v>
          </cell>
          <cell r="D301" t="str">
            <v>學習周邊</v>
          </cell>
        </row>
        <row r="302">
          <cell r="A302" t="str">
            <v>20245C907</v>
          </cell>
          <cell r="B302" t="str">
            <v>2407月號學習版入學準備</v>
          </cell>
          <cell r="C302" t="str">
            <v>周邊商品</v>
          </cell>
          <cell r="D302" t="str">
            <v>學習周邊</v>
          </cell>
        </row>
        <row r="303">
          <cell r="A303" t="str">
            <v>2021FCV03</v>
          </cell>
          <cell r="B303" t="str">
            <v>2203月號進階版多元探索</v>
          </cell>
          <cell r="C303" t="str">
            <v>周邊商品</v>
          </cell>
          <cell r="D303" t="str">
            <v>學習周邊</v>
          </cell>
        </row>
        <row r="304">
          <cell r="A304" t="str">
            <v>20245C908</v>
          </cell>
          <cell r="B304" t="str">
            <v>2408月號學習版入學準備</v>
          </cell>
          <cell r="C304" t="str">
            <v>周邊商品</v>
          </cell>
          <cell r="D304" t="str">
            <v>學習周邊</v>
          </cell>
        </row>
        <row r="305">
          <cell r="A305" t="str">
            <v>20246CV07</v>
          </cell>
          <cell r="B305" t="str">
            <v>2407月號基礎版多元學習系列</v>
          </cell>
          <cell r="C305" t="str">
            <v>周邊商品</v>
          </cell>
          <cell r="D305" t="str">
            <v>學習周邊</v>
          </cell>
        </row>
        <row r="306">
          <cell r="A306" t="str">
            <v>20245CA08</v>
          </cell>
          <cell r="B306" t="str">
            <v>2408月號學習版貼紙</v>
          </cell>
          <cell r="C306" t="str">
            <v>周邊商品</v>
          </cell>
          <cell r="D306" t="str">
            <v>學習周邊</v>
          </cell>
        </row>
        <row r="307">
          <cell r="A307" t="str">
            <v>2021FCV02</v>
          </cell>
          <cell r="B307" t="str">
            <v>2202月號進階版多元探索</v>
          </cell>
          <cell r="C307" t="str">
            <v>周邊商品</v>
          </cell>
          <cell r="D307" t="str">
            <v>學習周邊</v>
          </cell>
        </row>
        <row r="308">
          <cell r="A308" t="str">
            <v>20246CV05</v>
          </cell>
          <cell r="B308" t="str">
            <v>2405月號基礎版多元學習系列</v>
          </cell>
          <cell r="C308" t="str">
            <v>周邊商品</v>
          </cell>
          <cell r="D308" t="str">
            <v>學習周邊</v>
          </cell>
        </row>
        <row r="309">
          <cell r="A309" t="str">
            <v>20246CV08</v>
          </cell>
          <cell r="B309" t="str">
            <v>2408月號基礎版多元學習系列</v>
          </cell>
          <cell r="C309" t="str">
            <v>周邊商品</v>
          </cell>
          <cell r="D309" t="str">
            <v>學習周邊</v>
          </cell>
        </row>
        <row r="310">
          <cell r="A310" t="str">
            <v>20245C906</v>
          </cell>
          <cell r="B310" t="str">
            <v>2406月號學習版入學準備</v>
          </cell>
          <cell r="C310" t="str">
            <v>周邊商品</v>
          </cell>
          <cell r="D310" t="str">
            <v>學習周邊</v>
          </cell>
        </row>
        <row r="311">
          <cell r="A311" t="str">
            <v>20246CV06</v>
          </cell>
          <cell r="B311" t="str">
            <v>2406月號基礎版多元學習系列</v>
          </cell>
          <cell r="C311" t="str">
            <v>周邊商品</v>
          </cell>
          <cell r="D311" t="str">
            <v>學習周邊</v>
          </cell>
        </row>
        <row r="312">
          <cell r="A312" t="str">
            <v>20235CA03</v>
          </cell>
          <cell r="B312" t="str">
            <v>2403月號學習版貼紙</v>
          </cell>
          <cell r="C312" t="str">
            <v>周邊商品</v>
          </cell>
          <cell r="D312" t="str">
            <v>學習周邊</v>
          </cell>
        </row>
        <row r="313">
          <cell r="A313" t="str">
            <v>20235C903</v>
          </cell>
          <cell r="B313" t="str">
            <v>2403月號學習版入學準備</v>
          </cell>
          <cell r="C313" t="str">
            <v>周邊商品</v>
          </cell>
          <cell r="D313" t="str">
            <v>學習周邊</v>
          </cell>
        </row>
        <row r="314">
          <cell r="A314" t="str">
            <v>20245C606</v>
          </cell>
          <cell r="B314" t="str">
            <v>2406月號學習版影子劇場組</v>
          </cell>
          <cell r="C314" t="str">
            <v>周邊商品</v>
          </cell>
          <cell r="D314" t="str">
            <v>學習周邊</v>
          </cell>
        </row>
        <row r="315">
          <cell r="A315" t="str">
            <v>20245CA06</v>
          </cell>
          <cell r="B315" t="str">
            <v>2406月號學習版貼紙</v>
          </cell>
          <cell r="C315" t="str">
            <v>周邊商品</v>
          </cell>
          <cell r="D315" t="str">
            <v>學習周邊</v>
          </cell>
        </row>
        <row r="316">
          <cell r="A316" t="str">
            <v>20245C905</v>
          </cell>
          <cell r="B316" t="str">
            <v>2405月號學習版入學準備</v>
          </cell>
          <cell r="C316" t="str">
            <v>周邊商品</v>
          </cell>
          <cell r="D316" t="str">
            <v>學習周邊</v>
          </cell>
        </row>
        <row r="317">
          <cell r="A317" t="str">
            <v>20245CA05</v>
          </cell>
          <cell r="B317" t="str">
            <v>2405月號學習版貼紙</v>
          </cell>
          <cell r="C317" t="str">
            <v>周邊商品</v>
          </cell>
          <cell r="D317" t="str">
            <v>學習周邊</v>
          </cell>
        </row>
        <row r="318">
          <cell r="A318" t="str">
            <v>20235C902</v>
          </cell>
          <cell r="B318" t="str">
            <v>2402月號學習版入學準備</v>
          </cell>
          <cell r="C318" t="str">
            <v>周邊商品</v>
          </cell>
          <cell r="D318" t="str">
            <v>學習周邊</v>
          </cell>
        </row>
        <row r="319">
          <cell r="A319" t="str">
            <v>2021FCV01-1</v>
          </cell>
          <cell r="B319" t="str">
            <v>進階版世界拼圖</v>
          </cell>
          <cell r="C319" t="str">
            <v>周邊商品</v>
          </cell>
          <cell r="D319" t="str">
            <v>學習周邊</v>
          </cell>
        </row>
        <row r="320">
          <cell r="A320" t="str">
            <v>2020FC603</v>
          </cell>
          <cell r="B320" t="str">
            <v>2103月號進階版成語中的知識</v>
          </cell>
          <cell r="C320" t="str">
            <v>周邊商品</v>
          </cell>
          <cell r="D320" t="str">
            <v>學習周邊</v>
          </cell>
        </row>
        <row r="321">
          <cell r="A321" t="str">
            <v>20184C603</v>
          </cell>
          <cell r="B321" t="str">
            <v>1903月號成長版恐龍世界大挑戰</v>
          </cell>
          <cell r="C321" t="str">
            <v>周邊商品</v>
          </cell>
          <cell r="D321" t="str">
            <v>學習周邊</v>
          </cell>
        </row>
        <row r="322">
          <cell r="A322" t="str">
            <v>20241C307</v>
          </cell>
          <cell r="B322" t="str">
            <v>2407月號寶寶版上廁所遊戲圖</v>
          </cell>
          <cell r="C322" t="str">
            <v>周邊商品</v>
          </cell>
          <cell r="D322" t="str">
            <v>學習周邊</v>
          </cell>
        </row>
        <row r="323">
          <cell r="A323" t="str">
            <v>20241C308</v>
          </cell>
          <cell r="B323" t="str">
            <v>2408月號寶寶版上廁所遊戲圖</v>
          </cell>
          <cell r="C323" t="str">
            <v>周邊商品</v>
          </cell>
          <cell r="D323" t="str">
            <v>學習周邊</v>
          </cell>
        </row>
        <row r="324">
          <cell r="A324" t="str">
            <v>20241CA07</v>
          </cell>
          <cell r="B324" t="str">
            <v>2407月號寶寶版上廁所遊戲圖貼紙</v>
          </cell>
          <cell r="C324" t="str">
            <v>周邊商品</v>
          </cell>
          <cell r="D324" t="str">
            <v>學習周邊</v>
          </cell>
        </row>
        <row r="325">
          <cell r="A325" t="str">
            <v>20241CA08</v>
          </cell>
          <cell r="B325" t="str">
            <v>2408月號寶寶版上廁所遊戲圖貼紙</v>
          </cell>
          <cell r="C325" t="str">
            <v>周邊商品</v>
          </cell>
          <cell r="D325" t="str">
            <v>學習周邊</v>
          </cell>
        </row>
        <row r="326">
          <cell r="A326" t="str">
            <v>20235C611</v>
          </cell>
          <cell r="B326" t="str">
            <v>學習版推推方塊益智組</v>
          </cell>
          <cell r="C326" t="str">
            <v>周邊商品</v>
          </cell>
          <cell r="D326" t="str">
            <v>學習周邊</v>
          </cell>
        </row>
        <row r="327">
          <cell r="A327" t="str">
            <v>2022FCV11</v>
          </cell>
          <cell r="B327" t="str">
            <v>2211月號進階版多元探索</v>
          </cell>
          <cell r="C327" t="str">
            <v>周邊商品</v>
          </cell>
          <cell r="D327" t="str">
            <v>學習周邊</v>
          </cell>
        </row>
        <row r="328">
          <cell r="A328" t="str">
            <v>2023FC801</v>
          </cell>
          <cell r="B328" t="str">
            <v>2401月號進階版年度特刊</v>
          </cell>
          <cell r="C328" t="str">
            <v>周邊商品</v>
          </cell>
          <cell r="D328" t="str">
            <v>學習周邊</v>
          </cell>
        </row>
        <row r="329">
          <cell r="A329" t="str">
            <v>2024FC804</v>
          </cell>
          <cell r="B329" t="str">
            <v>2404月號進階版年度特刊</v>
          </cell>
          <cell r="C329" t="str">
            <v>周邊商品</v>
          </cell>
          <cell r="D329" t="str">
            <v>學習周邊</v>
          </cell>
        </row>
        <row r="330">
          <cell r="A330" t="str">
            <v>2023FCV02</v>
          </cell>
          <cell r="B330" t="str">
            <v>2402月號進階版口袋書</v>
          </cell>
          <cell r="C330" t="str">
            <v>周邊商品</v>
          </cell>
          <cell r="D330" t="str">
            <v>學習周邊</v>
          </cell>
        </row>
        <row r="331">
          <cell r="A331" t="str">
            <v>2023FCV04</v>
          </cell>
          <cell r="B331" t="str">
            <v>2304進階版多元探索系列</v>
          </cell>
          <cell r="C331" t="str">
            <v>周邊商品</v>
          </cell>
          <cell r="D331" t="str">
            <v>學習周邊</v>
          </cell>
        </row>
        <row r="332">
          <cell r="A332" t="str">
            <v>2024FC808</v>
          </cell>
          <cell r="B332" t="str">
            <v>2408月號進階版年度特刊</v>
          </cell>
          <cell r="C332" t="str">
            <v>周邊商品</v>
          </cell>
          <cell r="D332" t="str">
            <v>學習周邊</v>
          </cell>
        </row>
        <row r="333">
          <cell r="A333" t="str">
            <v>20230H007</v>
          </cell>
          <cell r="B333" t="str">
            <v>巧虎歡樂足球玩具</v>
          </cell>
          <cell r="C333" t="str">
            <v>周邊商品</v>
          </cell>
          <cell r="D333" t="str">
            <v>生活周邊</v>
          </cell>
        </row>
        <row r="334">
          <cell r="A334" t="str">
            <v>20220KF00</v>
          </cell>
          <cell r="B334" t="str">
            <v>巧虎包</v>
          </cell>
          <cell r="C334" t="str">
            <v>周邊商品</v>
          </cell>
          <cell r="D334" t="str">
            <v>生活周邊</v>
          </cell>
        </row>
        <row r="335">
          <cell r="A335" t="str">
            <v>20220KG00</v>
          </cell>
          <cell r="B335" t="str">
            <v>琪琪包</v>
          </cell>
          <cell r="C335" t="str">
            <v>周邊商品</v>
          </cell>
          <cell r="D335" t="str">
            <v>生活周邊</v>
          </cell>
        </row>
        <row r="336">
          <cell r="A336" t="str">
            <v>20210H013</v>
          </cell>
          <cell r="B336" t="str">
            <v>琪琪暖暖披風</v>
          </cell>
          <cell r="C336" t="str">
            <v>周邊商品</v>
          </cell>
          <cell r="D336" t="str">
            <v>生活周邊</v>
          </cell>
        </row>
        <row r="337">
          <cell r="A337" t="str">
            <v>20210H014</v>
          </cell>
          <cell r="B337" t="str">
            <v>可愛巧虎變身毯</v>
          </cell>
          <cell r="C337" t="str">
            <v>周邊商品</v>
          </cell>
          <cell r="D337" t="str">
            <v>生活周邊</v>
          </cell>
        </row>
        <row r="338">
          <cell r="A338" t="str">
            <v>20230EA00</v>
          </cell>
          <cell r="B338" t="str">
            <v>巧虎耶誕斗篷</v>
          </cell>
          <cell r="C338" t="str">
            <v>周邊商品</v>
          </cell>
          <cell r="D338" t="str">
            <v>生活周邊</v>
          </cell>
        </row>
        <row r="339">
          <cell r="A339" t="str">
            <v>20220EA00</v>
          </cell>
          <cell r="B339" t="str">
            <v>巧虎包裝紙(幾何)</v>
          </cell>
          <cell r="C339" t="str">
            <v>周邊商品</v>
          </cell>
          <cell r="D339" t="str">
            <v>生活周邊</v>
          </cell>
        </row>
        <row r="340">
          <cell r="A340" t="str">
            <v>20220EB00</v>
          </cell>
          <cell r="B340" t="str">
            <v>巧虎包裝紙(水果)</v>
          </cell>
          <cell r="C340" t="str">
            <v>周邊商品</v>
          </cell>
          <cell r="D340" t="str">
            <v>生活周邊</v>
          </cell>
        </row>
        <row r="341">
          <cell r="A341" t="str">
            <v>20220H008</v>
          </cell>
          <cell r="B341" t="str">
            <v>琪琪絨毛偶</v>
          </cell>
          <cell r="C341" t="str">
            <v>周邊商品</v>
          </cell>
          <cell r="D341" t="str">
            <v>生活周邊</v>
          </cell>
        </row>
        <row r="342">
          <cell r="A342" t="str">
            <v>20230H008</v>
          </cell>
          <cell r="B342" t="str">
            <v>巧虎玩沙組</v>
          </cell>
          <cell r="C342" t="str">
            <v>周邊商品</v>
          </cell>
          <cell r="D342" t="str">
            <v>生活周邊</v>
          </cell>
        </row>
        <row r="343">
          <cell r="A343" t="str">
            <v>20220KA00</v>
          </cell>
          <cell r="B343" t="str">
            <v>琪琪造型圓領衫90</v>
          </cell>
          <cell r="C343" t="str">
            <v>周邊商品</v>
          </cell>
          <cell r="D343" t="str">
            <v>生活周邊</v>
          </cell>
        </row>
        <row r="344">
          <cell r="A344" t="str">
            <v>20220KA01</v>
          </cell>
          <cell r="B344" t="str">
            <v>琪琪造型圓領衫110</v>
          </cell>
          <cell r="C344" t="str">
            <v>周邊商品</v>
          </cell>
          <cell r="D344" t="str">
            <v>生活周邊</v>
          </cell>
        </row>
        <row r="345">
          <cell r="A345" t="str">
            <v>20230H009</v>
          </cell>
          <cell r="B345" t="str">
            <v>巧虎吉他手玩具</v>
          </cell>
          <cell r="C345" t="str">
            <v>周邊商品</v>
          </cell>
          <cell r="D345" t="str">
            <v>生活周邊</v>
          </cell>
        </row>
        <row r="346">
          <cell r="A346" t="str">
            <v>20200KF00</v>
          </cell>
          <cell r="B346" t="str">
            <v>巧虎趣味飛行棋</v>
          </cell>
          <cell r="C346" t="str">
            <v>周邊商品</v>
          </cell>
          <cell r="D346" t="str">
            <v>生活周邊</v>
          </cell>
        </row>
        <row r="347">
          <cell r="A347" t="str">
            <v>20220H007</v>
          </cell>
          <cell r="B347" t="str">
            <v>巧虎絨毛偶</v>
          </cell>
          <cell r="C347" t="str">
            <v>周邊商品</v>
          </cell>
          <cell r="D347" t="str">
            <v>生活周邊</v>
          </cell>
        </row>
        <row r="348">
          <cell r="A348" t="str">
            <v>20210KJ00</v>
          </cell>
          <cell r="B348" t="str">
            <v>巧虎琪琪穿衣練習組</v>
          </cell>
          <cell r="C348" t="str">
            <v>周邊商品</v>
          </cell>
          <cell r="D348" t="str">
            <v>生活周邊</v>
          </cell>
        </row>
        <row r="349">
          <cell r="A349" t="str">
            <v>20230H011</v>
          </cell>
          <cell r="B349" t="str">
            <v>巧虎二合一音樂玩具</v>
          </cell>
          <cell r="C349" t="str">
            <v>周邊商品</v>
          </cell>
          <cell r="D349" t="str">
            <v>生活周邊</v>
          </cell>
        </row>
        <row r="350">
          <cell r="A350" t="str">
            <v>20230ET00</v>
          </cell>
          <cell r="B350" t="str">
            <v>巧虎好朋友塗鴉本</v>
          </cell>
          <cell r="C350" t="str">
            <v>周邊商品</v>
          </cell>
          <cell r="D350" t="str">
            <v>生活周邊</v>
          </cell>
        </row>
        <row r="351">
          <cell r="A351" t="str">
            <v>20220H002</v>
          </cell>
          <cell r="B351" t="str">
            <v>桃樂比抱抱</v>
          </cell>
          <cell r="C351" t="str">
            <v>周邊商品</v>
          </cell>
          <cell r="D351" t="str">
            <v>生活周邊</v>
          </cell>
        </row>
        <row r="352">
          <cell r="A352" t="str">
            <v>20230H010</v>
          </cell>
          <cell r="B352" t="str">
            <v>巧虎鐵琴音樂玩具</v>
          </cell>
          <cell r="C352" t="str">
            <v>周邊商品</v>
          </cell>
          <cell r="D352" t="str">
            <v>生活周邊</v>
          </cell>
        </row>
        <row r="353">
          <cell r="A353" t="str">
            <v>20230H003</v>
          </cell>
          <cell r="B353" t="str">
            <v>巧虎百變公仔</v>
          </cell>
          <cell r="C353" t="str">
            <v>周邊商品</v>
          </cell>
          <cell r="D353" t="str">
            <v>生活周邊</v>
          </cell>
        </row>
        <row r="354">
          <cell r="A354" t="str">
            <v>20240H007</v>
          </cell>
          <cell r="B354" t="str">
            <v>巧虎成長積木</v>
          </cell>
          <cell r="C354" t="str">
            <v>周邊商品</v>
          </cell>
          <cell r="D354" t="str">
            <v>生活周邊</v>
          </cell>
        </row>
        <row r="355">
          <cell r="A355" t="str">
            <v>20230H033</v>
          </cell>
          <cell r="B355" t="str">
            <v>巧虎琪琪變變變手錶</v>
          </cell>
          <cell r="C355" t="str">
            <v>周邊商品</v>
          </cell>
          <cell r="D355" t="str">
            <v>生活周邊</v>
          </cell>
        </row>
        <row r="356">
          <cell r="A356" t="str">
            <v>20170H020</v>
          </cell>
          <cell r="B356" t="str">
            <v>琪琪寶貝背包</v>
          </cell>
          <cell r="C356" t="str">
            <v>周邊商品</v>
          </cell>
          <cell r="D356" t="str">
            <v>生活周邊</v>
          </cell>
        </row>
        <row r="357">
          <cell r="A357" t="str">
            <v>20230EN00</v>
          </cell>
          <cell r="B357" t="str">
            <v>巧虎好朋友度假小屋(森林系)</v>
          </cell>
          <cell r="C357" t="str">
            <v>周邊商品</v>
          </cell>
          <cell r="D357" t="str">
            <v>生活周邊</v>
          </cell>
        </row>
        <row r="358">
          <cell r="A358" t="str">
            <v>20210H012</v>
          </cell>
          <cell r="B358" t="str">
            <v>巧虎暖暖披風</v>
          </cell>
          <cell r="C358" t="str">
            <v>周邊商品</v>
          </cell>
          <cell r="D358" t="str">
            <v>生活周邊</v>
          </cell>
        </row>
        <row r="359">
          <cell r="A359" t="str">
            <v>20240EC05</v>
          </cell>
          <cell r="B359" t="str">
            <v>巧虎漁夫帽</v>
          </cell>
          <cell r="C359" t="str">
            <v>周邊商品</v>
          </cell>
          <cell r="D359" t="str">
            <v>生活周邊</v>
          </cell>
        </row>
        <row r="360">
          <cell r="A360" t="str">
            <v>20240EC04</v>
          </cell>
          <cell r="B360" t="str">
            <v>巧虎隔尿裙</v>
          </cell>
          <cell r="C360" t="str">
            <v>周邊商品</v>
          </cell>
          <cell r="D360" t="str">
            <v>生活周邊</v>
          </cell>
        </row>
        <row r="361">
          <cell r="A361" t="str">
            <v>20230H032</v>
          </cell>
          <cell r="B361" t="str">
            <v>巧虎兩用式多功能水壺</v>
          </cell>
          <cell r="C361" t="str">
            <v>周邊商品</v>
          </cell>
          <cell r="D361" t="str">
            <v>生活周邊</v>
          </cell>
        </row>
        <row r="362">
          <cell r="A362" t="str">
            <v>20240EC03</v>
          </cell>
          <cell r="B362" t="str">
            <v>DoReMi小樂手</v>
          </cell>
          <cell r="C362" t="str">
            <v>周邊商品</v>
          </cell>
          <cell r="D362" t="str">
            <v>生活周邊</v>
          </cell>
        </row>
        <row r="363">
          <cell r="A363" t="str">
            <v>20240EC06</v>
          </cell>
          <cell r="B363" t="str">
            <v>巧虎湯匙</v>
          </cell>
          <cell r="C363" t="str">
            <v>周邊商品</v>
          </cell>
          <cell r="D363" t="str">
            <v>生活周邊</v>
          </cell>
        </row>
        <row r="364">
          <cell r="A364" t="str">
            <v>20240H019</v>
          </cell>
          <cell r="B364" t="str">
            <v>巧虎探險趣後背包</v>
          </cell>
          <cell r="C364" t="str">
            <v>周邊商品</v>
          </cell>
          <cell r="D364" t="str">
            <v>生活周邊</v>
          </cell>
        </row>
        <row r="365">
          <cell r="A365" t="str">
            <v>20230KA00</v>
          </cell>
          <cell r="B365" t="str">
            <v>小花抱抱</v>
          </cell>
          <cell r="C365" t="str">
            <v>周邊商品</v>
          </cell>
          <cell r="D365" t="str">
            <v>生活周邊</v>
          </cell>
        </row>
        <row r="366">
          <cell r="A366" t="str">
            <v>20240EA08</v>
          </cell>
          <cell r="B366" t="str">
            <v>Skater巧虎水龍頭延伸器</v>
          </cell>
          <cell r="C366" t="str">
            <v>周邊商品</v>
          </cell>
          <cell r="D366" t="str">
            <v>生活周邊</v>
          </cell>
        </row>
        <row r="367">
          <cell r="A367" t="str">
            <v>20240H010</v>
          </cell>
          <cell r="B367" t="str">
            <v>巧虎百變工具箱</v>
          </cell>
          <cell r="C367" t="str">
            <v>周邊商品</v>
          </cell>
          <cell r="D367" t="str">
            <v>生活周邊</v>
          </cell>
        </row>
        <row r="368">
          <cell r="A368" t="str">
            <v>20230KC00</v>
          </cell>
          <cell r="B368" t="str">
            <v>小花包</v>
          </cell>
          <cell r="C368" t="str">
            <v>周邊商品</v>
          </cell>
          <cell r="D368" t="str">
            <v>生活周邊</v>
          </cell>
        </row>
        <row r="369">
          <cell r="A369" t="str">
            <v>20240H009</v>
          </cell>
          <cell r="B369" t="str">
            <v>巧虎聲光廚房遊戲組</v>
          </cell>
          <cell r="C369" t="str">
            <v>周邊商品</v>
          </cell>
          <cell r="D369" t="str">
            <v>生活周邊</v>
          </cell>
        </row>
        <row r="370">
          <cell r="A370" t="str">
            <v>20240EA01</v>
          </cell>
          <cell r="B370" t="str">
            <v>Skater巧虎花灑型水瓢</v>
          </cell>
          <cell r="C370" t="str">
            <v>周邊商品</v>
          </cell>
          <cell r="D370" t="str">
            <v>生活周邊</v>
          </cell>
        </row>
        <row r="371">
          <cell r="A371" t="str">
            <v>20240H025</v>
          </cell>
          <cell r="B371" t="str">
            <v>巧虎組裝積木系列 人物套組</v>
          </cell>
          <cell r="C371" t="str">
            <v>周邊商品</v>
          </cell>
          <cell r="D371" t="str">
            <v>生活周邊</v>
          </cell>
        </row>
        <row r="372">
          <cell r="A372" t="str">
            <v>20240H024</v>
          </cell>
          <cell r="B372" t="str">
            <v>巧虎組裝積木系列 房子收納箱</v>
          </cell>
          <cell r="C372" t="str">
            <v>周邊商品</v>
          </cell>
          <cell r="D372" t="str">
            <v>生活周邊</v>
          </cell>
        </row>
        <row r="373">
          <cell r="A373" t="str">
            <v>20240H028</v>
          </cell>
          <cell r="B373" t="str">
            <v>巧虎益智黏土系列 甜甜圈商店</v>
          </cell>
          <cell r="C373" t="str">
            <v>周邊商品</v>
          </cell>
          <cell r="D373" t="str">
            <v>生活周邊</v>
          </cell>
        </row>
        <row r="374">
          <cell r="A374" t="str">
            <v>20240H029</v>
          </cell>
          <cell r="B374" t="str">
            <v>巧虎益智黏土系列 冰淇淋商店</v>
          </cell>
          <cell r="C374" t="str">
            <v>周邊商品</v>
          </cell>
          <cell r="D374" t="str">
            <v>生活周邊</v>
          </cell>
        </row>
        <row r="375">
          <cell r="A375" t="str">
            <v>20200H026</v>
          </cell>
          <cell r="B375" t="str">
            <v>Skater巧虎防走失包</v>
          </cell>
          <cell r="C375" t="str">
            <v>周邊商品</v>
          </cell>
          <cell r="D375" t="str">
            <v>生活周邊</v>
          </cell>
        </row>
        <row r="376">
          <cell r="A376" t="str">
            <v>20230EH00</v>
          </cell>
          <cell r="B376" t="str">
            <v>12吋巧虎頭型抱枕</v>
          </cell>
          <cell r="C376" t="str">
            <v>周邊商品</v>
          </cell>
          <cell r="D376" t="str">
            <v>生活周邊</v>
          </cell>
        </row>
        <row r="377">
          <cell r="A377" t="str">
            <v>20240EA04</v>
          </cell>
          <cell r="B377" t="str">
            <v>巧虎好朋友布貼</v>
          </cell>
          <cell r="C377" t="str">
            <v>周邊商品</v>
          </cell>
          <cell r="D377" t="str">
            <v>生活周邊</v>
          </cell>
        </row>
        <row r="378">
          <cell r="A378" t="str">
            <v>20240EC01</v>
          </cell>
          <cell r="B378" t="str">
            <v>巧虎束口保溫袋(黃)</v>
          </cell>
          <cell r="C378" t="str">
            <v>周邊商品</v>
          </cell>
          <cell r="D378" t="str">
            <v>生活周邊</v>
          </cell>
        </row>
        <row r="379">
          <cell r="A379" t="str">
            <v>20240EB01</v>
          </cell>
          <cell r="B379" t="str">
            <v>巧虎多功能訓練便器</v>
          </cell>
          <cell r="C379" t="str">
            <v>周邊商品</v>
          </cell>
          <cell r="D379" t="str">
            <v>生活周邊</v>
          </cell>
        </row>
        <row r="380">
          <cell r="A380" t="str">
            <v>20230H012</v>
          </cell>
          <cell r="B380" t="str">
            <v>巧虎抱抱</v>
          </cell>
          <cell r="C380" t="str">
            <v>周邊商品</v>
          </cell>
          <cell r="D380" t="str">
            <v>生活周邊</v>
          </cell>
        </row>
        <row r="381">
          <cell r="A381" t="str">
            <v>20240EC02</v>
          </cell>
          <cell r="B381" t="str">
            <v>巧虎收納袋(大)-星星黃</v>
          </cell>
          <cell r="C381" t="str">
            <v>周邊商品</v>
          </cell>
          <cell r="D381" t="str">
            <v>生活周邊</v>
          </cell>
        </row>
        <row r="382">
          <cell r="A382" t="str">
            <v>20240EA03</v>
          </cell>
          <cell r="B382" t="str">
            <v>Skater巧虎拋棄式圍兜</v>
          </cell>
          <cell r="C382" t="str">
            <v>周邊商品</v>
          </cell>
          <cell r="D382" t="str">
            <v>生活周邊</v>
          </cell>
        </row>
        <row r="383">
          <cell r="A383" t="str">
            <v>20240EA16</v>
          </cell>
          <cell r="B383" t="str">
            <v>5吋巧虎擦手巾(微笑款)</v>
          </cell>
          <cell r="C383" t="str">
            <v>周邊商品</v>
          </cell>
          <cell r="D383" t="str">
            <v>生活周邊</v>
          </cell>
        </row>
        <row r="384">
          <cell r="A384" t="str">
            <v>20240EA09</v>
          </cell>
          <cell r="B384" t="str">
            <v>5吋巧虎擦手巾(開心款)</v>
          </cell>
          <cell r="C384" t="str">
            <v>周邊商品</v>
          </cell>
          <cell r="D384" t="str">
            <v>生活周邊</v>
          </cell>
        </row>
        <row r="385">
          <cell r="A385" t="str">
            <v>20180H041</v>
          </cell>
          <cell r="B385" t="str">
            <v>巧虎餐碗</v>
          </cell>
          <cell r="C385" t="str">
            <v>周邊商品</v>
          </cell>
          <cell r="D385" t="str">
            <v>生活周邊</v>
          </cell>
        </row>
        <row r="386">
          <cell r="A386" t="str">
            <v>20200H017</v>
          </cell>
          <cell r="B386" t="str">
            <v>Skater-兒童雨衣-巧虎</v>
          </cell>
          <cell r="C386" t="str">
            <v>周邊商品</v>
          </cell>
          <cell r="D386" t="str">
            <v>生活周邊</v>
          </cell>
        </row>
        <row r="387">
          <cell r="A387" t="str">
            <v>20240H031</v>
          </cell>
          <cell r="B387" t="str">
            <v>Skater點心盒3入組-巧虎</v>
          </cell>
          <cell r="C387" t="str">
            <v>周邊商品</v>
          </cell>
          <cell r="D387" t="str">
            <v>生活周邊</v>
          </cell>
        </row>
        <row r="388">
          <cell r="A388" t="str">
            <v>20220EM00</v>
          </cell>
          <cell r="B388" t="str">
            <v>18吋巧虎頭型抱枕</v>
          </cell>
          <cell r="C388" t="str">
            <v>周邊商品</v>
          </cell>
          <cell r="D388" t="str">
            <v>生活周邊</v>
          </cell>
        </row>
        <row r="389">
          <cell r="A389" t="str">
            <v>20240H002</v>
          </cell>
          <cell r="B389" t="str">
            <v>小花玩偶吊飾</v>
          </cell>
          <cell r="C389" t="str">
            <v>周邊商品</v>
          </cell>
          <cell r="D389" t="str">
            <v>生活周邊</v>
          </cell>
        </row>
        <row r="390">
          <cell r="A390" t="str">
            <v>20200H016</v>
          </cell>
          <cell r="B390" t="str">
            <v>Slater兒童雨傘-巧虎</v>
          </cell>
          <cell r="C390" t="str">
            <v>周邊商品</v>
          </cell>
          <cell r="D390" t="str">
            <v>生活周邊</v>
          </cell>
        </row>
        <row r="391">
          <cell r="A391" t="str">
            <v>20220H010</v>
          </cell>
          <cell r="B391" t="str">
            <v>TOMICA巧虎敞篷車</v>
          </cell>
          <cell r="C391" t="str">
            <v>周邊商品</v>
          </cell>
          <cell r="D391" t="str">
            <v>生活周邊</v>
          </cell>
        </row>
        <row r="392">
          <cell r="A392" t="str">
            <v>20220H009</v>
          </cell>
          <cell r="B392" t="str">
            <v>TOMICA巧虎跑車</v>
          </cell>
          <cell r="C392" t="str">
            <v>周邊商品</v>
          </cell>
          <cell r="D392" t="str">
            <v>生活周邊</v>
          </cell>
        </row>
        <row r="393">
          <cell r="A393" t="str">
            <v>20240EA14</v>
          </cell>
          <cell r="B393" t="str">
            <v>18吋巧虎繞邊枕</v>
          </cell>
          <cell r="C393" t="str">
            <v>周邊商品</v>
          </cell>
          <cell r="D393" t="str">
            <v>生活周邊</v>
          </cell>
        </row>
        <row r="394">
          <cell r="A394" t="str">
            <v>20240EB04</v>
          </cell>
          <cell r="B394" t="str">
            <v>Shelly巧虎版(2-12歲汽車安全座椅)</v>
          </cell>
          <cell r="C394" t="str">
            <v>周邊商品</v>
          </cell>
          <cell r="D394" t="str">
            <v>生活周邊</v>
          </cell>
        </row>
        <row r="395">
          <cell r="A395" t="str">
            <v>20240H001</v>
          </cell>
          <cell r="B395" t="str">
            <v>巧虎玩偶吊飾</v>
          </cell>
          <cell r="C395" t="str">
            <v>周邊商品</v>
          </cell>
          <cell r="D395" t="str">
            <v>生活周邊</v>
          </cell>
        </row>
        <row r="396">
          <cell r="A396" t="str">
            <v>20220EK00</v>
          </cell>
          <cell r="B396" t="str">
            <v>6吋桃樂比頭型包包</v>
          </cell>
          <cell r="C396" t="str">
            <v>周邊商品</v>
          </cell>
          <cell r="D396" t="str">
            <v>生活周邊</v>
          </cell>
        </row>
        <row r="397">
          <cell r="A397" t="str">
            <v>20240H003</v>
          </cell>
          <cell r="B397" t="str">
            <v>琪琪玩偶吊飾</v>
          </cell>
          <cell r="C397" t="str">
            <v>周邊商品</v>
          </cell>
          <cell r="D397" t="str">
            <v>生活周邊</v>
          </cell>
        </row>
        <row r="398">
          <cell r="A398" t="str">
            <v>20180HA15</v>
          </cell>
          <cell r="B398" t="str">
            <v>巧虎雨鞋(15號)</v>
          </cell>
          <cell r="C398" t="str">
            <v>周邊商品</v>
          </cell>
          <cell r="D398" t="str">
            <v>生活周邊</v>
          </cell>
        </row>
        <row r="399">
          <cell r="A399" t="str">
            <v>20180HA16</v>
          </cell>
          <cell r="B399" t="str">
            <v>巧虎雨鞋(16號)</v>
          </cell>
          <cell r="C399" t="str">
            <v>周邊商品</v>
          </cell>
          <cell r="D399" t="str">
            <v>生活周邊</v>
          </cell>
        </row>
        <row r="400">
          <cell r="A400" t="str">
            <v>20180HA17</v>
          </cell>
          <cell r="B400" t="str">
            <v>巧虎雨鞋(17號)</v>
          </cell>
          <cell r="C400" t="str">
            <v>周邊商品</v>
          </cell>
          <cell r="D400" t="str">
            <v>生活周邊</v>
          </cell>
        </row>
        <row r="401">
          <cell r="A401" t="str">
            <v>20180HA18</v>
          </cell>
          <cell r="B401" t="str">
            <v>巧虎雨鞋(18號)</v>
          </cell>
          <cell r="C401" t="str">
            <v>周邊商品</v>
          </cell>
          <cell r="D401" t="str">
            <v>生活周邊</v>
          </cell>
        </row>
        <row r="402">
          <cell r="A402" t="str">
            <v>20180HA19</v>
          </cell>
          <cell r="B402" t="str">
            <v>巧虎雨鞋(19號)</v>
          </cell>
          <cell r="C402" t="str">
            <v>周邊商品</v>
          </cell>
          <cell r="D402" t="str">
            <v>生活周邊</v>
          </cell>
        </row>
        <row r="403">
          <cell r="A403" t="str">
            <v>20220KC00</v>
          </cell>
          <cell r="B403" t="str">
            <v>琪琪可愛小圓包</v>
          </cell>
          <cell r="C403" t="str">
            <v>周邊商品</v>
          </cell>
          <cell r="D403" t="str">
            <v>生活周邊</v>
          </cell>
        </row>
        <row r="404">
          <cell r="A404" t="str">
            <v>20240EA15</v>
          </cell>
          <cell r="B404" t="str">
            <v>18吋琪琪繞邊枕</v>
          </cell>
          <cell r="C404" t="str">
            <v>周邊商品</v>
          </cell>
          <cell r="D404" t="str">
            <v>生活周邊</v>
          </cell>
        </row>
        <row r="405">
          <cell r="A405" t="str">
            <v>20220EC00</v>
          </cell>
          <cell r="B405" t="str">
            <v>巧虎鋁箔包防壓盒</v>
          </cell>
          <cell r="C405" t="str">
            <v>周邊商品</v>
          </cell>
          <cell r="D405" t="str">
            <v>生活周邊</v>
          </cell>
        </row>
        <row r="406">
          <cell r="A406" t="str">
            <v>20180HB15</v>
          </cell>
          <cell r="B406" t="str">
            <v>琪琪雨鞋(15號)</v>
          </cell>
          <cell r="C406" t="str">
            <v>周邊商品</v>
          </cell>
          <cell r="D406" t="str">
            <v>生活周邊</v>
          </cell>
        </row>
        <row r="407">
          <cell r="A407" t="str">
            <v>20180HB16</v>
          </cell>
          <cell r="B407" t="str">
            <v>琪琪雨鞋(16號)</v>
          </cell>
          <cell r="C407" t="str">
            <v>周邊商品</v>
          </cell>
          <cell r="D407" t="str">
            <v>生活周邊</v>
          </cell>
        </row>
        <row r="408">
          <cell r="A408" t="str">
            <v>20180HB17</v>
          </cell>
          <cell r="B408" t="str">
            <v>琪琪雨鞋(17號)</v>
          </cell>
          <cell r="C408" t="str">
            <v>周邊商品</v>
          </cell>
          <cell r="D408" t="str">
            <v>生活周邊</v>
          </cell>
        </row>
        <row r="409">
          <cell r="A409" t="str">
            <v>20180HB18</v>
          </cell>
          <cell r="B409" t="str">
            <v>琪琪雨鞋(18號)</v>
          </cell>
          <cell r="C409" t="str">
            <v>周邊商品</v>
          </cell>
          <cell r="D409" t="str">
            <v>生活周邊</v>
          </cell>
        </row>
        <row r="410">
          <cell r="A410" t="str">
            <v>20180HB19</v>
          </cell>
          <cell r="B410" t="str">
            <v>琪琪雨鞋(19號)</v>
          </cell>
          <cell r="C410" t="str">
            <v>周邊商品</v>
          </cell>
          <cell r="D410" t="str">
            <v>生活周邊</v>
          </cell>
        </row>
        <row r="411">
          <cell r="A411" t="str">
            <v>20240H006</v>
          </cell>
          <cell r="B411" t="str">
            <v>Skater巧虎3入水杯 Friends款</v>
          </cell>
          <cell r="C411" t="str">
            <v>周邊商品</v>
          </cell>
          <cell r="D411" t="str">
            <v>生活周邊</v>
          </cell>
        </row>
        <row r="412">
          <cell r="A412" t="str">
            <v>20240H032</v>
          </cell>
          <cell r="B412" t="str">
            <v>Skater銀離子三件餐具組-巧虎Friends</v>
          </cell>
          <cell r="C412" t="str">
            <v>周邊商品</v>
          </cell>
          <cell r="D412" t="str">
            <v>生活周邊</v>
          </cell>
        </row>
        <row r="413">
          <cell r="A413" t="str">
            <v>20220EH00</v>
          </cell>
          <cell r="B413" t="str">
            <v>6吋巧虎頭型包包</v>
          </cell>
          <cell r="C413" t="str">
            <v>周邊商品</v>
          </cell>
          <cell r="D413" t="str">
            <v>生活周邊</v>
          </cell>
        </row>
        <row r="414">
          <cell r="A414" t="str">
            <v>20230EE00</v>
          </cell>
          <cell r="B414" t="str">
            <v>巧虎圓筒便當袋-藍</v>
          </cell>
          <cell r="C414" t="str">
            <v>周邊商品</v>
          </cell>
          <cell r="D414" t="str">
            <v>生活周邊</v>
          </cell>
        </row>
        <row r="415">
          <cell r="A415" t="str">
            <v>20240H011</v>
          </cell>
          <cell r="B415" t="str">
            <v>我就是巧虎髮帶</v>
          </cell>
          <cell r="C415" t="str">
            <v>周邊商品</v>
          </cell>
          <cell r="D415" t="str">
            <v>生活周邊</v>
          </cell>
        </row>
        <row r="416">
          <cell r="A416" t="str">
            <v>20240H012</v>
          </cell>
          <cell r="B416" t="str">
            <v>我就是琪琪髮帶</v>
          </cell>
          <cell r="C416" t="str">
            <v>周邊商品</v>
          </cell>
          <cell r="D416" t="str">
            <v>生活周邊</v>
          </cell>
        </row>
        <row r="417">
          <cell r="A417" t="str">
            <v>20240H013</v>
          </cell>
          <cell r="B417" t="str">
            <v>我就是小花髮帶</v>
          </cell>
          <cell r="C417" t="str">
            <v>周邊商品</v>
          </cell>
          <cell r="D417" t="str">
            <v>生活周邊</v>
          </cell>
        </row>
        <row r="418">
          <cell r="A418" t="str">
            <v>20240H014</v>
          </cell>
          <cell r="B418" t="str">
            <v>我就是桃樂比髮帶</v>
          </cell>
          <cell r="C418" t="str">
            <v>周邊商品</v>
          </cell>
          <cell r="D418" t="str">
            <v>生活周邊</v>
          </cell>
        </row>
        <row r="419">
          <cell r="A419" t="str">
            <v>20240H015</v>
          </cell>
          <cell r="B419" t="str">
            <v>我就是妙妙髮帶</v>
          </cell>
          <cell r="C419" t="str">
            <v>周邊商品</v>
          </cell>
          <cell r="D419" t="str">
            <v>生活周邊</v>
          </cell>
        </row>
        <row r="420">
          <cell r="A420" t="str">
            <v>20230EQ00</v>
          </cell>
          <cell r="B420" t="str">
            <v>Skater不銹鋼巧虎叉子</v>
          </cell>
          <cell r="C420" t="str">
            <v>周邊商品</v>
          </cell>
          <cell r="D420" t="str">
            <v>生活周邊</v>
          </cell>
        </row>
        <row r="421">
          <cell r="A421" t="str">
            <v>20230EP00</v>
          </cell>
          <cell r="B421" t="str">
            <v>Skater不銹鋼巧虎湯匙</v>
          </cell>
          <cell r="C421" t="str">
            <v>周邊商品</v>
          </cell>
          <cell r="D421" t="str">
            <v>生活周邊</v>
          </cell>
        </row>
        <row r="422">
          <cell r="A422" t="str">
            <v>20240EA02</v>
          </cell>
          <cell r="B422" t="str">
            <v>Skater巧虎吸管型不銹鋼兩用杯</v>
          </cell>
          <cell r="C422" t="str">
            <v>周邊商品</v>
          </cell>
          <cell r="D422" t="str">
            <v>生活周邊</v>
          </cell>
        </row>
        <row r="423">
          <cell r="A423" t="str">
            <v>20220KB00</v>
          </cell>
          <cell r="B423" t="str">
            <v>巧虎可愛小圓包</v>
          </cell>
          <cell r="C423" t="str">
            <v>周邊商品</v>
          </cell>
          <cell r="D423" t="str">
            <v>生活周邊</v>
          </cell>
        </row>
        <row r="424">
          <cell r="A424" t="str">
            <v>20220EJ00</v>
          </cell>
          <cell r="B424" t="str">
            <v>6吋琪琪頭型包包</v>
          </cell>
          <cell r="C424" t="str">
            <v>周邊商品</v>
          </cell>
          <cell r="D424" t="str">
            <v>生活周邊</v>
          </cell>
        </row>
        <row r="425">
          <cell r="A425" t="str">
            <v>20240H027</v>
          </cell>
          <cell r="B425" t="str">
            <v>巧虎組裝積木系列 滑梯鞦韆公園套組</v>
          </cell>
          <cell r="C425" t="str">
            <v>周邊商品</v>
          </cell>
          <cell r="D425" t="str">
            <v>生活周邊</v>
          </cell>
        </row>
        <row r="426">
          <cell r="A426" t="str">
            <v>20240H030</v>
          </cell>
          <cell r="B426" t="str">
            <v>Skater練習用斜口杯-巧虎</v>
          </cell>
          <cell r="C426" t="str">
            <v>周邊商品</v>
          </cell>
          <cell r="D426" t="str">
            <v>生活周邊</v>
          </cell>
        </row>
        <row r="427">
          <cell r="A427" t="str">
            <v>20180H042</v>
          </cell>
          <cell r="B427" t="str">
            <v>巧虎深口碗</v>
          </cell>
          <cell r="C427" t="str">
            <v>周邊商品</v>
          </cell>
          <cell r="D427" t="str">
            <v>生活周邊</v>
          </cell>
        </row>
        <row r="428">
          <cell r="A428" t="str">
            <v>20200HC10</v>
          </cell>
          <cell r="B428" t="str">
            <v>妙妙鑰匙圈</v>
          </cell>
          <cell r="C428" t="str">
            <v>周邊商品</v>
          </cell>
          <cell r="D428" t="str">
            <v>生活周邊</v>
          </cell>
        </row>
        <row r="429">
          <cell r="A429" t="str">
            <v>20200HD10</v>
          </cell>
          <cell r="B429" t="str">
            <v>桃樂比鑰匙圈</v>
          </cell>
          <cell r="C429" t="str">
            <v>周邊商品</v>
          </cell>
          <cell r="D429" t="str">
            <v>生活周邊</v>
          </cell>
        </row>
        <row r="430">
          <cell r="A430" t="str">
            <v>20230ED00</v>
          </cell>
          <cell r="B430" t="str">
            <v>巧虎方型便當袋-黃</v>
          </cell>
          <cell r="C430" t="str">
            <v>周邊商品</v>
          </cell>
          <cell r="D430" t="str">
            <v>生活周邊</v>
          </cell>
        </row>
        <row r="431">
          <cell r="A431" t="str">
            <v>20240H018</v>
          </cell>
          <cell r="B431" t="str">
            <v>巧虎好朋友背包</v>
          </cell>
          <cell r="C431" t="str">
            <v>周邊商品</v>
          </cell>
          <cell r="D431" t="str">
            <v>生活周邊</v>
          </cell>
        </row>
        <row r="432">
          <cell r="A432" t="str">
            <v>20240EA12</v>
          </cell>
          <cell r="B432" t="str">
            <v>12吋微笑巧虎午睡保暖枕</v>
          </cell>
          <cell r="C432" t="str">
            <v>周邊商品</v>
          </cell>
          <cell r="D432" t="str">
            <v>生活周邊</v>
          </cell>
        </row>
        <row r="433">
          <cell r="A433" t="str">
            <v>20240EA13</v>
          </cell>
          <cell r="B433" t="str">
            <v>12吋開心巧虎午睡保暖枕</v>
          </cell>
          <cell r="C433" t="str">
            <v>周邊商品</v>
          </cell>
          <cell r="D433" t="str">
            <v>生活周邊</v>
          </cell>
        </row>
        <row r="434">
          <cell r="A434" t="str">
            <v>20220EF00</v>
          </cell>
          <cell r="B434" t="str">
            <v>15吋巧虎雙人枕</v>
          </cell>
          <cell r="C434" t="str">
            <v>周邊商品</v>
          </cell>
          <cell r="D434" t="str">
            <v>生活周邊</v>
          </cell>
        </row>
        <row r="435">
          <cell r="A435" t="str">
            <v>20220EG00</v>
          </cell>
          <cell r="B435" t="str">
            <v>15吋桃樂比雙人枕</v>
          </cell>
          <cell r="C435" t="str">
            <v>周邊商品</v>
          </cell>
          <cell r="D435" t="str">
            <v>生活周邊</v>
          </cell>
        </row>
        <row r="436">
          <cell r="A436" t="str">
            <v>20240EA10</v>
          </cell>
          <cell r="B436" t="str">
            <v>5吋琪琪擦手巾</v>
          </cell>
          <cell r="C436" t="str">
            <v>周邊商品</v>
          </cell>
          <cell r="D436" t="str">
            <v>生活周邊</v>
          </cell>
        </row>
        <row r="437">
          <cell r="A437" t="str">
            <v>20240EA11</v>
          </cell>
          <cell r="B437" t="str">
            <v>5吋桃樂比擦手巾</v>
          </cell>
          <cell r="C437" t="str">
            <v>周邊商品</v>
          </cell>
          <cell r="D437" t="str">
            <v>生活周邊</v>
          </cell>
        </row>
        <row r="438">
          <cell r="A438" t="str">
            <v>20240EB02</v>
          </cell>
          <cell r="B438" t="str">
            <v>巧虎三階段彈力學習筷-左手</v>
          </cell>
          <cell r="C438" t="str">
            <v>周邊商品</v>
          </cell>
          <cell r="D438" t="str">
            <v>生活周邊</v>
          </cell>
        </row>
        <row r="439">
          <cell r="A439" t="str">
            <v>20240EB03</v>
          </cell>
          <cell r="B439" t="str">
            <v>巧虎三階段彈力學習筷-右手</v>
          </cell>
          <cell r="C439" t="str">
            <v>周邊商品</v>
          </cell>
          <cell r="D439" t="str">
            <v>生活周邊</v>
          </cell>
        </row>
        <row r="440">
          <cell r="A440" t="str">
            <v>20230EK00</v>
          </cell>
          <cell r="B440" t="str">
            <v>12吋桃樂比頭型抱枕</v>
          </cell>
          <cell r="C440" t="str">
            <v>周邊商品</v>
          </cell>
          <cell r="D440" t="str">
            <v>生活周邊</v>
          </cell>
        </row>
        <row r="441">
          <cell r="A441" t="str">
            <v>20230EJ00</v>
          </cell>
          <cell r="B441" t="str">
            <v>12吋琪琪頭型抱枕</v>
          </cell>
          <cell r="C441" t="str">
            <v>周邊商品</v>
          </cell>
          <cell r="D441" t="str">
            <v>生活周邊</v>
          </cell>
        </row>
        <row r="442">
          <cell r="A442" t="str">
            <v>20210KG00</v>
          </cell>
          <cell r="B442" t="str">
            <v>琪琪抱抱</v>
          </cell>
          <cell r="C442" t="str">
            <v>周邊商品</v>
          </cell>
          <cell r="D442" t="str">
            <v>生活周邊</v>
          </cell>
        </row>
        <row r="443">
          <cell r="A443" t="str">
            <v>20230H027</v>
          </cell>
          <cell r="B443" t="str">
            <v>Skater防蚊貼(72入)巧虎</v>
          </cell>
          <cell r="C443" t="str">
            <v>周邊商品</v>
          </cell>
          <cell r="D443" t="str">
            <v>生活周邊</v>
          </cell>
        </row>
        <row r="444">
          <cell r="A444" t="str">
            <v>20180H043</v>
          </cell>
          <cell r="B444" t="str">
            <v>巧虎餐盤</v>
          </cell>
          <cell r="C444" t="str">
            <v>周邊商品</v>
          </cell>
          <cell r="D444" t="str">
            <v>生活周邊</v>
          </cell>
        </row>
        <row r="445">
          <cell r="A445" t="str">
            <v>20240EA07</v>
          </cell>
          <cell r="B445" t="str">
            <v>Skater巧虎幼兒水杯</v>
          </cell>
          <cell r="C445" t="str">
            <v>周邊商品</v>
          </cell>
          <cell r="D445" t="str">
            <v>生活周邊</v>
          </cell>
        </row>
        <row r="446">
          <cell r="A446" t="str">
            <v>20230EG00</v>
          </cell>
          <cell r="B446" t="str">
            <v>12吋巧虎頭型毯被</v>
          </cell>
          <cell r="C446" t="str">
            <v>周邊商品</v>
          </cell>
          <cell r="D446" t="str">
            <v>生活周邊</v>
          </cell>
        </row>
        <row r="447">
          <cell r="A447" t="str">
            <v>20230EF00</v>
          </cell>
          <cell r="B447" t="str">
            <v>巧虎沐浴棉</v>
          </cell>
          <cell r="C447" t="str">
            <v>周邊商品</v>
          </cell>
          <cell r="D447" t="str">
            <v>生活周邊</v>
          </cell>
        </row>
        <row r="448">
          <cell r="A448" t="str">
            <v>20170H019</v>
          </cell>
          <cell r="B448" t="str">
            <v>巧虎寶貝背包</v>
          </cell>
          <cell r="C448" t="str">
            <v>周邊商品</v>
          </cell>
          <cell r="D448" t="str">
            <v>生活周邊</v>
          </cell>
        </row>
        <row r="449">
          <cell r="A449" t="str">
            <v>20220EE00</v>
          </cell>
          <cell r="B449" t="str">
            <v>巧虎好朋友扭蛋組(6隻組)</v>
          </cell>
          <cell r="C449" t="str">
            <v>周邊商品</v>
          </cell>
          <cell r="D449" t="str">
            <v>生活周邊</v>
          </cell>
        </row>
        <row r="450">
          <cell r="A450" t="str">
            <v>20230EM00</v>
          </cell>
          <cell r="B450" t="str">
            <v>12吋巧虎頭型後背包</v>
          </cell>
          <cell r="C450" t="str">
            <v>周邊商品</v>
          </cell>
          <cell r="D450" t="str">
            <v>生活周邊</v>
          </cell>
        </row>
        <row r="451">
          <cell r="A451" t="str">
            <v>20230ER00</v>
          </cell>
          <cell r="B451" t="str">
            <v>10吋巧虎大頭手提包</v>
          </cell>
          <cell r="C451" t="str">
            <v>周邊商品</v>
          </cell>
          <cell r="D451" t="str">
            <v>生活周邊</v>
          </cell>
        </row>
        <row r="452">
          <cell r="A452" t="str">
            <v>20210HA00</v>
          </cell>
          <cell r="B452" t="str">
            <v>巧虎暖暖披風組</v>
          </cell>
          <cell r="C452" t="str">
            <v>周邊商品</v>
          </cell>
          <cell r="D452" t="str">
            <v>生活周邊</v>
          </cell>
        </row>
        <row r="453">
          <cell r="A453" t="str">
            <v>20210HB00</v>
          </cell>
          <cell r="B453" t="str">
            <v>琪琪暖暖披風組</v>
          </cell>
          <cell r="C453" t="str">
            <v>周邊商品</v>
          </cell>
          <cell r="D453" t="str">
            <v>生活周邊</v>
          </cell>
        </row>
        <row r="454">
          <cell r="A454" t="str">
            <v>20190KC00</v>
          </cell>
          <cell r="B454" t="str">
            <v>刺刺積木組</v>
          </cell>
          <cell r="C454" t="str">
            <v>周邊商品</v>
          </cell>
          <cell r="D454" t="str">
            <v>生活周邊</v>
          </cell>
        </row>
        <row r="455">
          <cell r="A455" t="str">
            <v>20210KK00</v>
          </cell>
          <cell r="B455" t="str">
            <v>巧虎好朋友玩偶組</v>
          </cell>
          <cell r="C455" t="str">
            <v>周邊商品</v>
          </cell>
          <cell r="D455" t="str">
            <v>生活周邊</v>
          </cell>
        </row>
        <row r="456">
          <cell r="A456" t="str">
            <v>20240EA05</v>
          </cell>
          <cell r="B456" t="str">
            <v>【德國classic world】我的最愛化妝台</v>
          </cell>
          <cell r="C456" t="str">
            <v>周邊商品</v>
          </cell>
          <cell r="D456" t="str">
            <v>生活周邊</v>
          </cell>
        </row>
        <row r="457">
          <cell r="A457" t="str">
            <v>20240EA06</v>
          </cell>
          <cell r="B457" t="str">
            <v>【德國classic world】復古停車場</v>
          </cell>
          <cell r="C457" t="str">
            <v>周邊商品</v>
          </cell>
          <cell r="D457" t="str">
            <v>生活周邊</v>
          </cell>
        </row>
        <row r="458">
          <cell r="A458" t="str">
            <v>20220HXAB</v>
          </cell>
          <cell r="B458" t="str">
            <v>巧虎雨傘3入組</v>
          </cell>
          <cell r="C458" t="str">
            <v>周邊商品</v>
          </cell>
          <cell r="D458" t="str">
            <v>生活周邊</v>
          </cell>
        </row>
        <row r="459">
          <cell r="A459" t="str">
            <v>20220HXAA</v>
          </cell>
          <cell r="B459" t="str">
            <v>巧虎雨具組(雨傘+雨衣)</v>
          </cell>
          <cell r="C459" t="str">
            <v>周邊商品</v>
          </cell>
          <cell r="D459" t="str">
            <v>生活周邊</v>
          </cell>
        </row>
        <row r="460">
          <cell r="A460" t="str">
            <v>20210KC00</v>
          </cell>
          <cell r="B460" t="str">
            <v>巧虎好朋友度假小屋</v>
          </cell>
          <cell r="C460" t="str">
            <v>周邊商品</v>
          </cell>
          <cell r="D460" t="str">
            <v>生活周邊</v>
          </cell>
        </row>
        <row r="461">
          <cell r="A461" t="str">
            <v>20252CXAA</v>
          </cell>
          <cell r="B461" t="str">
            <v>幼幼分類超市+附件圖卡+附件底圖</v>
          </cell>
          <cell r="C461" t="str">
            <v>周邊商品</v>
          </cell>
          <cell r="D461" t="str">
            <v>學習周邊</v>
          </cell>
        </row>
        <row r="462">
          <cell r="A462" t="str">
            <v>20252CXAB</v>
          </cell>
          <cell r="B462" t="str">
            <v>幼幼表達力餐廳+點讀圖卡</v>
          </cell>
          <cell r="C462" t="str">
            <v>周邊商品</v>
          </cell>
          <cell r="D462" t="str">
            <v>學習周邊</v>
          </cell>
        </row>
        <row r="463">
          <cell r="A463" t="str">
            <v>20253CXAA</v>
          </cell>
          <cell r="B463" t="str">
            <v>快樂版閱讀筆+找朋友邏輯組+遊戲海報</v>
          </cell>
          <cell r="C463" t="str">
            <v>周邊商品</v>
          </cell>
          <cell r="D463" t="str">
            <v>學習周邊</v>
          </cell>
        </row>
        <row r="464">
          <cell r="A464" t="str">
            <v>20251CXAA</v>
          </cell>
          <cell r="B464" t="str">
            <v>2407寶寶版上廁所遊戲圖+貼紙</v>
          </cell>
          <cell r="C464" t="str">
            <v>周邊商品</v>
          </cell>
          <cell r="D464" t="str">
            <v>學習周邊</v>
          </cell>
        </row>
        <row r="465">
          <cell r="A465" t="str">
            <v>20251CXAB</v>
          </cell>
          <cell r="B465" t="str">
            <v>2408寶寶版上廁所遊戲圖+貼紙</v>
          </cell>
          <cell r="C465" t="str">
            <v>周邊商品</v>
          </cell>
          <cell r="D465" t="str">
            <v>學習周邊</v>
          </cell>
        </row>
        <row r="466">
          <cell r="A466" t="str">
            <v>20255CXAA</v>
          </cell>
          <cell r="B466" t="str">
            <v>學習版座標轉轉機+2502奇幻王國歷險記</v>
          </cell>
          <cell r="C466" t="str">
            <v>周邊商品</v>
          </cell>
          <cell r="D466" t="str">
            <v>學習周邊</v>
          </cell>
        </row>
        <row r="467">
          <cell r="A467" t="str">
            <v>20240H026</v>
          </cell>
          <cell r="B467" t="str">
            <v>巧虎組裝積木系列 巧虎甜甜圈商店</v>
          </cell>
          <cell r="C467" t="str">
            <v>周邊商品</v>
          </cell>
          <cell r="D467" t="str">
            <v>生活周邊</v>
          </cell>
        </row>
        <row r="468">
          <cell r="A468" t="str">
            <v>20240EA17</v>
          </cell>
          <cell r="B468" t="str">
            <v>12吋巧虎趴趴午睡抱枕-微笑款</v>
          </cell>
          <cell r="C468" t="str">
            <v>周邊商品</v>
          </cell>
          <cell r="D468" t="str">
            <v>生活周邊</v>
          </cell>
        </row>
        <row r="469">
          <cell r="A469" t="str">
            <v>20240EA18</v>
          </cell>
          <cell r="B469" t="str">
            <v>12吋巧虎趴趴午睡抱枕-開心款</v>
          </cell>
          <cell r="C469" t="str">
            <v>周邊商品</v>
          </cell>
          <cell r="D469" t="str">
            <v>生活周邊</v>
          </cell>
        </row>
        <row r="470">
          <cell r="A470" t="str">
            <v>20230H029</v>
          </cell>
          <cell r="B470" t="str">
            <v>SKATER巧虎不銹鋼直飲冷水壺(350ML)</v>
          </cell>
          <cell r="C470" t="str">
            <v>周邊商品</v>
          </cell>
          <cell r="D470" t="str">
            <v>生活周邊</v>
          </cell>
        </row>
        <row r="471">
          <cell r="A471" t="str">
            <v>20230KE00</v>
          </cell>
          <cell r="B471" t="str">
            <v>妙妙抱抱</v>
          </cell>
          <cell r="C471" t="str">
            <v>周邊商品</v>
          </cell>
          <cell r="D471" t="str">
            <v>生活周邊</v>
          </cell>
        </row>
        <row r="472">
          <cell r="A472" t="str">
            <v>20220H013</v>
          </cell>
          <cell r="B472" t="str">
            <v>Skater銀離子牛奶杯-巧虎Friends</v>
          </cell>
          <cell r="C472" t="str">
            <v>周邊商品</v>
          </cell>
          <cell r="D472" t="str">
            <v>生活周邊</v>
          </cell>
        </row>
        <row r="473">
          <cell r="A473" t="str">
            <v>20250H003</v>
          </cell>
          <cell r="B473" t="str">
            <v>巧虎彩色甜甜圈</v>
          </cell>
          <cell r="C473" t="str">
            <v>周邊商品</v>
          </cell>
          <cell r="D473" t="str">
            <v>生活周邊</v>
          </cell>
        </row>
        <row r="474">
          <cell r="A474" t="str">
            <v>20250EA01</v>
          </cell>
          <cell r="B474" t="str">
            <v>巧虎睡墊三件組-滿版巧虎款</v>
          </cell>
          <cell r="C474" t="str">
            <v>周邊商品</v>
          </cell>
          <cell r="D474" t="str">
            <v>生活周邊</v>
          </cell>
        </row>
        <row r="475">
          <cell r="A475" t="str">
            <v>20250EA02</v>
          </cell>
          <cell r="B475" t="str">
            <v>巧虎睡墊三件組-巧虎好朋友黃色款</v>
          </cell>
          <cell r="C475" t="str">
            <v>周邊商品</v>
          </cell>
          <cell r="D475" t="str">
            <v>生活周邊</v>
          </cell>
        </row>
        <row r="476">
          <cell r="A476" t="str">
            <v>20250EA03</v>
          </cell>
          <cell r="B476" t="str">
            <v>巧虎睡墊三件組-巧虎好朋友粉色款</v>
          </cell>
          <cell r="C476" t="str">
            <v>周邊商品</v>
          </cell>
          <cell r="D476" t="str">
            <v>生活周邊</v>
          </cell>
        </row>
        <row r="477">
          <cell r="A477" t="str">
            <v>20240H039</v>
          </cell>
          <cell r="B477" t="str">
            <v>轉吧！巧虎扭蛋機</v>
          </cell>
          <cell r="C477" t="str">
            <v>周邊商品</v>
          </cell>
          <cell r="D477" t="str">
            <v>生活周邊</v>
          </cell>
        </row>
        <row r="478">
          <cell r="A478" t="str">
            <v>20250EA04</v>
          </cell>
          <cell r="B478" t="str">
            <v>巧虎頭型名牌玩偶-微笑款</v>
          </cell>
          <cell r="C478" t="str">
            <v>周邊商品</v>
          </cell>
          <cell r="D478" t="str">
            <v>生活周邊</v>
          </cell>
        </row>
        <row r="479">
          <cell r="A479" t="str">
            <v>20250EA05</v>
          </cell>
          <cell r="B479" t="str">
            <v>巧虎頭型名牌玩偶-開心款</v>
          </cell>
          <cell r="C479" t="str">
            <v>周邊商品</v>
          </cell>
          <cell r="D479" t="str">
            <v>生活周邊</v>
          </cell>
        </row>
        <row r="480">
          <cell r="A480" t="str">
            <v>20250EA06</v>
          </cell>
          <cell r="B480" t="str">
            <v>琪琪頭型名牌玩偶</v>
          </cell>
          <cell r="C480" t="str">
            <v>周邊商品</v>
          </cell>
          <cell r="D480" t="str">
            <v>生活周邊</v>
          </cell>
        </row>
        <row r="481">
          <cell r="A481" t="str">
            <v>20250EA07</v>
          </cell>
          <cell r="B481" t="str">
            <v>桃樂比頭型名牌玩偶</v>
          </cell>
          <cell r="C481" t="str">
            <v>周邊商品</v>
          </cell>
          <cell r="D481" t="str">
            <v>生活周邊</v>
          </cell>
        </row>
        <row r="482">
          <cell r="A482" t="str">
            <v>20256CXAA</v>
          </cell>
          <cell r="B482" t="str">
            <v>基礎版多元學習系列</v>
          </cell>
          <cell r="C482" t="str">
            <v>周邊商品</v>
          </cell>
          <cell r="D482" t="str">
            <v>學習周邊</v>
          </cell>
        </row>
        <row r="483">
          <cell r="A483" t="str">
            <v>20254CXAA</v>
          </cell>
          <cell r="B483" t="str">
            <v>成長版潛能大挑戰</v>
          </cell>
          <cell r="C483" t="str">
            <v>周邊商品</v>
          </cell>
          <cell r="D483" t="str">
            <v>學習周邊</v>
          </cell>
        </row>
        <row r="484">
          <cell r="A484" t="str">
            <v>20252CXAD</v>
          </cell>
          <cell r="B484" t="str">
            <v>幼幼版數字小企鵝</v>
          </cell>
          <cell r="C484" t="str">
            <v>周邊商品</v>
          </cell>
          <cell r="D484" t="str">
            <v>學習周邊</v>
          </cell>
        </row>
        <row r="485">
          <cell r="A485" t="str">
            <v>2025ACXAA</v>
          </cell>
          <cell r="B485" t="str">
            <v>月齡繪本系列</v>
          </cell>
          <cell r="C485" t="str">
            <v>周邊商品</v>
          </cell>
          <cell r="D485" t="str">
            <v>學習周邊</v>
          </cell>
        </row>
        <row r="486">
          <cell r="A486" t="str">
            <v>20251CXAC</v>
          </cell>
          <cell r="B486" t="str">
            <v>寶寶IC火車語彙+動物親子拼圖組</v>
          </cell>
          <cell r="C486" t="str">
            <v>周邊商品</v>
          </cell>
          <cell r="D486" t="str">
            <v>學習周邊</v>
          </cell>
        </row>
        <row r="487">
          <cell r="A487" t="str">
            <v>20251CXAD</v>
          </cell>
          <cell r="B487" t="str">
            <v>寶寶版交通工具拼圖+點心分享組</v>
          </cell>
          <cell r="C487" t="str">
            <v>周邊商品</v>
          </cell>
          <cell r="D487" t="str">
            <v>學習周邊</v>
          </cell>
        </row>
        <row r="488">
          <cell r="A488" t="str">
            <v>20254CXAB</v>
          </cell>
          <cell r="B488" t="str">
            <v>IC時鐘小高手+成長版飛車建構組</v>
          </cell>
          <cell r="C488" t="str">
            <v>周邊商品</v>
          </cell>
          <cell r="D488" t="str">
            <v>學習周邊</v>
          </cell>
        </row>
        <row r="489">
          <cell r="A489" t="str">
            <v>2025FCXAA</v>
          </cell>
          <cell r="B489" t="str">
            <v>進階版年度科學閱讀特刊組</v>
          </cell>
          <cell r="C489" t="str">
            <v>周邊商品</v>
          </cell>
          <cell r="D489" t="str">
            <v>學習周邊</v>
          </cell>
        </row>
        <row r="490">
          <cell r="A490" t="str">
            <v>2025FCXAB</v>
          </cell>
          <cell r="B490" t="str">
            <v>進階版多元探索+口袋書</v>
          </cell>
          <cell r="C490" t="str">
            <v>周邊商品</v>
          </cell>
          <cell r="D490" t="str">
            <v>學習周邊</v>
          </cell>
        </row>
        <row r="491">
          <cell r="A491" t="str">
            <v>2025FCXAC</v>
          </cell>
          <cell r="B491" t="str">
            <v>進階版文學名著系列</v>
          </cell>
          <cell r="C491" t="str">
            <v>周邊商品</v>
          </cell>
          <cell r="D491" t="str">
            <v>學習周邊</v>
          </cell>
        </row>
        <row r="492">
          <cell r="A492" t="str">
            <v>20250EA08</v>
          </cell>
          <cell r="B492" t="str">
            <v>好暖巧虎圍巾</v>
          </cell>
          <cell r="C492" t="str">
            <v>周邊商品</v>
          </cell>
          <cell r="D492" t="str">
            <v>生活周邊</v>
          </cell>
        </row>
        <row r="493">
          <cell r="A493" t="str">
            <v>20211C603</v>
          </cell>
          <cell r="B493" t="str">
            <v>2203月號寶寶版切切分享遊戲組</v>
          </cell>
          <cell r="C493" t="str">
            <v>周邊商品</v>
          </cell>
          <cell r="D493" t="str">
            <v>學習周邊</v>
          </cell>
        </row>
        <row r="494">
          <cell r="A494" t="str">
            <v>20203CH06</v>
          </cell>
          <cell r="B494" t="str">
            <v>2006月號快樂版夏天的探險遊戲書</v>
          </cell>
          <cell r="C494" t="str">
            <v>周邊商品</v>
          </cell>
          <cell r="D494" t="str">
            <v>學習周邊</v>
          </cell>
        </row>
        <row r="495">
          <cell r="A495" t="str">
            <v>20250H001</v>
          </cell>
          <cell r="B495" t="str">
            <v>巧虎方塊活字印刷遊戲組</v>
          </cell>
          <cell r="C495" t="str">
            <v>周邊商品</v>
          </cell>
          <cell r="D495" t="str">
            <v>生活周邊</v>
          </cell>
        </row>
        <row r="496">
          <cell r="A496" t="str">
            <v>20250H002</v>
          </cell>
          <cell r="B496" t="str">
            <v>巧虎神奇果汁店(感溫變色)</v>
          </cell>
          <cell r="C496" t="str">
            <v>周邊商品</v>
          </cell>
          <cell r="D496" t="str">
            <v>生活周邊</v>
          </cell>
        </row>
        <row r="497">
          <cell r="A497" t="str">
            <v>31250H001</v>
          </cell>
          <cell r="B497" t="str">
            <v>京田巧虎適克敏兒童益生菌入手組</v>
          </cell>
          <cell r="C497" t="str">
            <v>周邊商品</v>
          </cell>
          <cell r="D497" t="str">
            <v>生活周邊</v>
          </cell>
        </row>
        <row r="498">
          <cell r="A498" t="str">
            <v>31250H002</v>
          </cell>
          <cell r="B498" t="str">
            <v>京田巧虎適克敏兒童益生菌2入組</v>
          </cell>
          <cell r="C498" t="str">
            <v>周邊商品</v>
          </cell>
          <cell r="D498" t="str">
            <v>生活周邊</v>
          </cell>
        </row>
        <row r="499">
          <cell r="A499" t="str">
            <v>31250H003</v>
          </cell>
          <cell r="B499" t="str">
            <v>京田巧虎適克敏兒童益生菌3入組</v>
          </cell>
          <cell r="C499" t="str">
            <v>周邊商品</v>
          </cell>
          <cell r="D499" t="str">
            <v>生活周邊</v>
          </cell>
        </row>
        <row r="500">
          <cell r="A500" t="str">
            <v>31250H004</v>
          </cell>
          <cell r="B500" t="str">
            <v>京田巧虎適克敏兒童益生菌6入組</v>
          </cell>
          <cell r="C500" t="str">
            <v>周邊商品</v>
          </cell>
          <cell r="D500" t="str">
            <v>生活周邊</v>
          </cell>
        </row>
        <row r="501">
          <cell r="A501" t="str">
            <v>20251CXAE</v>
          </cell>
          <cell r="B501" t="str">
            <v>寶寶版點心分享扮演+交通安全組</v>
          </cell>
          <cell r="C501" t="str">
            <v>周邊商品</v>
          </cell>
          <cell r="D501" t="str">
            <v>學習周邊</v>
          </cell>
        </row>
        <row r="502">
          <cell r="A502" t="str">
            <v>20252CXAE</v>
          </cell>
          <cell r="B502" t="str">
            <v>幼幼版數字電梯+海洋世界認知組</v>
          </cell>
          <cell r="C502" t="str">
            <v>周邊商品</v>
          </cell>
          <cell r="D502" t="str">
            <v>學習周邊</v>
          </cell>
        </row>
        <row r="503">
          <cell r="A503" t="str">
            <v>20255CXAE</v>
          </cell>
          <cell r="B503" t="str">
            <v>學習版座標轉轉+IC時鐘組</v>
          </cell>
          <cell r="C503" t="str">
            <v>周邊商品</v>
          </cell>
          <cell r="D503" t="str">
            <v>學習周邊</v>
          </cell>
        </row>
        <row r="504">
          <cell r="A504" t="str">
            <v>20250FXAM</v>
          </cell>
          <cell r="B504" t="str">
            <v>巧虎手偶+說明信</v>
          </cell>
          <cell r="C504" t="str">
            <v>周邊商品</v>
          </cell>
          <cell r="D504" t="str">
            <v>學習周邊</v>
          </cell>
        </row>
        <row r="505">
          <cell r="A505" t="str">
            <v>20252FA00</v>
          </cell>
          <cell r="B505" t="str">
            <v>白沙屯媽祖祈福禮盒</v>
          </cell>
          <cell r="C505" t="str">
            <v>周邊商品</v>
          </cell>
          <cell r="D505" t="str">
            <v>學習周邊</v>
          </cell>
        </row>
        <row r="506">
          <cell r="A506" t="str">
            <v>2017AC613</v>
          </cell>
          <cell r="B506" t="str">
            <v>巧虎IC音樂</v>
          </cell>
          <cell r="C506" t="str">
            <v>周邊商品</v>
          </cell>
          <cell r="D506" t="str">
            <v>學習周邊</v>
          </cell>
        </row>
        <row r="507">
          <cell r="A507" t="str">
            <v>20191C603</v>
          </cell>
          <cell r="B507" t="str">
            <v>寶寶IC節奏音樂鼓</v>
          </cell>
          <cell r="C507" t="str">
            <v>周邊商品</v>
          </cell>
          <cell r="D507" t="str">
            <v>學習周邊</v>
          </cell>
        </row>
        <row r="508">
          <cell r="A508" t="str">
            <v>2018AC812-L</v>
          </cell>
          <cell r="B508" t="str">
            <v>巧虎手偶說明信</v>
          </cell>
          <cell r="C508" t="str">
            <v>周邊商品</v>
          </cell>
          <cell r="D508" t="str">
            <v>學習周邊</v>
          </cell>
        </row>
        <row r="509">
          <cell r="A509" t="str">
            <v>20251CXAF</v>
          </cell>
          <cell r="B509" t="str">
            <v>IC火車語彙+動物拼圖+點心分享</v>
          </cell>
          <cell r="C509" t="str">
            <v>周邊商品</v>
          </cell>
          <cell r="D509" t="str">
            <v>學習周邊</v>
          </cell>
        </row>
        <row r="510">
          <cell r="A510" t="str">
            <v>20252CXAF</v>
          </cell>
          <cell r="B510" t="str">
            <v>交通城市安全組+海洋世界</v>
          </cell>
          <cell r="C510" t="str">
            <v>周邊商品</v>
          </cell>
          <cell r="D510" t="str">
            <v>學習周邊</v>
          </cell>
        </row>
        <row r="511">
          <cell r="A511" t="str">
            <v>20254CXAC</v>
          </cell>
          <cell r="B511" t="str">
            <v>小達人手錶+飛車建構組</v>
          </cell>
          <cell r="C511" t="str">
            <v>周邊商品</v>
          </cell>
          <cell r="D511" t="str">
            <v>學習周邊</v>
          </cell>
        </row>
        <row r="512">
          <cell r="A512" t="str">
            <v>20254CXAD</v>
          </cell>
          <cell r="B512" t="str">
            <v>IC時鐘小高手+軌道建築師+邏輯推理遊戲棋</v>
          </cell>
          <cell r="C512" t="str">
            <v>周邊商品</v>
          </cell>
          <cell r="D512" t="str">
            <v>學習周邊</v>
          </cell>
        </row>
        <row r="513">
          <cell r="A513" t="str">
            <v>3125HP005</v>
          </cell>
          <cell r="B513" t="str">
            <v>贈品-巧虎罐裝米餅1入</v>
          </cell>
          <cell r="C513" t="str">
            <v>周邊商品</v>
          </cell>
          <cell r="D513" t="str">
            <v>生活周邊</v>
          </cell>
        </row>
        <row r="514">
          <cell r="A514" t="str">
            <v>3125HP006</v>
          </cell>
          <cell r="B514" t="str">
            <v>贈品-巧虎罐裝米餅2入</v>
          </cell>
          <cell r="C514" t="str">
            <v>周邊商品</v>
          </cell>
          <cell r="D514" t="str">
            <v>生活周邊</v>
          </cell>
        </row>
        <row r="515">
          <cell r="A515" t="str">
            <v>3125HP007</v>
          </cell>
          <cell r="B515" t="str">
            <v>贈品-巧虎罐裝米餅3入</v>
          </cell>
          <cell r="C515" t="str">
            <v>周邊商品</v>
          </cell>
          <cell r="D515" t="str">
            <v>生活周邊</v>
          </cell>
        </row>
        <row r="516">
          <cell r="A516" t="str">
            <v>3125HP008</v>
          </cell>
          <cell r="B516" t="str">
            <v>贈品-巧虎罐裝米餅6入</v>
          </cell>
          <cell r="C516" t="str">
            <v>周邊商品</v>
          </cell>
          <cell r="D516" t="str">
            <v>生活周邊</v>
          </cell>
        </row>
        <row r="517">
          <cell r="A517" t="str">
            <v>20250FXAW</v>
          </cell>
          <cell r="B517" t="str">
            <v>點讀巧比+粉紅娃娃</v>
          </cell>
          <cell r="C517" t="str">
            <v>周邊商品</v>
          </cell>
          <cell r="D517" t="str">
            <v>學習周邊</v>
          </cell>
        </row>
        <row r="518">
          <cell r="A518" t="str">
            <v>20250FXBA</v>
          </cell>
          <cell r="B518" t="str">
            <v>注音套組+IC火車語彙</v>
          </cell>
          <cell r="C518" t="str">
            <v>周邊商品</v>
          </cell>
          <cell r="D518" t="str">
            <v>學習周邊</v>
          </cell>
        </row>
        <row r="519">
          <cell r="A519" t="str">
            <v>20250FXBB</v>
          </cell>
          <cell r="B519" t="str">
            <v>注音套組+IC時鐘小高手</v>
          </cell>
          <cell r="C519" t="str">
            <v>周邊商品</v>
          </cell>
          <cell r="D519" t="str">
            <v>學習周邊</v>
          </cell>
        </row>
        <row r="520">
          <cell r="A520" t="str">
            <v>20252FB01</v>
          </cell>
          <cell r="B520" t="str">
            <v>Pixsee巧虎偶</v>
          </cell>
          <cell r="C520" t="str">
            <v>周邊商品</v>
          </cell>
          <cell r="D520" t="str">
            <v>生活周邊</v>
          </cell>
        </row>
        <row r="521">
          <cell r="A521" t="str">
            <v>20254CXAE</v>
          </cell>
          <cell r="B521" t="str">
            <v>軌道建築師+圖形疊疊樂+STEAM學習</v>
          </cell>
          <cell r="C521" t="str">
            <v>周邊商品</v>
          </cell>
          <cell r="D521" t="str">
            <v>學習周邊</v>
          </cell>
        </row>
        <row r="522">
          <cell r="A522" t="str">
            <v>20250FXBC</v>
          </cell>
          <cell r="B522" t="str">
            <v>Pixsee巧虎偶+主機</v>
          </cell>
          <cell r="C522" t="str">
            <v>周邊商品</v>
          </cell>
          <cell r="D522" t="str">
            <v>學習周邊</v>
          </cell>
        </row>
        <row r="523">
          <cell r="A523" t="str">
            <v>20252FB02</v>
          </cell>
          <cell r="B523" t="str">
            <v>Pixsee巧虎偶主機</v>
          </cell>
          <cell r="C523" t="str">
            <v>周邊商品</v>
          </cell>
          <cell r="D523" t="str">
            <v>學習周邊</v>
          </cell>
        </row>
        <row r="524">
          <cell r="A524" t="str">
            <v>20260H001</v>
          </cell>
          <cell r="B524" t="str">
            <v>巧虎YUMMY商店</v>
          </cell>
          <cell r="C524" t="str">
            <v>周邊商品</v>
          </cell>
          <cell r="D524" t="str">
            <v>生活周邊</v>
          </cell>
        </row>
        <row r="525">
          <cell r="A525" t="str">
            <v>20260H002</v>
          </cell>
          <cell r="B525" t="str">
            <v>巧虎歡樂軌道樂園</v>
          </cell>
          <cell r="C525" t="str">
            <v>周邊商品</v>
          </cell>
          <cell r="D525" t="str">
            <v>生活周邊</v>
          </cell>
        </row>
        <row r="526">
          <cell r="A526" t="str">
            <v>20180H011</v>
          </cell>
          <cell r="B526" t="str">
            <v>巧虎睡衣  90CM</v>
          </cell>
          <cell r="C526" t="str">
            <v>周邊商品</v>
          </cell>
          <cell r="D526" t="str">
            <v>生活周邊</v>
          </cell>
        </row>
        <row r="527">
          <cell r="A527" t="str">
            <v>20180H012</v>
          </cell>
          <cell r="B527" t="str">
            <v>巧虎睡衣  100CM</v>
          </cell>
          <cell r="C527" t="str">
            <v>周邊商品</v>
          </cell>
          <cell r="D527" t="str">
            <v>生活周邊</v>
          </cell>
        </row>
        <row r="528">
          <cell r="A528" t="str">
            <v>20251CXAG</v>
          </cell>
          <cell r="B528" t="str">
            <v>巧虎手偶組+點心分享組</v>
          </cell>
          <cell r="C528" t="str">
            <v>周邊商品</v>
          </cell>
          <cell r="D528" t="str">
            <v>學習周邊</v>
          </cell>
        </row>
        <row r="529">
          <cell r="A529" t="str">
            <v>20251CXAH</v>
          </cell>
          <cell r="B529" t="str">
            <v>巧虎手偶組+IC時鐘小高手</v>
          </cell>
          <cell r="C529" t="str">
            <v>周邊商品</v>
          </cell>
          <cell r="D529" t="str">
            <v>學習周邊</v>
          </cell>
        </row>
        <row r="530">
          <cell r="A530" t="str">
            <v>20251CXAJ</v>
          </cell>
          <cell r="B530" t="str">
            <v>巧虎手偶組+IC火車語彙</v>
          </cell>
          <cell r="C530" t="str">
            <v>周邊商品</v>
          </cell>
          <cell r="D530" t="str">
            <v>學習周邊</v>
          </cell>
        </row>
        <row r="531">
          <cell r="A531" t="str">
            <v>20251CXAK</v>
          </cell>
          <cell r="B531" t="str">
            <v>巧虎手偶組+月齡版</v>
          </cell>
          <cell r="C531" t="str">
            <v>周邊商品</v>
          </cell>
          <cell r="D531" t="str">
            <v>學習周邊</v>
          </cell>
        </row>
        <row r="532">
          <cell r="A532" t="str">
            <v>20251CXAM</v>
          </cell>
          <cell r="B532" t="str">
            <v>巧虎手偶組+數字小企鵝</v>
          </cell>
          <cell r="C532" t="str">
            <v>周邊商品</v>
          </cell>
          <cell r="D532" t="str">
            <v>學習周邊</v>
          </cell>
        </row>
        <row r="533">
          <cell r="A533" t="str">
            <v>20251CXAN</v>
          </cell>
          <cell r="B533" t="str">
            <v>巧虎手偶組+家家酒扮演組</v>
          </cell>
          <cell r="C533" t="str">
            <v>周邊商品</v>
          </cell>
          <cell r="D533" t="str">
            <v>學習周邊</v>
          </cell>
        </row>
        <row r="534">
          <cell r="A534" t="str">
            <v>20250FXBD</v>
          </cell>
          <cell r="B534" t="str">
            <v>音樂拖把小精靈+巧虎手偶組</v>
          </cell>
          <cell r="C534" t="str">
            <v>周邊商品</v>
          </cell>
          <cell r="D534" t="str">
            <v>學習周邊</v>
          </cell>
        </row>
        <row r="535">
          <cell r="A535" t="str">
            <v>20251CXAP</v>
          </cell>
          <cell r="B535" t="str">
            <v>耶誕故事繪本+感謝卡</v>
          </cell>
          <cell r="C535" t="str">
            <v>周邊商品</v>
          </cell>
          <cell r="D535" t="str">
            <v>學習周邊</v>
          </cell>
        </row>
        <row r="536">
          <cell r="A536" t="str">
            <v>20250FXBE</v>
          </cell>
          <cell r="B536" t="str">
            <v>語彙智育套組+耶誕故事繪本</v>
          </cell>
          <cell r="C536" t="str">
            <v>周邊商品</v>
          </cell>
          <cell r="D536" t="str">
            <v>學習周邊</v>
          </cell>
        </row>
        <row r="537">
          <cell r="A537" t="str">
            <v>20250FXBF</v>
          </cell>
          <cell r="B537" t="str">
            <v>寶寶套組+耶誕故事繪本</v>
          </cell>
          <cell r="C537" t="str">
            <v>周邊商品</v>
          </cell>
          <cell r="D537" t="str">
            <v>學習周邊</v>
          </cell>
        </row>
        <row r="538">
          <cell r="A538" t="str">
            <v>20250H014</v>
          </cell>
          <cell r="B538" t="str">
            <v>巧虎用餐好朋友</v>
          </cell>
          <cell r="C538" t="str">
            <v>周邊商品</v>
          </cell>
          <cell r="D538" t="str">
            <v>生活周邊</v>
          </cell>
        </row>
        <row r="539">
          <cell r="A539" t="str">
            <v>20250H013</v>
          </cell>
          <cell r="B539" t="str">
            <v>巧虎元氣滿滿抱抱枕</v>
          </cell>
          <cell r="C539" t="str">
            <v>周邊商品</v>
          </cell>
          <cell r="D539" t="str">
            <v>生活周邊</v>
          </cell>
        </row>
        <row r="540">
          <cell r="A540" t="str">
            <v>20210H002</v>
          </cell>
          <cell r="B540" t="str">
            <v>巧虎鉛筆盒</v>
          </cell>
          <cell r="C540" t="str">
            <v>周邊商品</v>
          </cell>
          <cell r="D540" t="str">
            <v>生活周邊</v>
          </cell>
        </row>
        <row r="541">
          <cell r="A541" t="str">
            <v>20250EB01</v>
          </cell>
          <cell r="B541" t="str">
            <v>PRO360 PLUS 高效消毒烘乾鍋 優雅粉</v>
          </cell>
          <cell r="C541" t="str">
            <v>周邊商品</v>
          </cell>
          <cell r="D541" t="str">
            <v>生活周邊</v>
          </cell>
        </row>
        <row r="542">
          <cell r="A542" t="str">
            <v>20250EB02</v>
          </cell>
          <cell r="B542" t="str">
            <v>PRO361 PLUS 高效消毒烘乾鍋 靜謐藍</v>
          </cell>
          <cell r="C542" t="str">
            <v>周邊商品</v>
          </cell>
          <cell r="D542" t="str">
            <v>生活周邊</v>
          </cell>
        </row>
        <row r="543">
          <cell r="A543" t="str">
            <v>20250EB03</v>
          </cell>
          <cell r="B543" t="str">
            <v>PRO362 PLUS 高效消毒烘乾鍋 寧靜灰</v>
          </cell>
          <cell r="C543" t="str">
            <v>周邊商品</v>
          </cell>
          <cell r="D543" t="str">
            <v>生活周邊</v>
          </cell>
        </row>
        <row r="544">
          <cell r="A544" t="str">
            <v>20250FXBN</v>
          </cell>
          <cell r="B544" t="str">
            <v>拖把小精靈套組+巧虎手偶組</v>
          </cell>
          <cell r="C544" t="str">
            <v>舞台劇票房</v>
          </cell>
          <cell r="D544" t="str">
            <v>學習周邊</v>
          </cell>
        </row>
        <row r="545">
          <cell r="A545" t="str">
            <v>20250FXBP</v>
          </cell>
          <cell r="B545" t="str">
            <v>家家酒扮演組+巧虎手偶組</v>
          </cell>
          <cell r="C545" t="str">
            <v>授權事業</v>
          </cell>
          <cell r="D545" t="str">
            <v>學習周邊</v>
          </cell>
        </row>
        <row r="546">
          <cell r="A546" t="str">
            <v>2018AC812</v>
          </cell>
          <cell r="B546" t="str">
            <v>巧虎手偶</v>
          </cell>
          <cell r="C546" t="str">
            <v>周邊商品</v>
          </cell>
          <cell r="D546" t="str">
            <v>學習周邊</v>
          </cell>
        </row>
        <row r="547">
          <cell r="A547" t="str">
            <v>20250H004</v>
          </cell>
          <cell r="B547" t="str">
            <v>可愛好朋友玩偶組</v>
          </cell>
          <cell r="C547" t="str">
            <v>周邊商品</v>
          </cell>
          <cell r="D547" t="str">
            <v>生活周邊</v>
          </cell>
        </row>
        <row r="548">
          <cell r="A548" t="str">
            <v>20250H017</v>
          </cell>
          <cell r="B548" t="str">
            <v>Skater圍兜2入組(巧虎)</v>
          </cell>
          <cell r="C548" t="str">
            <v>周邊商品</v>
          </cell>
          <cell r="D548" t="str">
            <v>生活周邊</v>
          </cell>
        </row>
        <row r="549">
          <cell r="A549" t="str">
            <v>20250H018</v>
          </cell>
          <cell r="B549" t="str">
            <v>Skater速乾擦髮帽-巧虎</v>
          </cell>
          <cell r="C549" t="str">
            <v>周邊商品</v>
          </cell>
          <cell r="D549" t="str">
            <v>生活周邊</v>
          </cell>
        </row>
        <row r="550">
          <cell r="A550" t="str">
            <v>20240H042</v>
          </cell>
          <cell r="B550" t="str">
            <v>桃樂比醫生遊戲組</v>
          </cell>
          <cell r="C550" t="str">
            <v>周邊商品</v>
          </cell>
          <cell r="D550" t="str">
            <v>生活周邊</v>
          </cell>
        </row>
        <row r="551">
          <cell r="A551" t="str">
            <v>20240H040</v>
          </cell>
          <cell r="B551" t="str">
            <v>桃樂比醫生遊戲組</v>
          </cell>
          <cell r="C551" t="str">
            <v>周邊商品</v>
          </cell>
          <cell r="D551" t="str">
            <v>生活周邊</v>
          </cell>
        </row>
        <row r="552">
          <cell r="A552" t="str">
            <v>20250H020</v>
          </cell>
          <cell r="B552" t="str">
            <v>Skater牛奶杯-巧虎Cheek藍</v>
          </cell>
          <cell r="C552" t="str">
            <v>周邊商品</v>
          </cell>
          <cell r="D552" t="str">
            <v>生活周邊</v>
          </cell>
        </row>
        <row r="553">
          <cell r="A553" t="str">
            <v>20260H003</v>
          </cell>
          <cell r="B553" t="str">
            <v>巧虎歡樂軌道冒險擴充組</v>
          </cell>
          <cell r="C553" t="str">
            <v>周邊商品</v>
          </cell>
          <cell r="D553" t="str">
            <v>生活周邊</v>
          </cell>
        </row>
        <row r="554">
          <cell r="A554" t="str">
            <v>20260WA02</v>
          </cell>
          <cell r="B554" t="str">
            <v>舞台票卷700元2張</v>
          </cell>
          <cell r="C554" t="str">
            <v>舞台劇</v>
          </cell>
          <cell r="D554" t="str">
            <v>舞台劇</v>
          </cell>
        </row>
        <row r="555">
          <cell r="A555" t="str">
            <v>20260WA01</v>
          </cell>
          <cell r="B555" t="str">
            <v>舞台票卷500元2張</v>
          </cell>
          <cell r="C555" t="str">
            <v>舞台劇</v>
          </cell>
          <cell r="D555" t="str">
            <v>舞台劇</v>
          </cell>
        </row>
        <row r="556">
          <cell r="A556" t="str">
            <v>20250H015</v>
          </cell>
          <cell r="B556" t="str">
            <v>巧虎手眼協調挑戰組</v>
          </cell>
          <cell r="C556" t="str">
            <v>周邊商品</v>
          </cell>
          <cell r="D556" t="str">
            <v>生活周邊</v>
          </cell>
        </row>
        <row r="557">
          <cell r="A557" t="str">
            <v>20250H016</v>
          </cell>
          <cell r="B557" t="str">
            <v>一起收一起玩巧虎收納積木組</v>
          </cell>
          <cell r="C557" t="str">
            <v>周邊商品</v>
          </cell>
          <cell r="D557" t="str">
            <v>生活周邊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</row>
        <row r="623">
          <cell r="C623"/>
          <cell r="D623"/>
        </row>
        <row r="624">
          <cell r="C624"/>
          <cell r="D624"/>
        </row>
        <row r="625">
          <cell r="C625"/>
          <cell r="D625"/>
        </row>
        <row r="626">
          <cell r="C626"/>
          <cell r="D626"/>
        </row>
        <row r="627">
          <cell r="C627"/>
          <cell r="D627"/>
        </row>
        <row r="628">
          <cell r="C628"/>
          <cell r="D628"/>
        </row>
        <row r="629">
          <cell r="C629"/>
          <cell r="D629"/>
        </row>
        <row r="630">
          <cell r="B630"/>
          <cell r="C630"/>
          <cell r="D630"/>
        </row>
        <row r="631">
          <cell r="C631"/>
          <cell r="D631"/>
        </row>
        <row r="632">
          <cell r="C632"/>
          <cell r="D632"/>
        </row>
        <row r="633">
          <cell r="C633"/>
          <cell r="D633"/>
        </row>
        <row r="634">
          <cell r="C634"/>
          <cell r="D634"/>
        </row>
        <row r="635">
          <cell r="C635"/>
          <cell r="D635"/>
        </row>
        <row r="636">
          <cell r="C636"/>
          <cell r="D636"/>
        </row>
        <row r="637">
          <cell r="C637"/>
          <cell r="D637"/>
        </row>
        <row r="638">
          <cell r="C638"/>
          <cell r="D638"/>
        </row>
        <row r="639">
          <cell r="C639"/>
          <cell r="D639"/>
        </row>
        <row r="640">
          <cell r="C640"/>
          <cell r="D640"/>
        </row>
        <row r="641">
          <cell r="C641"/>
          <cell r="D641"/>
        </row>
        <row r="642">
          <cell r="C642"/>
          <cell r="D642"/>
        </row>
        <row r="643">
          <cell r="C643"/>
          <cell r="D643"/>
        </row>
        <row r="644">
          <cell r="C644"/>
          <cell r="D644"/>
        </row>
        <row r="645">
          <cell r="C645"/>
          <cell r="D645"/>
        </row>
        <row r="646">
          <cell r="C646"/>
          <cell r="D646"/>
        </row>
        <row r="647">
          <cell r="C647"/>
          <cell r="D647"/>
        </row>
        <row r="648">
          <cell r="C648"/>
          <cell r="D648"/>
        </row>
        <row r="649">
          <cell r="C649"/>
          <cell r="D649"/>
        </row>
        <row r="650">
          <cell r="C650"/>
          <cell r="D650"/>
        </row>
        <row r="651">
          <cell r="C651"/>
          <cell r="D651"/>
        </row>
        <row r="652">
          <cell r="C652"/>
          <cell r="D652"/>
        </row>
        <row r="653">
          <cell r="C653"/>
          <cell r="D653"/>
        </row>
        <row r="654">
          <cell r="C654"/>
          <cell r="D654"/>
        </row>
        <row r="655">
          <cell r="C655"/>
          <cell r="D655"/>
        </row>
        <row r="656">
          <cell r="C656"/>
          <cell r="D656"/>
        </row>
        <row r="657">
          <cell r="C657"/>
          <cell r="D657"/>
        </row>
        <row r="658">
          <cell r="C658"/>
          <cell r="D658"/>
        </row>
        <row r="659">
          <cell r="C659"/>
          <cell r="D659"/>
        </row>
        <row r="660">
          <cell r="C660"/>
          <cell r="D660"/>
        </row>
        <row r="661">
          <cell r="C661"/>
          <cell r="D661"/>
        </row>
        <row r="662">
          <cell r="C662"/>
          <cell r="D662"/>
        </row>
        <row r="663">
          <cell r="C663"/>
          <cell r="D663"/>
        </row>
        <row r="664">
          <cell r="C664"/>
          <cell r="D664"/>
        </row>
        <row r="665">
          <cell r="C665"/>
          <cell r="D665"/>
        </row>
        <row r="666">
          <cell r="C666"/>
          <cell r="D666"/>
        </row>
        <row r="667">
          <cell r="C667"/>
          <cell r="D667"/>
        </row>
        <row r="668">
          <cell r="C668"/>
          <cell r="D668"/>
        </row>
        <row r="669">
          <cell r="C669"/>
          <cell r="D669"/>
        </row>
        <row r="670">
          <cell r="C670"/>
          <cell r="D670"/>
        </row>
        <row r="671">
          <cell r="C671"/>
          <cell r="D671"/>
        </row>
        <row r="672">
          <cell r="C672"/>
          <cell r="D672"/>
        </row>
        <row r="673">
          <cell r="C673"/>
          <cell r="D673"/>
        </row>
        <row r="674">
          <cell r="C674"/>
          <cell r="D674"/>
        </row>
        <row r="675">
          <cell r="C675"/>
          <cell r="D675"/>
        </row>
        <row r="676">
          <cell r="C676"/>
          <cell r="D676"/>
        </row>
        <row r="677">
          <cell r="C677"/>
          <cell r="D677"/>
        </row>
        <row r="678">
          <cell r="C678"/>
          <cell r="D678"/>
        </row>
        <row r="679">
          <cell r="C679"/>
          <cell r="D679"/>
        </row>
        <row r="680">
          <cell r="C680"/>
          <cell r="D680"/>
        </row>
        <row r="681">
          <cell r="C681"/>
          <cell r="D681"/>
        </row>
        <row r="682">
          <cell r="C682"/>
          <cell r="D682"/>
        </row>
        <row r="683">
          <cell r="C683"/>
          <cell r="D683"/>
        </row>
        <row r="684">
          <cell r="C684"/>
          <cell r="D684"/>
        </row>
        <row r="685">
          <cell r="C685"/>
          <cell r="D685"/>
        </row>
        <row r="686">
          <cell r="C686"/>
          <cell r="D686"/>
        </row>
        <row r="687">
          <cell r="C687"/>
          <cell r="D687"/>
        </row>
        <row r="688">
          <cell r="C688"/>
          <cell r="D688"/>
        </row>
        <row r="689">
          <cell r="C689"/>
          <cell r="D689"/>
        </row>
        <row r="690">
          <cell r="C690"/>
          <cell r="D690"/>
        </row>
        <row r="691">
          <cell r="C691"/>
          <cell r="D691"/>
        </row>
        <row r="692">
          <cell r="C692"/>
          <cell r="D692"/>
        </row>
        <row r="693">
          <cell r="C693"/>
          <cell r="D693"/>
        </row>
        <row r="694">
          <cell r="C694"/>
          <cell r="D694"/>
        </row>
        <row r="695">
          <cell r="C695"/>
          <cell r="D695"/>
        </row>
        <row r="696">
          <cell r="C696"/>
          <cell r="D696"/>
        </row>
        <row r="697">
          <cell r="C697"/>
          <cell r="D697"/>
        </row>
        <row r="698">
          <cell r="C698"/>
          <cell r="D698"/>
        </row>
        <row r="699">
          <cell r="C699"/>
          <cell r="D699"/>
        </row>
        <row r="700">
          <cell r="C700"/>
          <cell r="D700"/>
        </row>
        <row r="701">
          <cell r="C701"/>
          <cell r="D701"/>
        </row>
        <row r="702">
          <cell r="C702"/>
          <cell r="D702"/>
        </row>
        <row r="703">
          <cell r="C703"/>
          <cell r="D703"/>
        </row>
        <row r="704">
          <cell r="C704"/>
          <cell r="D704"/>
        </row>
        <row r="705">
          <cell r="C705"/>
          <cell r="D705"/>
        </row>
        <row r="706">
          <cell r="C706"/>
          <cell r="D706"/>
        </row>
        <row r="707">
          <cell r="C707"/>
          <cell r="D707"/>
        </row>
        <row r="708">
          <cell r="C708"/>
          <cell r="D708"/>
        </row>
        <row r="709">
          <cell r="C709"/>
          <cell r="D709"/>
        </row>
        <row r="710">
          <cell r="C710"/>
          <cell r="D710"/>
        </row>
        <row r="711">
          <cell r="C711"/>
          <cell r="D711"/>
        </row>
        <row r="712">
          <cell r="C712"/>
          <cell r="D712"/>
        </row>
        <row r="713">
          <cell r="C713"/>
          <cell r="D713"/>
        </row>
        <row r="714">
          <cell r="C714"/>
          <cell r="D714"/>
        </row>
        <row r="715">
          <cell r="C715"/>
          <cell r="D715"/>
        </row>
        <row r="716">
          <cell r="C716"/>
          <cell r="D716"/>
        </row>
        <row r="717">
          <cell r="C717"/>
          <cell r="D717"/>
        </row>
        <row r="718">
          <cell r="C718"/>
          <cell r="D718"/>
        </row>
        <row r="719">
          <cell r="C719"/>
          <cell r="D719"/>
        </row>
        <row r="720">
          <cell r="C720"/>
          <cell r="D720"/>
        </row>
        <row r="721">
          <cell r="C721"/>
          <cell r="D721"/>
        </row>
        <row r="722">
          <cell r="C722"/>
          <cell r="D722"/>
        </row>
        <row r="723">
          <cell r="C723"/>
          <cell r="D723"/>
        </row>
        <row r="724">
          <cell r="C724"/>
          <cell r="D724"/>
        </row>
        <row r="725">
          <cell r="C725"/>
          <cell r="D725"/>
        </row>
        <row r="726">
          <cell r="C726"/>
          <cell r="D726"/>
        </row>
        <row r="727">
          <cell r="C727"/>
          <cell r="D727"/>
        </row>
        <row r="728">
          <cell r="C728"/>
          <cell r="D728"/>
        </row>
        <row r="729">
          <cell r="C729"/>
          <cell r="D729"/>
        </row>
        <row r="730">
          <cell r="C730"/>
          <cell r="D730"/>
        </row>
        <row r="731">
          <cell r="C731"/>
          <cell r="D731"/>
        </row>
        <row r="732">
          <cell r="C732"/>
          <cell r="D732"/>
        </row>
        <row r="733">
          <cell r="C733"/>
          <cell r="D733"/>
        </row>
        <row r="734">
          <cell r="C734"/>
          <cell r="D734"/>
        </row>
        <row r="735">
          <cell r="C735"/>
          <cell r="D735"/>
        </row>
        <row r="736">
          <cell r="C736"/>
          <cell r="D736"/>
        </row>
        <row r="737">
          <cell r="C737"/>
          <cell r="D737"/>
        </row>
        <row r="738">
          <cell r="C738"/>
          <cell r="D738"/>
        </row>
        <row r="739">
          <cell r="C739"/>
          <cell r="D739"/>
        </row>
        <row r="740">
          <cell r="C740"/>
          <cell r="D740"/>
        </row>
        <row r="741">
          <cell r="C741"/>
          <cell r="D741"/>
        </row>
        <row r="742">
          <cell r="C742"/>
          <cell r="D742"/>
        </row>
        <row r="743">
          <cell r="C743"/>
          <cell r="D743"/>
        </row>
        <row r="744">
          <cell r="C744"/>
          <cell r="D744"/>
        </row>
        <row r="745">
          <cell r="C745"/>
          <cell r="D745"/>
        </row>
        <row r="746">
          <cell r="C746"/>
          <cell r="D746"/>
        </row>
        <row r="747">
          <cell r="C747"/>
          <cell r="D747"/>
        </row>
        <row r="748">
          <cell r="C748"/>
          <cell r="D748"/>
        </row>
        <row r="749">
          <cell r="C749"/>
          <cell r="D749"/>
        </row>
        <row r="750">
          <cell r="C750"/>
          <cell r="D750"/>
        </row>
        <row r="751">
          <cell r="C751"/>
          <cell r="D751"/>
        </row>
        <row r="752">
          <cell r="C752"/>
          <cell r="D752"/>
        </row>
        <row r="753">
          <cell r="C753"/>
          <cell r="D753"/>
        </row>
        <row r="754">
          <cell r="C754"/>
          <cell r="D754"/>
        </row>
        <row r="755">
          <cell r="C755"/>
          <cell r="D755"/>
        </row>
        <row r="756">
          <cell r="C756"/>
          <cell r="D756"/>
        </row>
        <row r="757">
          <cell r="C757"/>
          <cell r="D757"/>
        </row>
        <row r="758">
          <cell r="C758"/>
          <cell r="D758"/>
        </row>
        <row r="759">
          <cell r="C759"/>
          <cell r="D759"/>
        </row>
        <row r="760">
          <cell r="C760"/>
          <cell r="D760"/>
        </row>
        <row r="761">
          <cell r="C761"/>
          <cell r="D761"/>
        </row>
        <row r="762">
          <cell r="C762"/>
          <cell r="D762"/>
        </row>
        <row r="763">
          <cell r="C763"/>
          <cell r="D763"/>
        </row>
        <row r="764">
          <cell r="C764"/>
          <cell r="D764"/>
        </row>
        <row r="765">
          <cell r="C765"/>
          <cell r="D765"/>
        </row>
        <row r="766">
          <cell r="C766"/>
          <cell r="D766"/>
        </row>
        <row r="767">
          <cell r="C767"/>
          <cell r="D767"/>
        </row>
        <row r="768">
          <cell r="C768"/>
          <cell r="D768"/>
        </row>
        <row r="769">
          <cell r="C769"/>
          <cell r="D769"/>
        </row>
        <row r="770">
          <cell r="C770"/>
          <cell r="D770"/>
        </row>
        <row r="771">
          <cell r="C771"/>
          <cell r="D771"/>
        </row>
        <row r="772">
          <cell r="C772"/>
          <cell r="D772"/>
        </row>
        <row r="773">
          <cell r="C773"/>
          <cell r="D773"/>
        </row>
        <row r="774">
          <cell r="C774"/>
          <cell r="D774"/>
        </row>
        <row r="775">
          <cell r="C775"/>
          <cell r="D775"/>
        </row>
        <row r="776">
          <cell r="C776"/>
          <cell r="D776"/>
        </row>
        <row r="777">
          <cell r="C777"/>
          <cell r="D777"/>
        </row>
        <row r="778">
          <cell r="C778"/>
          <cell r="D778"/>
        </row>
        <row r="779">
          <cell r="C779"/>
          <cell r="D779"/>
        </row>
        <row r="780">
          <cell r="C780"/>
          <cell r="D780"/>
        </row>
        <row r="781">
          <cell r="C781"/>
          <cell r="D781"/>
        </row>
        <row r="782">
          <cell r="C782"/>
          <cell r="D782"/>
        </row>
        <row r="783">
          <cell r="C783"/>
          <cell r="D783"/>
        </row>
        <row r="784">
          <cell r="C784"/>
          <cell r="D784"/>
        </row>
        <row r="785">
          <cell r="C785"/>
          <cell r="D785"/>
        </row>
        <row r="786">
          <cell r="C786"/>
          <cell r="D786"/>
        </row>
        <row r="787">
          <cell r="C787"/>
          <cell r="D787"/>
        </row>
        <row r="788">
          <cell r="C788"/>
          <cell r="D788"/>
        </row>
        <row r="789">
          <cell r="C789"/>
          <cell r="D789"/>
        </row>
        <row r="790">
          <cell r="C790"/>
          <cell r="D790"/>
        </row>
        <row r="791">
          <cell r="C791"/>
          <cell r="D791"/>
        </row>
        <row r="792">
          <cell r="C792"/>
          <cell r="D792"/>
        </row>
        <row r="793">
          <cell r="C793"/>
          <cell r="D793"/>
        </row>
        <row r="794">
          <cell r="C794"/>
          <cell r="D794"/>
        </row>
        <row r="795">
          <cell r="C795"/>
          <cell r="D795"/>
        </row>
        <row r="796">
          <cell r="C796"/>
          <cell r="D796"/>
        </row>
        <row r="797">
          <cell r="C797"/>
          <cell r="D797"/>
        </row>
        <row r="798">
          <cell r="C798"/>
          <cell r="D798"/>
        </row>
        <row r="799">
          <cell r="C799"/>
          <cell r="D799"/>
        </row>
        <row r="800">
          <cell r="C800"/>
          <cell r="D800"/>
        </row>
        <row r="801">
          <cell r="C801"/>
          <cell r="D801"/>
        </row>
        <row r="802">
          <cell r="C802"/>
          <cell r="D802"/>
        </row>
        <row r="803">
          <cell r="C803"/>
          <cell r="D803"/>
        </row>
        <row r="804">
          <cell r="C804"/>
          <cell r="D804"/>
        </row>
        <row r="805">
          <cell r="C805"/>
          <cell r="D805"/>
        </row>
        <row r="806">
          <cell r="C806"/>
          <cell r="D806"/>
        </row>
        <row r="807">
          <cell r="C807"/>
          <cell r="D807"/>
        </row>
        <row r="808">
          <cell r="C808"/>
          <cell r="D808"/>
        </row>
        <row r="809">
          <cell r="C809"/>
          <cell r="D809"/>
        </row>
        <row r="810">
          <cell r="C810"/>
          <cell r="D810"/>
        </row>
        <row r="811">
          <cell r="C811"/>
          <cell r="D811"/>
        </row>
        <row r="812">
          <cell r="C812"/>
          <cell r="D812"/>
        </row>
        <row r="813">
          <cell r="C813"/>
          <cell r="D813"/>
        </row>
        <row r="814">
          <cell r="C814"/>
          <cell r="D814"/>
        </row>
        <row r="815">
          <cell r="C815"/>
          <cell r="D815"/>
        </row>
        <row r="816">
          <cell r="C816"/>
          <cell r="D816"/>
        </row>
        <row r="817">
          <cell r="C817"/>
          <cell r="D817"/>
        </row>
        <row r="818">
          <cell r="C818"/>
          <cell r="D818"/>
        </row>
        <row r="819">
          <cell r="C819"/>
          <cell r="D819"/>
        </row>
        <row r="820">
          <cell r="C820"/>
          <cell r="D820"/>
        </row>
        <row r="821">
          <cell r="C821"/>
          <cell r="D821"/>
        </row>
        <row r="822">
          <cell r="C822"/>
          <cell r="D822"/>
        </row>
        <row r="823">
          <cell r="C823"/>
          <cell r="D823"/>
        </row>
        <row r="824">
          <cell r="C824"/>
          <cell r="D824"/>
        </row>
        <row r="825">
          <cell r="C825"/>
          <cell r="D825"/>
        </row>
        <row r="826">
          <cell r="C826"/>
          <cell r="D826"/>
        </row>
        <row r="827">
          <cell r="C827"/>
          <cell r="D827"/>
        </row>
        <row r="828">
          <cell r="C828"/>
          <cell r="D828"/>
        </row>
        <row r="829">
          <cell r="C829"/>
          <cell r="D829"/>
        </row>
        <row r="830">
          <cell r="C830"/>
          <cell r="D830"/>
        </row>
        <row r="831">
          <cell r="C831"/>
          <cell r="D831"/>
        </row>
        <row r="832">
          <cell r="C832"/>
          <cell r="D832"/>
        </row>
        <row r="833">
          <cell r="C833"/>
          <cell r="D833"/>
        </row>
        <row r="834">
          <cell r="C834"/>
          <cell r="D834"/>
        </row>
        <row r="835">
          <cell r="C835"/>
          <cell r="D835"/>
        </row>
        <row r="836">
          <cell r="C836"/>
          <cell r="D836"/>
        </row>
        <row r="837">
          <cell r="C837"/>
          <cell r="D837"/>
        </row>
        <row r="838">
          <cell r="C838"/>
          <cell r="D838"/>
        </row>
        <row r="839">
          <cell r="C839"/>
          <cell r="D839"/>
        </row>
        <row r="840">
          <cell r="C840"/>
          <cell r="D840"/>
        </row>
        <row r="841">
          <cell r="C841"/>
          <cell r="D841"/>
        </row>
        <row r="842">
          <cell r="C842"/>
          <cell r="D842"/>
        </row>
        <row r="843">
          <cell r="C843"/>
          <cell r="D843"/>
        </row>
        <row r="844">
          <cell r="C844"/>
          <cell r="D844"/>
        </row>
        <row r="845">
          <cell r="C845"/>
          <cell r="D845"/>
        </row>
        <row r="846">
          <cell r="C846"/>
          <cell r="D846"/>
        </row>
        <row r="847">
          <cell r="C847"/>
          <cell r="D847"/>
        </row>
        <row r="848">
          <cell r="C848"/>
          <cell r="D848"/>
        </row>
        <row r="849">
          <cell r="C849"/>
          <cell r="D849"/>
        </row>
        <row r="850">
          <cell r="C850"/>
          <cell r="D850"/>
        </row>
        <row r="851">
          <cell r="C851"/>
          <cell r="D851"/>
        </row>
        <row r="852">
          <cell r="C852"/>
          <cell r="D852"/>
        </row>
        <row r="853">
          <cell r="C853"/>
          <cell r="D853"/>
        </row>
        <row r="854">
          <cell r="C854"/>
          <cell r="D854"/>
        </row>
        <row r="855">
          <cell r="C855"/>
          <cell r="D855"/>
        </row>
        <row r="856">
          <cell r="C856"/>
          <cell r="D856"/>
        </row>
        <row r="857">
          <cell r="C857"/>
          <cell r="D857"/>
        </row>
        <row r="858">
          <cell r="C858"/>
          <cell r="D858"/>
        </row>
        <row r="859">
          <cell r="C859"/>
          <cell r="D859"/>
        </row>
        <row r="860">
          <cell r="C860"/>
          <cell r="D860"/>
        </row>
        <row r="861">
          <cell r="C861"/>
          <cell r="D861"/>
        </row>
        <row r="862">
          <cell r="C862"/>
          <cell r="D862"/>
        </row>
        <row r="863">
          <cell r="C863"/>
          <cell r="D863"/>
        </row>
        <row r="864">
          <cell r="C864"/>
          <cell r="D864"/>
        </row>
        <row r="865">
          <cell r="C865"/>
          <cell r="D865"/>
        </row>
        <row r="866">
          <cell r="C866"/>
          <cell r="D866"/>
        </row>
        <row r="867">
          <cell r="C867"/>
          <cell r="D867"/>
        </row>
        <row r="868">
          <cell r="C868"/>
          <cell r="D868"/>
        </row>
        <row r="869">
          <cell r="C869"/>
          <cell r="D869"/>
        </row>
        <row r="870">
          <cell r="C870"/>
          <cell r="D870"/>
        </row>
        <row r="871">
          <cell r="C871"/>
          <cell r="D871"/>
        </row>
        <row r="872">
          <cell r="C872"/>
          <cell r="D872"/>
        </row>
        <row r="873">
          <cell r="C873"/>
          <cell r="D873"/>
        </row>
        <row r="874">
          <cell r="C874"/>
          <cell r="D874"/>
        </row>
        <row r="875">
          <cell r="C875"/>
          <cell r="D875"/>
        </row>
        <row r="876">
          <cell r="C876"/>
          <cell r="D876"/>
        </row>
        <row r="877">
          <cell r="C877"/>
          <cell r="D877"/>
        </row>
        <row r="878">
          <cell r="C878"/>
          <cell r="D878"/>
        </row>
        <row r="879">
          <cell r="C879"/>
          <cell r="D879"/>
        </row>
        <row r="880">
          <cell r="C880"/>
          <cell r="D880"/>
        </row>
        <row r="881">
          <cell r="C881"/>
          <cell r="D881"/>
        </row>
        <row r="882">
          <cell r="C882"/>
          <cell r="D882"/>
        </row>
        <row r="883">
          <cell r="C883"/>
          <cell r="D883"/>
        </row>
        <row r="884">
          <cell r="C884"/>
          <cell r="D884"/>
        </row>
        <row r="885">
          <cell r="C885"/>
          <cell r="D885"/>
        </row>
        <row r="886">
          <cell r="C886"/>
          <cell r="D886"/>
        </row>
        <row r="887">
          <cell r="C887"/>
          <cell r="D887"/>
        </row>
        <row r="888">
          <cell r="C888"/>
          <cell r="D888"/>
        </row>
        <row r="889">
          <cell r="C889"/>
          <cell r="D889"/>
        </row>
        <row r="890">
          <cell r="C890"/>
          <cell r="D890"/>
        </row>
        <row r="891">
          <cell r="C891"/>
          <cell r="D891"/>
        </row>
        <row r="892">
          <cell r="C892"/>
          <cell r="D892"/>
        </row>
        <row r="893">
          <cell r="C893"/>
          <cell r="D893"/>
        </row>
        <row r="894">
          <cell r="C894"/>
          <cell r="D894"/>
        </row>
        <row r="895">
          <cell r="C895"/>
          <cell r="D895"/>
        </row>
        <row r="896">
          <cell r="C896"/>
          <cell r="D896"/>
        </row>
        <row r="897">
          <cell r="C897"/>
          <cell r="D897"/>
        </row>
        <row r="898">
          <cell r="C898"/>
          <cell r="D898"/>
        </row>
        <row r="899">
          <cell r="C899"/>
          <cell r="D899"/>
        </row>
        <row r="900">
          <cell r="C900"/>
          <cell r="D900"/>
        </row>
        <row r="901">
          <cell r="C901"/>
          <cell r="D901"/>
        </row>
        <row r="902">
          <cell r="C902"/>
          <cell r="D902"/>
        </row>
        <row r="903">
          <cell r="C903"/>
          <cell r="D903"/>
        </row>
        <row r="904">
          <cell r="C904"/>
          <cell r="D904"/>
        </row>
        <row r="905">
          <cell r="C905"/>
          <cell r="D905"/>
        </row>
        <row r="906">
          <cell r="C906"/>
          <cell r="D906"/>
        </row>
        <row r="907">
          <cell r="C907"/>
          <cell r="D907"/>
        </row>
        <row r="908">
          <cell r="C908"/>
          <cell r="D908"/>
        </row>
        <row r="909">
          <cell r="C909"/>
          <cell r="D909"/>
        </row>
        <row r="910">
          <cell r="C910"/>
          <cell r="D910"/>
        </row>
        <row r="911">
          <cell r="C911"/>
          <cell r="D911"/>
        </row>
        <row r="912">
          <cell r="C912"/>
          <cell r="D912"/>
        </row>
        <row r="913">
          <cell r="C913"/>
          <cell r="D913"/>
        </row>
        <row r="914">
          <cell r="C914"/>
          <cell r="D914"/>
        </row>
        <row r="915">
          <cell r="C915"/>
          <cell r="D915"/>
        </row>
        <row r="916">
          <cell r="C916"/>
          <cell r="D916"/>
        </row>
        <row r="917">
          <cell r="C917"/>
          <cell r="D917"/>
        </row>
        <row r="918">
          <cell r="C918"/>
          <cell r="D918"/>
        </row>
        <row r="919">
          <cell r="C919"/>
          <cell r="D919"/>
        </row>
        <row r="920">
          <cell r="C920"/>
          <cell r="D920"/>
        </row>
        <row r="921">
          <cell r="C921"/>
          <cell r="D921"/>
        </row>
        <row r="922">
          <cell r="C922"/>
          <cell r="D922"/>
        </row>
        <row r="923">
          <cell r="C923"/>
          <cell r="D923"/>
        </row>
        <row r="924">
          <cell r="C924"/>
          <cell r="D924"/>
        </row>
        <row r="925">
          <cell r="C925"/>
          <cell r="D925"/>
        </row>
        <row r="926">
          <cell r="C926"/>
          <cell r="D926"/>
        </row>
        <row r="927">
          <cell r="C927"/>
          <cell r="D927"/>
        </row>
        <row r="928">
          <cell r="C928"/>
          <cell r="D928"/>
        </row>
        <row r="929">
          <cell r="C929"/>
          <cell r="D929"/>
        </row>
        <row r="930">
          <cell r="C930"/>
          <cell r="D930"/>
        </row>
        <row r="931">
          <cell r="C931"/>
          <cell r="D931"/>
        </row>
        <row r="932">
          <cell r="C932"/>
          <cell r="D932"/>
        </row>
        <row r="933">
          <cell r="C933"/>
          <cell r="D933"/>
        </row>
        <row r="934">
          <cell r="C934"/>
          <cell r="D934"/>
        </row>
        <row r="935">
          <cell r="C935"/>
          <cell r="D935"/>
        </row>
        <row r="936">
          <cell r="C936"/>
          <cell r="D936"/>
        </row>
        <row r="937">
          <cell r="C937"/>
          <cell r="D937"/>
        </row>
        <row r="938">
          <cell r="C938"/>
          <cell r="D938"/>
        </row>
        <row r="939">
          <cell r="C939"/>
          <cell r="D939"/>
        </row>
        <row r="940">
          <cell r="C940"/>
          <cell r="D940"/>
        </row>
        <row r="941">
          <cell r="C941"/>
          <cell r="D941"/>
        </row>
        <row r="942">
          <cell r="C942"/>
          <cell r="D942"/>
        </row>
        <row r="943">
          <cell r="C943"/>
          <cell r="D943"/>
        </row>
        <row r="944">
          <cell r="C944"/>
          <cell r="D944"/>
        </row>
        <row r="945">
          <cell r="C945"/>
          <cell r="D945"/>
        </row>
        <row r="946">
          <cell r="C946"/>
          <cell r="D946"/>
        </row>
        <row r="947">
          <cell r="C947"/>
          <cell r="D947"/>
        </row>
        <row r="948">
          <cell r="C948"/>
          <cell r="D948"/>
        </row>
        <row r="949">
          <cell r="C949"/>
          <cell r="D949"/>
        </row>
        <row r="950">
          <cell r="C950"/>
          <cell r="D950"/>
        </row>
        <row r="951">
          <cell r="C951"/>
          <cell r="D951"/>
        </row>
        <row r="952">
          <cell r="C952"/>
          <cell r="D952"/>
        </row>
        <row r="953">
          <cell r="C953"/>
          <cell r="D953"/>
        </row>
        <row r="954">
          <cell r="C954"/>
          <cell r="D954"/>
        </row>
        <row r="955">
          <cell r="C955"/>
          <cell r="D955"/>
        </row>
        <row r="956">
          <cell r="C956"/>
          <cell r="D956"/>
        </row>
        <row r="957">
          <cell r="C957"/>
          <cell r="D957"/>
        </row>
        <row r="958">
          <cell r="C958"/>
          <cell r="D958"/>
        </row>
        <row r="959">
          <cell r="C959"/>
          <cell r="D959"/>
        </row>
        <row r="960">
          <cell r="C960"/>
          <cell r="D960"/>
        </row>
        <row r="961">
          <cell r="C961"/>
          <cell r="D961"/>
        </row>
        <row r="962">
          <cell r="C962"/>
          <cell r="D962"/>
        </row>
        <row r="963">
          <cell r="C963"/>
          <cell r="D963"/>
        </row>
        <row r="964">
          <cell r="C964"/>
          <cell r="D964"/>
        </row>
        <row r="965">
          <cell r="C965"/>
          <cell r="D965"/>
        </row>
        <row r="966">
          <cell r="C966"/>
          <cell r="D966"/>
        </row>
        <row r="967">
          <cell r="C967"/>
          <cell r="D967"/>
        </row>
        <row r="968">
          <cell r="C968"/>
          <cell r="D968"/>
        </row>
        <row r="969">
          <cell r="C969"/>
          <cell r="D969"/>
        </row>
        <row r="970">
          <cell r="C970"/>
          <cell r="D970"/>
        </row>
        <row r="971">
          <cell r="C971"/>
          <cell r="D971"/>
        </row>
        <row r="972">
          <cell r="C972"/>
          <cell r="D972"/>
        </row>
        <row r="973">
          <cell r="C973"/>
          <cell r="D973"/>
        </row>
        <row r="974">
          <cell r="C974"/>
          <cell r="D974"/>
        </row>
        <row r="975">
          <cell r="C975"/>
          <cell r="D975"/>
        </row>
        <row r="976">
          <cell r="C976"/>
          <cell r="D976"/>
        </row>
        <row r="977">
          <cell r="C977"/>
          <cell r="D977"/>
        </row>
        <row r="978">
          <cell r="C978"/>
          <cell r="D978"/>
        </row>
        <row r="979">
          <cell r="C979"/>
          <cell r="D979"/>
        </row>
        <row r="980">
          <cell r="C980"/>
          <cell r="D980"/>
        </row>
        <row r="981">
          <cell r="C981"/>
          <cell r="D981"/>
        </row>
        <row r="982">
          <cell r="C982"/>
          <cell r="D982"/>
        </row>
        <row r="983">
          <cell r="C983"/>
          <cell r="D983"/>
        </row>
        <row r="984">
          <cell r="C984"/>
          <cell r="D984"/>
        </row>
        <row r="985">
          <cell r="C985"/>
          <cell r="D985"/>
        </row>
        <row r="986">
          <cell r="C986"/>
          <cell r="D986"/>
        </row>
        <row r="987">
          <cell r="C987"/>
          <cell r="D987"/>
        </row>
        <row r="988">
          <cell r="C988"/>
          <cell r="D988"/>
        </row>
        <row r="989">
          <cell r="C989"/>
          <cell r="D989"/>
        </row>
        <row r="990">
          <cell r="C990"/>
          <cell r="D990"/>
        </row>
        <row r="991">
          <cell r="C991"/>
          <cell r="D991"/>
        </row>
        <row r="992">
          <cell r="C992"/>
          <cell r="D992"/>
        </row>
        <row r="993">
          <cell r="C993"/>
          <cell r="D993"/>
        </row>
        <row r="994">
          <cell r="C994"/>
          <cell r="D994"/>
        </row>
        <row r="995">
          <cell r="C995"/>
          <cell r="D995"/>
        </row>
        <row r="996">
          <cell r="C996"/>
          <cell r="D996"/>
        </row>
        <row r="997">
          <cell r="C997"/>
          <cell r="D997"/>
        </row>
        <row r="998">
          <cell r="C998"/>
          <cell r="D998"/>
        </row>
        <row r="999">
          <cell r="C999"/>
          <cell r="D999"/>
        </row>
        <row r="1000">
          <cell r="C1000"/>
          <cell r="D1000"/>
        </row>
        <row r="1001">
          <cell r="C1001"/>
          <cell r="D1001"/>
        </row>
        <row r="1002">
          <cell r="C1002"/>
          <cell r="D1002"/>
        </row>
        <row r="1003">
          <cell r="C1003"/>
          <cell r="D1003"/>
        </row>
        <row r="1004">
          <cell r="C1004"/>
          <cell r="D1004"/>
        </row>
        <row r="1005">
          <cell r="C1005"/>
          <cell r="D1005"/>
        </row>
        <row r="1006">
          <cell r="C1006"/>
          <cell r="D1006"/>
        </row>
        <row r="1007">
          <cell r="C1007"/>
          <cell r="D1007"/>
        </row>
        <row r="1008">
          <cell r="C1008"/>
          <cell r="D1008"/>
        </row>
        <row r="1009">
          <cell r="C1009"/>
          <cell r="D1009"/>
        </row>
        <row r="1010">
          <cell r="C1010"/>
          <cell r="D1010"/>
        </row>
        <row r="1011">
          <cell r="C1011"/>
          <cell r="D1011"/>
        </row>
        <row r="1012">
          <cell r="C1012"/>
          <cell r="D1012"/>
        </row>
        <row r="1013">
          <cell r="C1013"/>
          <cell r="D1013"/>
        </row>
        <row r="1014">
          <cell r="C1014"/>
          <cell r="D1014"/>
        </row>
        <row r="1015">
          <cell r="C1015"/>
          <cell r="D1015"/>
        </row>
        <row r="1016">
          <cell r="C1016"/>
          <cell r="D1016"/>
        </row>
        <row r="1017">
          <cell r="C1017"/>
          <cell r="D1017"/>
        </row>
        <row r="1018">
          <cell r="C1018"/>
          <cell r="D1018"/>
        </row>
        <row r="1019">
          <cell r="C1019"/>
          <cell r="D1019"/>
        </row>
        <row r="1020">
          <cell r="C1020"/>
          <cell r="D1020"/>
        </row>
        <row r="1021">
          <cell r="C1021"/>
          <cell r="D1021"/>
        </row>
        <row r="1022">
          <cell r="C1022"/>
          <cell r="D1022"/>
        </row>
        <row r="1023">
          <cell r="C1023"/>
          <cell r="D1023"/>
        </row>
        <row r="1024">
          <cell r="C1024"/>
          <cell r="D1024"/>
        </row>
        <row r="1025">
          <cell r="C1025"/>
          <cell r="D1025"/>
        </row>
        <row r="1026">
          <cell r="C1026"/>
          <cell r="D1026"/>
        </row>
        <row r="1027">
          <cell r="C1027"/>
          <cell r="D1027"/>
        </row>
        <row r="1028">
          <cell r="C1028"/>
          <cell r="D1028"/>
        </row>
        <row r="1029">
          <cell r="C1029"/>
          <cell r="D1029"/>
        </row>
        <row r="1030">
          <cell r="C1030"/>
          <cell r="D1030"/>
        </row>
        <row r="1031">
          <cell r="C1031"/>
          <cell r="D1031"/>
        </row>
        <row r="1032">
          <cell r="C1032"/>
          <cell r="D1032"/>
        </row>
        <row r="1033">
          <cell r="C1033"/>
          <cell r="D1033"/>
        </row>
        <row r="1034">
          <cell r="C1034"/>
          <cell r="D1034"/>
        </row>
        <row r="1035">
          <cell r="C1035"/>
          <cell r="D1035"/>
        </row>
        <row r="1036">
          <cell r="C1036"/>
          <cell r="D1036"/>
        </row>
        <row r="1037">
          <cell r="C1037"/>
          <cell r="D1037"/>
        </row>
        <row r="1038">
          <cell r="C1038"/>
          <cell r="D1038"/>
        </row>
        <row r="1039">
          <cell r="C1039"/>
          <cell r="D1039"/>
        </row>
        <row r="1040">
          <cell r="C1040"/>
          <cell r="D1040"/>
        </row>
        <row r="1041">
          <cell r="C1041"/>
          <cell r="D1041"/>
        </row>
        <row r="1042">
          <cell r="C1042"/>
          <cell r="D1042"/>
        </row>
        <row r="1043">
          <cell r="C1043"/>
          <cell r="D1043"/>
        </row>
        <row r="1044">
          <cell r="C1044"/>
          <cell r="D1044"/>
        </row>
        <row r="1045">
          <cell r="C1045"/>
          <cell r="D1045"/>
        </row>
        <row r="1046">
          <cell r="C1046"/>
          <cell r="D1046"/>
        </row>
        <row r="1047">
          <cell r="C1047"/>
          <cell r="D1047"/>
        </row>
        <row r="1048">
          <cell r="C1048"/>
          <cell r="D1048"/>
        </row>
        <row r="1049">
          <cell r="C1049"/>
          <cell r="D1049"/>
        </row>
        <row r="1050">
          <cell r="C1050"/>
          <cell r="D1050"/>
        </row>
        <row r="1051">
          <cell r="C1051"/>
          <cell r="D1051"/>
        </row>
        <row r="1052">
          <cell r="C1052"/>
          <cell r="D1052"/>
        </row>
        <row r="1053">
          <cell r="C1053"/>
          <cell r="D1053"/>
        </row>
        <row r="1054">
          <cell r="C1054"/>
          <cell r="D1054"/>
        </row>
        <row r="1055">
          <cell r="C1055"/>
          <cell r="D1055"/>
        </row>
        <row r="1056">
          <cell r="C1056"/>
          <cell r="D1056"/>
        </row>
        <row r="1057">
          <cell r="C1057"/>
          <cell r="D1057"/>
        </row>
        <row r="1058">
          <cell r="C1058"/>
          <cell r="D1058"/>
        </row>
        <row r="1059">
          <cell r="C1059"/>
          <cell r="D1059"/>
        </row>
        <row r="1060">
          <cell r="C1060"/>
          <cell r="D1060"/>
        </row>
        <row r="1061">
          <cell r="C1061"/>
          <cell r="D1061"/>
        </row>
        <row r="1062">
          <cell r="C1062"/>
          <cell r="D1062"/>
        </row>
        <row r="1063">
          <cell r="C1063"/>
          <cell r="D1063"/>
        </row>
        <row r="1064">
          <cell r="C1064"/>
          <cell r="D1064"/>
        </row>
        <row r="1065">
          <cell r="C1065"/>
          <cell r="D1065"/>
        </row>
        <row r="1066">
          <cell r="C1066"/>
          <cell r="D1066"/>
        </row>
        <row r="1067">
          <cell r="C1067"/>
          <cell r="D1067"/>
        </row>
        <row r="1068">
          <cell r="C1068"/>
          <cell r="D1068"/>
        </row>
        <row r="1069">
          <cell r="C1069"/>
          <cell r="D1069"/>
        </row>
        <row r="1070">
          <cell r="C1070"/>
          <cell r="D1070"/>
        </row>
        <row r="1071">
          <cell r="C1071"/>
          <cell r="D1071"/>
        </row>
        <row r="1072">
          <cell r="C1072"/>
          <cell r="D1072"/>
        </row>
        <row r="1073">
          <cell r="C1073"/>
          <cell r="D1073"/>
        </row>
        <row r="1074">
          <cell r="C1074"/>
          <cell r="D1074"/>
        </row>
        <row r="1075">
          <cell r="C1075"/>
          <cell r="D1075"/>
        </row>
        <row r="1076">
          <cell r="C1076"/>
          <cell r="D1076"/>
        </row>
        <row r="1077">
          <cell r="C1077"/>
          <cell r="D1077"/>
        </row>
        <row r="1078">
          <cell r="C1078"/>
          <cell r="D1078"/>
        </row>
        <row r="1079">
          <cell r="C1079"/>
          <cell r="D1079"/>
        </row>
        <row r="1080">
          <cell r="C1080"/>
          <cell r="D1080"/>
        </row>
        <row r="1081">
          <cell r="C1081"/>
          <cell r="D1081"/>
        </row>
        <row r="1082">
          <cell r="C1082"/>
          <cell r="D1082"/>
        </row>
        <row r="1083">
          <cell r="C1083"/>
          <cell r="D1083"/>
        </row>
        <row r="1084">
          <cell r="C1084"/>
          <cell r="D1084"/>
        </row>
        <row r="1085">
          <cell r="C1085"/>
          <cell r="D1085"/>
        </row>
        <row r="1086">
          <cell r="C1086"/>
          <cell r="D1086"/>
        </row>
        <row r="1087">
          <cell r="C1087"/>
          <cell r="D1087"/>
        </row>
        <row r="1088">
          <cell r="C1088"/>
          <cell r="D1088"/>
        </row>
        <row r="1089">
          <cell r="C1089"/>
          <cell r="D1089"/>
        </row>
        <row r="1090">
          <cell r="C1090"/>
          <cell r="D1090"/>
        </row>
        <row r="1091">
          <cell r="C1091"/>
          <cell r="D1091"/>
        </row>
        <row r="1092">
          <cell r="C1092"/>
          <cell r="D1092"/>
        </row>
        <row r="1093">
          <cell r="C1093"/>
          <cell r="D1093"/>
        </row>
        <row r="1094">
          <cell r="C1094"/>
          <cell r="D1094"/>
        </row>
        <row r="1095">
          <cell r="C1095"/>
          <cell r="D1095"/>
        </row>
        <row r="1096">
          <cell r="C1096"/>
          <cell r="D1096"/>
        </row>
        <row r="1097">
          <cell r="C1097"/>
          <cell r="D1097"/>
        </row>
        <row r="1098">
          <cell r="C1098"/>
          <cell r="D1098"/>
        </row>
        <row r="1099">
          <cell r="C1099"/>
          <cell r="D1099"/>
        </row>
        <row r="1100">
          <cell r="C1100"/>
          <cell r="D1100"/>
        </row>
        <row r="1101">
          <cell r="C1101"/>
          <cell r="D1101"/>
        </row>
        <row r="1102">
          <cell r="C1102"/>
          <cell r="D1102"/>
        </row>
        <row r="1103">
          <cell r="C1103"/>
          <cell r="D1103"/>
        </row>
        <row r="1104">
          <cell r="C1104"/>
          <cell r="D1104"/>
        </row>
        <row r="1105">
          <cell r="C1105"/>
          <cell r="D1105"/>
        </row>
        <row r="1106">
          <cell r="C1106"/>
          <cell r="D1106"/>
        </row>
        <row r="1107">
          <cell r="C1107"/>
          <cell r="D1107"/>
        </row>
        <row r="1108">
          <cell r="C1108"/>
          <cell r="D1108"/>
        </row>
        <row r="1109">
          <cell r="C1109"/>
          <cell r="D1109"/>
        </row>
        <row r="1110">
          <cell r="C1110"/>
          <cell r="D1110"/>
        </row>
        <row r="1111">
          <cell r="C1111"/>
          <cell r="D1111"/>
        </row>
        <row r="1112">
          <cell r="C1112"/>
          <cell r="D1112"/>
        </row>
        <row r="1113">
          <cell r="C1113"/>
          <cell r="D1113"/>
        </row>
        <row r="1114">
          <cell r="C1114"/>
          <cell r="D1114"/>
        </row>
        <row r="1115">
          <cell r="C1115"/>
          <cell r="D1115"/>
        </row>
        <row r="1116">
          <cell r="C1116"/>
          <cell r="D1116"/>
        </row>
        <row r="1117">
          <cell r="C1117"/>
          <cell r="D1117"/>
        </row>
        <row r="1118">
          <cell r="C1118"/>
          <cell r="D1118"/>
        </row>
        <row r="1119">
          <cell r="C1119"/>
          <cell r="D1119"/>
        </row>
        <row r="1120">
          <cell r="C1120"/>
          <cell r="D1120"/>
        </row>
        <row r="1121">
          <cell r="C1121"/>
          <cell r="D1121"/>
        </row>
        <row r="1122">
          <cell r="C1122"/>
          <cell r="D1122"/>
        </row>
        <row r="1123">
          <cell r="C1123"/>
          <cell r="D1123"/>
        </row>
        <row r="1124">
          <cell r="C1124"/>
          <cell r="D1124"/>
        </row>
        <row r="1125">
          <cell r="C1125"/>
          <cell r="D1125"/>
        </row>
        <row r="1126">
          <cell r="C1126"/>
          <cell r="D1126"/>
        </row>
        <row r="1127">
          <cell r="C1127"/>
          <cell r="D1127"/>
        </row>
        <row r="1128">
          <cell r="C1128"/>
          <cell r="D1128"/>
        </row>
        <row r="1129">
          <cell r="C1129"/>
          <cell r="D1129"/>
        </row>
        <row r="1130">
          <cell r="C1130"/>
          <cell r="D1130"/>
        </row>
        <row r="1131">
          <cell r="C1131"/>
          <cell r="D1131"/>
        </row>
        <row r="1132">
          <cell r="C1132"/>
          <cell r="D1132"/>
        </row>
        <row r="1133">
          <cell r="C1133"/>
          <cell r="D1133"/>
        </row>
        <row r="1134">
          <cell r="C1134"/>
          <cell r="D1134"/>
        </row>
        <row r="1135">
          <cell r="C1135"/>
          <cell r="D1135"/>
        </row>
        <row r="1136">
          <cell r="C1136"/>
          <cell r="D1136"/>
        </row>
        <row r="1137">
          <cell r="C1137"/>
          <cell r="D1137"/>
        </row>
        <row r="1138">
          <cell r="C1138"/>
          <cell r="D1138"/>
        </row>
        <row r="1139">
          <cell r="C1139"/>
          <cell r="D1139"/>
        </row>
        <row r="1140">
          <cell r="C1140"/>
          <cell r="D1140"/>
        </row>
        <row r="1141">
          <cell r="C1141"/>
          <cell r="D1141"/>
        </row>
        <row r="1142">
          <cell r="C1142"/>
          <cell r="D1142"/>
        </row>
        <row r="1143">
          <cell r="C1143"/>
          <cell r="D1143"/>
        </row>
        <row r="1144">
          <cell r="C1144"/>
          <cell r="D1144"/>
        </row>
        <row r="1145">
          <cell r="C1145"/>
          <cell r="D1145"/>
        </row>
        <row r="1146">
          <cell r="C1146"/>
          <cell r="D1146"/>
        </row>
        <row r="1147">
          <cell r="C1147"/>
          <cell r="D1147"/>
        </row>
        <row r="1148">
          <cell r="C1148"/>
          <cell r="D1148"/>
        </row>
        <row r="1149">
          <cell r="C1149"/>
          <cell r="D1149"/>
        </row>
        <row r="1150">
          <cell r="C1150"/>
          <cell r="D1150"/>
        </row>
        <row r="1151">
          <cell r="C1151"/>
          <cell r="D1151"/>
        </row>
        <row r="1152">
          <cell r="C1152"/>
          <cell r="D1152"/>
        </row>
        <row r="1153">
          <cell r="C1153"/>
          <cell r="D1153"/>
        </row>
        <row r="1154">
          <cell r="C1154"/>
          <cell r="D1154"/>
        </row>
        <row r="1155">
          <cell r="C1155"/>
          <cell r="D1155"/>
        </row>
        <row r="1156">
          <cell r="C1156"/>
          <cell r="D1156"/>
        </row>
        <row r="1157">
          <cell r="C1157"/>
          <cell r="D1157"/>
        </row>
        <row r="1158">
          <cell r="C1158"/>
          <cell r="D1158"/>
        </row>
        <row r="1159">
          <cell r="C1159"/>
          <cell r="D1159"/>
        </row>
        <row r="1160">
          <cell r="C1160"/>
          <cell r="D1160"/>
        </row>
        <row r="1161">
          <cell r="C1161"/>
          <cell r="D1161"/>
        </row>
        <row r="1162">
          <cell r="C1162"/>
          <cell r="D1162"/>
        </row>
        <row r="1163">
          <cell r="C1163"/>
          <cell r="D1163"/>
        </row>
        <row r="1164">
          <cell r="C1164"/>
          <cell r="D1164"/>
        </row>
        <row r="1165">
          <cell r="C1165"/>
          <cell r="D1165"/>
        </row>
        <row r="1166">
          <cell r="C1166"/>
          <cell r="D1166"/>
        </row>
        <row r="1167">
          <cell r="C1167"/>
          <cell r="D1167"/>
        </row>
        <row r="1168">
          <cell r="C1168"/>
          <cell r="D1168"/>
        </row>
        <row r="1169">
          <cell r="C1169"/>
          <cell r="D1169"/>
        </row>
        <row r="1170">
          <cell r="C1170"/>
          <cell r="D1170"/>
        </row>
        <row r="1171">
          <cell r="C1171"/>
          <cell r="D1171"/>
        </row>
        <row r="1172">
          <cell r="C1172"/>
          <cell r="D1172"/>
        </row>
        <row r="1173">
          <cell r="C1173"/>
          <cell r="D1173"/>
        </row>
        <row r="1174">
          <cell r="C1174"/>
          <cell r="D1174"/>
        </row>
        <row r="1175">
          <cell r="C1175"/>
          <cell r="D1175"/>
        </row>
        <row r="1176">
          <cell r="C1176"/>
          <cell r="D1176"/>
        </row>
        <row r="1177">
          <cell r="C1177"/>
          <cell r="D1177"/>
        </row>
        <row r="1178">
          <cell r="C1178"/>
          <cell r="D1178"/>
        </row>
        <row r="1179">
          <cell r="C1179"/>
          <cell r="D1179"/>
        </row>
        <row r="1180">
          <cell r="C1180"/>
          <cell r="D1180"/>
        </row>
        <row r="1181">
          <cell r="C1181"/>
          <cell r="D1181"/>
        </row>
        <row r="1182">
          <cell r="C1182"/>
          <cell r="D1182"/>
        </row>
        <row r="1183">
          <cell r="C1183"/>
          <cell r="D1183"/>
        </row>
        <row r="1184">
          <cell r="C1184"/>
          <cell r="D1184"/>
        </row>
        <row r="1185">
          <cell r="C1185"/>
          <cell r="D1185"/>
        </row>
        <row r="1186">
          <cell r="C1186"/>
          <cell r="D1186"/>
        </row>
        <row r="1187">
          <cell r="C1187"/>
          <cell r="D1187"/>
        </row>
        <row r="1188">
          <cell r="C1188"/>
          <cell r="D1188"/>
        </row>
        <row r="1189">
          <cell r="C1189"/>
          <cell r="D1189"/>
        </row>
        <row r="1190">
          <cell r="C1190"/>
          <cell r="D1190"/>
        </row>
        <row r="1191">
          <cell r="C1191"/>
          <cell r="D1191"/>
        </row>
        <row r="1192">
          <cell r="C1192"/>
          <cell r="D1192"/>
        </row>
        <row r="1193">
          <cell r="C1193"/>
          <cell r="D1193"/>
        </row>
        <row r="1194">
          <cell r="C1194"/>
          <cell r="D1194"/>
        </row>
        <row r="1195">
          <cell r="C1195"/>
          <cell r="D1195"/>
        </row>
        <row r="1196">
          <cell r="C1196"/>
          <cell r="D1196"/>
        </row>
        <row r="1197">
          <cell r="C1197"/>
          <cell r="D1197"/>
        </row>
        <row r="1198">
          <cell r="C1198"/>
          <cell r="D1198"/>
        </row>
        <row r="1199">
          <cell r="C1199"/>
          <cell r="D1199"/>
        </row>
        <row r="1200">
          <cell r="C1200"/>
          <cell r="D1200"/>
        </row>
        <row r="1201">
          <cell r="C1201"/>
          <cell r="D1201"/>
        </row>
        <row r="1202">
          <cell r="C1202"/>
          <cell r="D1202"/>
        </row>
        <row r="1203">
          <cell r="C1203"/>
          <cell r="D1203"/>
        </row>
        <row r="1204">
          <cell r="C1204"/>
          <cell r="D1204"/>
        </row>
        <row r="1205">
          <cell r="C1205"/>
          <cell r="D1205"/>
        </row>
        <row r="1206">
          <cell r="C1206"/>
          <cell r="D1206"/>
        </row>
        <row r="1207">
          <cell r="C1207"/>
          <cell r="D1207"/>
        </row>
        <row r="1208">
          <cell r="C1208"/>
          <cell r="D1208"/>
        </row>
        <row r="1209">
          <cell r="C1209"/>
          <cell r="D1209"/>
        </row>
        <row r="1210">
          <cell r="C1210"/>
          <cell r="D1210"/>
        </row>
        <row r="1211">
          <cell r="C1211"/>
          <cell r="D1211"/>
        </row>
        <row r="1212">
          <cell r="C1212"/>
          <cell r="D1212"/>
        </row>
        <row r="1213">
          <cell r="C1213"/>
          <cell r="D1213"/>
        </row>
        <row r="1214">
          <cell r="C1214"/>
          <cell r="D1214"/>
        </row>
        <row r="1215">
          <cell r="C1215"/>
          <cell r="D1215"/>
        </row>
        <row r="1216">
          <cell r="C1216"/>
          <cell r="D1216"/>
        </row>
        <row r="1217">
          <cell r="C1217"/>
          <cell r="D1217"/>
        </row>
        <row r="1218">
          <cell r="C1218"/>
          <cell r="D1218"/>
        </row>
        <row r="1219">
          <cell r="C1219"/>
          <cell r="D1219"/>
        </row>
        <row r="1220">
          <cell r="C1220"/>
          <cell r="D1220"/>
        </row>
        <row r="1221">
          <cell r="C1221"/>
          <cell r="D1221"/>
        </row>
        <row r="1222">
          <cell r="C1222"/>
          <cell r="D1222"/>
        </row>
        <row r="1223">
          <cell r="C1223"/>
          <cell r="D1223"/>
        </row>
        <row r="1224">
          <cell r="C1224"/>
          <cell r="D1224"/>
        </row>
        <row r="1225">
          <cell r="C1225"/>
          <cell r="D1225"/>
        </row>
        <row r="1226">
          <cell r="C1226"/>
          <cell r="D1226"/>
        </row>
        <row r="1227">
          <cell r="C1227"/>
          <cell r="D1227"/>
        </row>
        <row r="1228">
          <cell r="C1228"/>
          <cell r="D1228"/>
        </row>
        <row r="1229">
          <cell r="C1229"/>
          <cell r="D1229"/>
        </row>
        <row r="1230">
          <cell r="C1230"/>
          <cell r="D1230"/>
        </row>
        <row r="1231">
          <cell r="C1231"/>
          <cell r="D1231"/>
        </row>
        <row r="1232">
          <cell r="C1232"/>
          <cell r="D1232"/>
        </row>
        <row r="1233">
          <cell r="C1233"/>
          <cell r="D1233"/>
        </row>
        <row r="1234">
          <cell r="C1234"/>
          <cell r="D1234"/>
        </row>
        <row r="1235">
          <cell r="C1235"/>
          <cell r="D1235"/>
        </row>
        <row r="1236">
          <cell r="C1236"/>
          <cell r="D1236"/>
        </row>
        <row r="1237">
          <cell r="C1237"/>
          <cell r="D1237"/>
        </row>
        <row r="1238">
          <cell r="C1238"/>
          <cell r="D1238"/>
        </row>
        <row r="1239">
          <cell r="C1239"/>
          <cell r="D1239"/>
        </row>
        <row r="1240">
          <cell r="C1240"/>
          <cell r="D1240"/>
        </row>
        <row r="1241">
          <cell r="C1241"/>
          <cell r="D1241"/>
        </row>
        <row r="1242">
          <cell r="C1242"/>
          <cell r="D1242"/>
        </row>
        <row r="1243">
          <cell r="C1243"/>
          <cell r="D1243"/>
        </row>
        <row r="1244">
          <cell r="C1244"/>
          <cell r="D1244"/>
        </row>
        <row r="1245">
          <cell r="C1245"/>
          <cell r="D1245"/>
        </row>
        <row r="1246">
          <cell r="C1246"/>
          <cell r="D1246"/>
        </row>
        <row r="1247">
          <cell r="C1247"/>
          <cell r="D1247"/>
        </row>
        <row r="1248">
          <cell r="C1248"/>
          <cell r="D1248"/>
        </row>
        <row r="1249">
          <cell r="C1249"/>
          <cell r="D1249"/>
        </row>
        <row r="1250">
          <cell r="C1250"/>
          <cell r="D1250"/>
        </row>
        <row r="1251">
          <cell r="C1251"/>
          <cell r="D1251"/>
        </row>
        <row r="1252">
          <cell r="C1252"/>
          <cell r="D1252"/>
        </row>
        <row r="1253">
          <cell r="C1253"/>
          <cell r="D1253"/>
        </row>
        <row r="1254">
          <cell r="C1254"/>
          <cell r="D1254"/>
        </row>
        <row r="1255">
          <cell r="C1255"/>
          <cell r="D1255"/>
        </row>
        <row r="1256">
          <cell r="C1256"/>
          <cell r="D1256"/>
        </row>
        <row r="1257">
          <cell r="C1257"/>
          <cell r="D1257"/>
        </row>
        <row r="1258">
          <cell r="C1258"/>
          <cell r="D1258"/>
        </row>
        <row r="1259">
          <cell r="C1259"/>
          <cell r="D1259"/>
        </row>
        <row r="1260">
          <cell r="C1260"/>
          <cell r="D1260"/>
        </row>
        <row r="1261">
          <cell r="C1261"/>
          <cell r="D1261"/>
        </row>
        <row r="1262">
          <cell r="C1262"/>
          <cell r="D1262"/>
        </row>
        <row r="1263">
          <cell r="C1263"/>
          <cell r="D1263"/>
        </row>
        <row r="1264">
          <cell r="C1264"/>
          <cell r="D1264"/>
        </row>
        <row r="1265">
          <cell r="C1265"/>
          <cell r="D1265"/>
        </row>
        <row r="1266">
          <cell r="C1266"/>
          <cell r="D1266"/>
        </row>
        <row r="1267">
          <cell r="C1267"/>
          <cell r="D1267"/>
        </row>
        <row r="1268">
          <cell r="C1268"/>
          <cell r="D1268"/>
        </row>
        <row r="1269">
          <cell r="C1269"/>
          <cell r="D1269"/>
        </row>
        <row r="1270">
          <cell r="C1270"/>
          <cell r="D1270"/>
        </row>
        <row r="1271">
          <cell r="C1271"/>
          <cell r="D1271"/>
        </row>
        <row r="1272">
          <cell r="C1272"/>
          <cell r="D1272"/>
        </row>
        <row r="1273">
          <cell r="C1273"/>
          <cell r="D1273"/>
        </row>
        <row r="1274">
          <cell r="C1274"/>
          <cell r="D1274"/>
        </row>
        <row r="1275">
          <cell r="C1275"/>
          <cell r="D1275"/>
        </row>
        <row r="1276">
          <cell r="C1276"/>
          <cell r="D1276"/>
        </row>
        <row r="1277">
          <cell r="C1277"/>
          <cell r="D1277"/>
        </row>
        <row r="1278">
          <cell r="C1278"/>
          <cell r="D1278"/>
        </row>
        <row r="1279">
          <cell r="C1279"/>
          <cell r="D1279"/>
        </row>
        <row r="1280">
          <cell r="C1280"/>
          <cell r="D1280"/>
        </row>
        <row r="1281">
          <cell r="C1281"/>
          <cell r="D1281"/>
        </row>
        <row r="1282">
          <cell r="C1282"/>
          <cell r="D1282"/>
        </row>
        <row r="1283">
          <cell r="C1283"/>
          <cell r="D1283"/>
        </row>
        <row r="1284">
          <cell r="C1284"/>
          <cell r="D1284"/>
        </row>
        <row r="1285">
          <cell r="C1285"/>
          <cell r="D1285"/>
        </row>
        <row r="1286">
          <cell r="C1286"/>
          <cell r="D1286"/>
        </row>
        <row r="1287">
          <cell r="C1287"/>
          <cell r="D1287"/>
        </row>
        <row r="1288">
          <cell r="C1288"/>
          <cell r="D1288"/>
        </row>
        <row r="1289">
          <cell r="C1289"/>
          <cell r="D1289"/>
        </row>
        <row r="1290">
          <cell r="C1290"/>
          <cell r="D1290"/>
        </row>
        <row r="1291">
          <cell r="C1291"/>
          <cell r="D1291"/>
        </row>
        <row r="1292">
          <cell r="C1292"/>
          <cell r="D1292"/>
        </row>
        <row r="1293">
          <cell r="C1293"/>
          <cell r="D1293"/>
        </row>
        <row r="1294">
          <cell r="C1294"/>
          <cell r="D1294"/>
        </row>
        <row r="1295">
          <cell r="C1295"/>
          <cell r="D1295"/>
        </row>
        <row r="1296">
          <cell r="C1296"/>
          <cell r="D1296"/>
        </row>
        <row r="1297">
          <cell r="C1297"/>
          <cell r="D1297"/>
        </row>
        <row r="1298">
          <cell r="C1298"/>
          <cell r="D1298"/>
        </row>
        <row r="1299">
          <cell r="C1299"/>
          <cell r="D1299"/>
        </row>
        <row r="1300">
          <cell r="C1300"/>
          <cell r="D1300"/>
        </row>
        <row r="1301">
          <cell r="C1301"/>
          <cell r="D1301"/>
        </row>
        <row r="1302">
          <cell r="C1302"/>
          <cell r="D1302"/>
        </row>
        <row r="1303">
          <cell r="C1303"/>
          <cell r="D1303"/>
        </row>
        <row r="1304">
          <cell r="C1304"/>
          <cell r="D1304"/>
        </row>
        <row r="1305">
          <cell r="C1305"/>
          <cell r="D1305"/>
        </row>
        <row r="1306">
          <cell r="C1306"/>
          <cell r="D1306"/>
        </row>
        <row r="1307">
          <cell r="C1307"/>
          <cell r="D1307"/>
        </row>
        <row r="1308">
          <cell r="C1308"/>
          <cell r="D1308"/>
        </row>
        <row r="1309">
          <cell r="C1309"/>
          <cell r="D1309"/>
        </row>
        <row r="1310">
          <cell r="C1310"/>
          <cell r="D1310"/>
        </row>
        <row r="1311">
          <cell r="C1311"/>
          <cell r="D1311"/>
        </row>
        <row r="1312">
          <cell r="C1312"/>
          <cell r="D1312"/>
        </row>
        <row r="1313">
          <cell r="C1313"/>
          <cell r="D1313"/>
        </row>
        <row r="1314">
          <cell r="C1314"/>
          <cell r="D1314"/>
        </row>
        <row r="1315">
          <cell r="C1315"/>
          <cell r="D1315"/>
        </row>
        <row r="1316">
          <cell r="C1316"/>
          <cell r="D1316"/>
        </row>
        <row r="1317">
          <cell r="C1317"/>
          <cell r="D1317"/>
        </row>
        <row r="1318">
          <cell r="C1318"/>
          <cell r="D1318"/>
        </row>
        <row r="1319">
          <cell r="C1319"/>
          <cell r="D1319"/>
        </row>
        <row r="1320">
          <cell r="C1320"/>
          <cell r="D1320"/>
        </row>
        <row r="1321">
          <cell r="C1321"/>
          <cell r="D1321"/>
        </row>
        <row r="1322">
          <cell r="C1322"/>
          <cell r="D1322"/>
        </row>
        <row r="1323">
          <cell r="C1323"/>
          <cell r="D1323"/>
        </row>
        <row r="1324">
          <cell r="C1324"/>
          <cell r="D1324"/>
        </row>
        <row r="1325">
          <cell r="C1325"/>
          <cell r="D1325"/>
        </row>
        <row r="1326">
          <cell r="C1326"/>
          <cell r="D1326"/>
        </row>
        <row r="1327">
          <cell r="C1327"/>
          <cell r="D1327"/>
        </row>
        <row r="1328">
          <cell r="C1328"/>
          <cell r="D1328"/>
        </row>
        <row r="1329">
          <cell r="C1329"/>
          <cell r="D1329"/>
        </row>
        <row r="1330">
          <cell r="C1330"/>
          <cell r="D1330"/>
        </row>
        <row r="1331">
          <cell r="C1331"/>
          <cell r="D1331"/>
        </row>
        <row r="1332">
          <cell r="C1332"/>
          <cell r="D1332"/>
        </row>
        <row r="1333">
          <cell r="C1333"/>
          <cell r="D1333"/>
        </row>
        <row r="1334">
          <cell r="C1334"/>
          <cell r="D1334"/>
        </row>
        <row r="1335">
          <cell r="C1335"/>
          <cell r="D1335"/>
        </row>
        <row r="1336">
          <cell r="C1336"/>
          <cell r="D1336"/>
        </row>
        <row r="1337">
          <cell r="C1337"/>
          <cell r="D1337"/>
        </row>
        <row r="1338">
          <cell r="C1338"/>
          <cell r="D1338"/>
        </row>
        <row r="1339">
          <cell r="C1339"/>
          <cell r="D1339"/>
        </row>
        <row r="1340">
          <cell r="C1340"/>
          <cell r="D1340"/>
        </row>
        <row r="1341">
          <cell r="C1341"/>
          <cell r="D1341"/>
        </row>
        <row r="1342">
          <cell r="C1342"/>
          <cell r="D1342"/>
        </row>
        <row r="1343">
          <cell r="C1343"/>
          <cell r="D1343"/>
        </row>
        <row r="1344">
          <cell r="C1344"/>
          <cell r="D1344"/>
        </row>
        <row r="1345">
          <cell r="C1345"/>
          <cell r="D1345"/>
        </row>
        <row r="1346">
          <cell r="C1346"/>
          <cell r="D1346"/>
        </row>
        <row r="1347">
          <cell r="C1347"/>
          <cell r="D1347"/>
        </row>
        <row r="1348">
          <cell r="C1348"/>
          <cell r="D1348"/>
        </row>
        <row r="1349">
          <cell r="C1349"/>
          <cell r="D1349"/>
        </row>
        <row r="1350">
          <cell r="C1350"/>
          <cell r="D1350"/>
        </row>
        <row r="1351">
          <cell r="C1351"/>
          <cell r="D1351"/>
        </row>
        <row r="1352">
          <cell r="C1352"/>
          <cell r="D1352"/>
        </row>
        <row r="1353">
          <cell r="C1353"/>
          <cell r="D1353"/>
        </row>
        <row r="1354">
          <cell r="C1354"/>
          <cell r="D1354"/>
        </row>
        <row r="1355">
          <cell r="C1355"/>
          <cell r="D1355"/>
        </row>
        <row r="1356">
          <cell r="C1356"/>
          <cell r="D1356"/>
        </row>
        <row r="1357">
          <cell r="C1357"/>
          <cell r="D1357"/>
        </row>
        <row r="1358">
          <cell r="C1358"/>
          <cell r="D1358"/>
        </row>
        <row r="1359">
          <cell r="C1359"/>
          <cell r="D1359"/>
        </row>
        <row r="1360">
          <cell r="C1360"/>
          <cell r="D1360"/>
        </row>
        <row r="1361">
          <cell r="C1361"/>
          <cell r="D1361"/>
        </row>
        <row r="1362">
          <cell r="C1362"/>
          <cell r="D1362"/>
        </row>
        <row r="1363">
          <cell r="C1363"/>
          <cell r="D1363"/>
        </row>
        <row r="1364">
          <cell r="C1364"/>
          <cell r="D1364"/>
        </row>
        <row r="1365">
          <cell r="C1365"/>
          <cell r="D1365"/>
        </row>
        <row r="1366">
          <cell r="C1366"/>
          <cell r="D1366"/>
        </row>
        <row r="1367">
          <cell r="C1367"/>
          <cell r="D1367"/>
        </row>
        <row r="1368">
          <cell r="C1368"/>
          <cell r="D1368"/>
        </row>
        <row r="1369">
          <cell r="C1369"/>
          <cell r="D1369"/>
        </row>
        <row r="1370">
          <cell r="C1370"/>
          <cell r="D1370"/>
        </row>
        <row r="1371">
          <cell r="C1371"/>
          <cell r="D1371"/>
        </row>
        <row r="1372">
          <cell r="C1372"/>
          <cell r="D1372"/>
        </row>
        <row r="1373">
          <cell r="C1373"/>
          <cell r="D1373"/>
        </row>
        <row r="1374">
          <cell r="C1374"/>
          <cell r="D1374"/>
        </row>
        <row r="1375">
          <cell r="C1375"/>
          <cell r="D1375"/>
        </row>
        <row r="1376">
          <cell r="C1376"/>
          <cell r="D1376"/>
        </row>
        <row r="1377">
          <cell r="C1377"/>
          <cell r="D1377"/>
        </row>
        <row r="1378">
          <cell r="C1378"/>
          <cell r="D1378"/>
        </row>
        <row r="1379">
          <cell r="C1379"/>
          <cell r="D1379"/>
        </row>
        <row r="1380">
          <cell r="C1380"/>
          <cell r="D1380"/>
        </row>
        <row r="1381">
          <cell r="C1381"/>
          <cell r="D1381"/>
        </row>
        <row r="1382">
          <cell r="C1382"/>
          <cell r="D1382"/>
        </row>
        <row r="1383">
          <cell r="C1383"/>
          <cell r="D1383"/>
        </row>
        <row r="1384">
          <cell r="C1384"/>
          <cell r="D1384"/>
        </row>
        <row r="1385">
          <cell r="C1385"/>
          <cell r="D1385"/>
        </row>
        <row r="1386">
          <cell r="C1386"/>
          <cell r="D1386"/>
        </row>
        <row r="1387">
          <cell r="C1387"/>
          <cell r="D1387"/>
        </row>
        <row r="1388">
          <cell r="C1388"/>
          <cell r="D1388"/>
        </row>
        <row r="1389">
          <cell r="C1389"/>
          <cell r="D1389"/>
        </row>
        <row r="1390">
          <cell r="C1390"/>
          <cell r="D1390"/>
        </row>
        <row r="1391">
          <cell r="C1391"/>
          <cell r="D1391"/>
        </row>
        <row r="1392">
          <cell r="C1392"/>
          <cell r="D1392"/>
        </row>
        <row r="1393">
          <cell r="C1393"/>
          <cell r="D1393"/>
        </row>
        <row r="1394">
          <cell r="C1394"/>
          <cell r="D1394"/>
        </row>
        <row r="1395">
          <cell r="C1395"/>
          <cell r="D1395"/>
        </row>
        <row r="1396">
          <cell r="C1396"/>
          <cell r="D1396"/>
        </row>
        <row r="1397">
          <cell r="C1397"/>
          <cell r="D1397"/>
        </row>
        <row r="1398">
          <cell r="C1398"/>
          <cell r="D1398"/>
        </row>
        <row r="1399">
          <cell r="C1399"/>
          <cell r="D1399"/>
        </row>
        <row r="1400">
          <cell r="C1400"/>
          <cell r="D1400"/>
        </row>
        <row r="1401">
          <cell r="C1401"/>
          <cell r="D1401"/>
        </row>
        <row r="1402">
          <cell r="C1402"/>
          <cell r="D1402"/>
        </row>
        <row r="1403">
          <cell r="C1403"/>
          <cell r="D1403"/>
        </row>
        <row r="1404">
          <cell r="C1404"/>
          <cell r="D1404"/>
        </row>
        <row r="1405">
          <cell r="C1405"/>
          <cell r="D1405"/>
        </row>
        <row r="1406">
          <cell r="C1406"/>
          <cell r="D1406"/>
        </row>
        <row r="1407">
          <cell r="C1407"/>
          <cell r="D1407"/>
        </row>
        <row r="1408">
          <cell r="C1408"/>
          <cell r="D1408"/>
        </row>
        <row r="1409">
          <cell r="C1409"/>
          <cell r="D1409"/>
        </row>
        <row r="1410">
          <cell r="C1410"/>
          <cell r="D1410"/>
        </row>
        <row r="1411">
          <cell r="C1411"/>
          <cell r="D1411"/>
        </row>
        <row r="1412">
          <cell r="C1412"/>
          <cell r="D1412"/>
        </row>
        <row r="1413">
          <cell r="C1413"/>
          <cell r="D1413"/>
        </row>
        <row r="1414">
          <cell r="C1414"/>
          <cell r="D1414"/>
        </row>
        <row r="1415">
          <cell r="C1415"/>
          <cell r="D1415"/>
        </row>
        <row r="1416">
          <cell r="C1416"/>
          <cell r="D1416"/>
        </row>
        <row r="1417">
          <cell r="C1417"/>
          <cell r="D1417"/>
        </row>
        <row r="1418">
          <cell r="C1418"/>
          <cell r="D1418"/>
        </row>
        <row r="1419">
          <cell r="C1419"/>
          <cell r="D1419"/>
        </row>
        <row r="1420">
          <cell r="C1420"/>
          <cell r="D1420"/>
        </row>
        <row r="1421">
          <cell r="C1421"/>
          <cell r="D1421"/>
        </row>
        <row r="1422">
          <cell r="C1422"/>
          <cell r="D1422"/>
        </row>
        <row r="1423">
          <cell r="C1423"/>
          <cell r="D1423"/>
        </row>
        <row r="1424">
          <cell r="C1424"/>
          <cell r="D1424"/>
        </row>
        <row r="1425">
          <cell r="C1425"/>
          <cell r="D1425"/>
        </row>
        <row r="1426">
          <cell r="C1426"/>
          <cell r="D1426"/>
        </row>
        <row r="1427">
          <cell r="C1427"/>
          <cell r="D1427"/>
        </row>
        <row r="1428">
          <cell r="C1428"/>
          <cell r="D1428"/>
        </row>
        <row r="1429">
          <cell r="C1429"/>
          <cell r="D1429"/>
        </row>
        <row r="1430">
          <cell r="C1430"/>
          <cell r="D1430"/>
        </row>
        <row r="1431">
          <cell r="C1431"/>
          <cell r="D1431"/>
        </row>
        <row r="1432">
          <cell r="C1432"/>
          <cell r="D1432"/>
        </row>
        <row r="1433">
          <cell r="C1433"/>
          <cell r="D1433"/>
        </row>
        <row r="1434">
          <cell r="C1434"/>
          <cell r="D1434"/>
        </row>
        <row r="1435">
          <cell r="C1435"/>
          <cell r="D1435"/>
        </row>
        <row r="1436">
          <cell r="C1436"/>
          <cell r="D1436"/>
        </row>
        <row r="1437">
          <cell r="C1437"/>
          <cell r="D1437"/>
        </row>
        <row r="1438">
          <cell r="C1438"/>
          <cell r="D1438"/>
        </row>
        <row r="1439">
          <cell r="C1439"/>
          <cell r="D1439"/>
        </row>
        <row r="1440">
          <cell r="C1440"/>
          <cell r="D1440"/>
        </row>
        <row r="1441">
          <cell r="C1441"/>
          <cell r="D1441"/>
        </row>
        <row r="1442">
          <cell r="C1442"/>
          <cell r="D1442"/>
        </row>
        <row r="1443">
          <cell r="C1443"/>
          <cell r="D1443"/>
        </row>
        <row r="1444">
          <cell r="C1444"/>
          <cell r="D1444"/>
        </row>
        <row r="1445">
          <cell r="C1445"/>
          <cell r="D1445"/>
        </row>
        <row r="1446">
          <cell r="C1446"/>
          <cell r="D1446"/>
        </row>
        <row r="1447">
          <cell r="C1447"/>
          <cell r="D1447"/>
        </row>
        <row r="1448">
          <cell r="C1448"/>
          <cell r="D1448"/>
        </row>
        <row r="1449">
          <cell r="C1449"/>
          <cell r="D1449"/>
        </row>
        <row r="1450">
          <cell r="C1450"/>
          <cell r="D1450"/>
        </row>
        <row r="1451">
          <cell r="C1451"/>
          <cell r="D1451"/>
        </row>
        <row r="1452">
          <cell r="C1452"/>
          <cell r="D1452"/>
        </row>
        <row r="1453">
          <cell r="C1453"/>
          <cell r="D1453"/>
        </row>
        <row r="1454">
          <cell r="C1454"/>
          <cell r="D1454"/>
        </row>
        <row r="1455">
          <cell r="C1455"/>
          <cell r="D1455"/>
        </row>
        <row r="1456">
          <cell r="C1456"/>
          <cell r="D1456"/>
        </row>
        <row r="1457">
          <cell r="C1457"/>
          <cell r="D1457"/>
        </row>
        <row r="1458">
          <cell r="C1458"/>
          <cell r="D1458"/>
        </row>
        <row r="1459">
          <cell r="C1459"/>
          <cell r="D1459"/>
        </row>
        <row r="1460">
          <cell r="C1460"/>
          <cell r="D1460"/>
        </row>
        <row r="1461">
          <cell r="C1461"/>
          <cell r="D1461"/>
        </row>
        <row r="1462">
          <cell r="C1462"/>
          <cell r="D1462"/>
        </row>
        <row r="1463">
          <cell r="C1463"/>
          <cell r="D1463"/>
        </row>
        <row r="1464">
          <cell r="C1464"/>
          <cell r="D1464"/>
        </row>
        <row r="1465">
          <cell r="C1465"/>
          <cell r="D1465"/>
        </row>
        <row r="1466">
          <cell r="C1466"/>
          <cell r="D1466"/>
        </row>
        <row r="1467">
          <cell r="C1467"/>
          <cell r="D1467"/>
        </row>
        <row r="1468">
          <cell r="C1468"/>
          <cell r="D1468"/>
        </row>
        <row r="1469">
          <cell r="C1469"/>
          <cell r="D1469"/>
        </row>
        <row r="1470">
          <cell r="C1470"/>
          <cell r="D1470"/>
        </row>
        <row r="1471">
          <cell r="C1471"/>
          <cell r="D1471"/>
        </row>
        <row r="1472">
          <cell r="C1472"/>
          <cell r="D1472"/>
        </row>
        <row r="1473">
          <cell r="C1473"/>
          <cell r="D1473"/>
        </row>
        <row r="1474">
          <cell r="C1474"/>
          <cell r="D1474"/>
        </row>
        <row r="1475">
          <cell r="C1475"/>
          <cell r="D1475"/>
        </row>
        <row r="1476">
          <cell r="C1476"/>
          <cell r="D1476"/>
        </row>
        <row r="1477">
          <cell r="C1477"/>
          <cell r="D1477"/>
        </row>
        <row r="1478">
          <cell r="C1478"/>
          <cell r="D1478"/>
        </row>
        <row r="1479">
          <cell r="C1479"/>
          <cell r="D1479"/>
        </row>
        <row r="1480">
          <cell r="C1480"/>
          <cell r="D1480"/>
        </row>
        <row r="1481">
          <cell r="C1481"/>
          <cell r="D1481"/>
        </row>
        <row r="1482">
          <cell r="C1482"/>
          <cell r="D1482"/>
        </row>
        <row r="1483">
          <cell r="C1483"/>
          <cell r="D1483"/>
        </row>
        <row r="1484">
          <cell r="C1484"/>
          <cell r="D1484"/>
        </row>
        <row r="1485">
          <cell r="C1485"/>
          <cell r="D1485"/>
        </row>
        <row r="1486">
          <cell r="C1486"/>
          <cell r="D1486"/>
        </row>
        <row r="1487">
          <cell r="C1487"/>
          <cell r="D1487"/>
        </row>
        <row r="1488">
          <cell r="C1488"/>
          <cell r="D1488"/>
        </row>
        <row r="1489">
          <cell r="C1489"/>
          <cell r="D1489"/>
        </row>
        <row r="1490">
          <cell r="C1490"/>
          <cell r="D1490"/>
        </row>
        <row r="1491">
          <cell r="C1491"/>
          <cell r="D1491"/>
        </row>
        <row r="1492">
          <cell r="C1492"/>
          <cell r="D1492"/>
        </row>
        <row r="1493">
          <cell r="C1493"/>
          <cell r="D1493"/>
        </row>
        <row r="1494">
          <cell r="C1494"/>
          <cell r="D1494"/>
        </row>
        <row r="1495">
          <cell r="C1495"/>
          <cell r="D1495"/>
        </row>
        <row r="1496">
          <cell r="C1496"/>
          <cell r="D1496"/>
        </row>
        <row r="1497">
          <cell r="C1497"/>
          <cell r="D1497"/>
        </row>
        <row r="1498">
          <cell r="C1498"/>
          <cell r="D1498"/>
        </row>
        <row r="1499">
          <cell r="C1499"/>
          <cell r="D1499"/>
        </row>
        <row r="1500">
          <cell r="C1500"/>
          <cell r="D1500"/>
        </row>
        <row r="1501">
          <cell r="C1501"/>
          <cell r="D1501"/>
        </row>
        <row r="1502">
          <cell r="C1502"/>
          <cell r="D1502"/>
        </row>
        <row r="1503">
          <cell r="C1503"/>
          <cell r="D1503"/>
        </row>
        <row r="1504">
          <cell r="C1504"/>
          <cell r="D1504"/>
        </row>
        <row r="1505">
          <cell r="C1505"/>
          <cell r="D1505"/>
        </row>
        <row r="1506">
          <cell r="C1506"/>
          <cell r="D1506"/>
        </row>
        <row r="1507">
          <cell r="C1507"/>
          <cell r="D1507"/>
        </row>
        <row r="1508">
          <cell r="C1508"/>
          <cell r="D1508"/>
        </row>
        <row r="1509">
          <cell r="C1509"/>
          <cell r="D1509"/>
        </row>
        <row r="1510">
          <cell r="C1510"/>
          <cell r="D1510"/>
        </row>
        <row r="1511">
          <cell r="C1511"/>
          <cell r="D1511"/>
        </row>
        <row r="1512">
          <cell r="C1512"/>
          <cell r="D1512"/>
        </row>
        <row r="1513">
          <cell r="C1513"/>
          <cell r="D1513"/>
        </row>
        <row r="1514">
          <cell r="C1514"/>
          <cell r="D1514"/>
        </row>
        <row r="1515">
          <cell r="C1515"/>
          <cell r="D1515"/>
        </row>
        <row r="1516">
          <cell r="C1516"/>
          <cell r="D1516"/>
        </row>
        <row r="1517">
          <cell r="C1517"/>
          <cell r="D1517"/>
        </row>
        <row r="1518">
          <cell r="C1518"/>
          <cell r="D1518"/>
        </row>
        <row r="1519">
          <cell r="C1519"/>
          <cell r="D1519"/>
        </row>
        <row r="1520">
          <cell r="C1520"/>
          <cell r="D1520"/>
        </row>
        <row r="1521">
          <cell r="C1521"/>
          <cell r="D1521"/>
        </row>
        <row r="1522">
          <cell r="C1522"/>
          <cell r="D1522"/>
        </row>
        <row r="1523">
          <cell r="C1523"/>
          <cell r="D1523"/>
        </row>
        <row r="1524">
          <cell r="C1524"/>
          <cell r="D1524"/>
        </row>
        <row r="1525">
          <cell r="C1525"/>
          <cell r="D1525"/>
        </row>
        <row r="1526">
          <cell r="C1526"/>
          <cell r="D1526"/>
        </row>
        <row r="1527">
          <cell r="C1527"/>
          <cell r="D1527"/>
        </row>
        <row r="1528">
          <cell r="C1528"/>
          <cell r="D1528"/>
        </row>
        <row r="1529">
          <cell r="C1529"/>
          <cell r="D1529"/>
        </row>
        <row r="1530">
          <cell r="C1530"/>
          <cell r="D1530"/>
        </row>
        <row r="1531">
          <cell r="C1531"/>
          <cell r="D1531"/>
        </row>
        <row r="1532">
          <cell r="C1532"/>
          <cell r="D1532"/>
        </row>
        <row r="1533">
          <cell r="C1533"/>
          <cell r="D1533"/>
        </row>
        <row r="1534">
          <cell r="C1534"/>
          <cell r="D1534"/>
        </row>
        <row r="1535">
          <cell r="C1535"/>
          <cell r="D1535"/>
        </row>
        <row r="1536">
          <cell r="C1536"/>
          <cell r="D1536"/>
        </row>
        <row r="1537">
          <cell r="C1537"/>
          <cell r="D1537"/>
        </row>
        <row r="1538">
          <cell r="C1538"/>
          <cell r="D1538"/>
        </row>
        <row r="1539">
          <cell r="C1539"/>
          <cell r="D1539"/>
        </row>
        <row r="1540">
          <cell r="C1540"/>
          <cell r="D1540"/>
        </row>
        <row r="1541">
          <cell r="C1541"/>
          <cell r="D1541"/>
        </row>
        <row r="1542">
          <cell r="C1542"/>
          <cell r="D1542"/>
        </row>
        <row r="1543">
          <cell r="C1543"/>
          <cell r="D1543"/>
        </row>
        <row r="1544">
          <cell r="C1544"/>
          <cell r="D1544"/>
        </row>
        <row r="1545">
          <cell r="C1545"/>
          <cell r="D1545"/>
        </row>
        <row r="1546">
          <cell r="C1546"/>
          <cell r="D1546"/>
        </row>
        <row r="1547">
          <cell r="C1547"/>
          <cell r="D1547"/>
        </row>
        <row r="1548">
          <cell r="C1548"/>
          <cell r="D1548"/>
        </row>
        <row r="1549">
          <cell r="C1549"/>
          <cell r="D1549"/>
        </row>
        <row r="1550">
          <cell r="C1550"/>
          <cell r="D1550"/>
        </row>
        <row r="1551">
          <cell r="C1551"/>
          <cell r="D1551"/>
        </row>
        <row r="1552">
          <cell r="C1552"/>
          <cell r="D1552"/>
        </row>
        <row r="1553">
          <cell r="C1553"/>
          <cell r="D1553"/>
        </row>
        <row r="1554">
          <cell r="C1554"/>
          <cell r="D1554"/>
        </row>
        <row r="1555">
          <cell r="C1555"/>
          <cell r="D1555"/>
        </row>
        <row r="1556">
          <cell r="C1556"/>
          <cell r="D1556"/>
        </row>
        <row r="1557">
          <cell r="C1557"/>
          <cell r="D1557"/>
        </row>
        <row r="1558">
          <cell r="C1558"/>
          <cell r="D1558"/>
        </row>
        <row r="1559">
          <cell r="C1559"/>
          <cell r="D1559"/>
        </row>
        <row r="1560">
          <cell r="C1560"/>
          <cell r="D1560"/>
        </row>
        <row r="1561">
          <cell r="C1561"/>
          <cell r="D1561"/>
        </row>
        <row r="1562">
          <cell r="C1562"/>
          <cell r="D1562"/>
        </row>
        <row r="1563">
          <cell r="C1563"/>
          <cell r="D1563"/>
        </row>
        <row r="1564">
          <cell r="C1564"/>
          <cell r="D1564"/>
        </row>
        <row r="1565">
          <cell r="C1565"/>
          <cell r="D1565"/>
        </row>
        <row r="1566">
          <cell r="C1566"/>
          <cell r="D1566"/>
        </row>
        <row r="1567">
          <cell r="C1567"/>
          <cell r="D1567"/>
        </row>
        <row r="1568">
          <cell r="C1568"/>
          <cell r="D1568"/>
        </row>
        <row r="1569">
          <cell r="C1569"/>
          <cell r="D1569"/>
        </row>
        <row r="1570">
          <cell r="C1570"/>
          <cell r="D1570"/>
        </row>
        <row r="1571">
          <cell r="C1571"/>
          <cell r="D1571"/>
        </row>
        <row r="1572">
          <cell r="C1572"/>
          <cell r="D1572"/>
        </row>
        <row r="1573">
          <cell r="C1573"/>
          <cell r="D1573"/>
        </row>
        <row r="1574">
          <cell r="C1574"/>
          <cell r="D1574"/>
        </row>
        <row r="1575">
          <cell r="C1575"/>
          <cell r="D1575"/>
        </row>
        <row r="1576">
          <cell r="C1576"/>
          <cell r="D1576"/>
        </row>
        <row r="1577">
          <cell r="C1577"/>
          <cell r="D1577"/>
        </row>
        <row r="1578">
          <cell r="C1578"/>
          <cell r="D1578"/>
        </row>
        <row r="1579">
          <cell r="C1579"/>
          <cell r="D1579"/>
        </row>
        <row r="1580">
          <cell r="C1580"/>
          <cell r="D1580"/>
        </row>
        <row r="1581">
          <cell r="C1581"/>
          <cell r="D1581"/>
        </row>
        <row r="1582">
          <cell r="C1582"/>
          <cell r="D1582"/>
        </row>
        <row r="1583">
          <cell r="C1583"/>
          <cell r="D1583"/>
        </row>
        <row r="1584">
          <cell r="C1584"/>
          <cell r="D1584"/>
        </row>
        <row r="1585">
          <cell r="C1585"/>
          <cell r="D1585"/>
        </row>
        <row r="1586">
          <cell r="C1586"/>
          <cell r="D1586"/>
        </row>
        <row r="1587">
          <cell r="C1587"/>
          <cell r="D1587"/>
        </row>
        <row r="1588">
          <cell r="C1588"/>
          <cell r="D1588"/>
        </row>
        <row r="1589">
          <cell r="C1589"/>
          <cell r="D1589"/>
        </row>
        <row r="1590">
          <cell r="C1590"/>
          <cell r="D1590"/>
        </row>
        <row r="1591">
          <cell r="C1591"/>
          <cell r="D1591"/>
        </row>
        <row r="1592">
          <cell r="C1592"/>
          <cell r="D1592"/>
        </row>
        <row r="1593">
          <cell r="C1593"/>
          <cell r="D1593"/>
        </row>
        <row r="1594">
          <cell r="C1594"/>
          <cell r="D1594"/>
        </row>
        <row r="1595">
          <cell r="C1595"/>
          <cell r="D1595"/>
        </row>
        <row r="1596">
          <cell r="C1596"/>
          <cell r="D1596"/>
        </row>
        <row r="1597">
          <cell r="C1597"/>
          <cell r="D1597"/>
        </row>
        <row r="1598">
          <cell r="C1598"/>
          <cell r="D1598"/>
        </row>
        <row r="1599">
          <cell r="C1599"/>
          <cell r="D1599"/>
        </row>
        <row r="1600">
          <cell r="C1600"/>
          <cell r="D1600"/>
        </row>
        <row r="1601">
          <cell r="C1601"/>
          <cell r="D1601"/>
        </row>
        <row r="1602">
          <cell r="C1602"/>
          <cell r="D1602"/>
        </row>
        <row r="1603">
          <cell r="C1603"/>
          <cell r="D1603"/>
        </row>
        <row r="1604">
          <cell r="C1604"/>
          <cell r="D1604"/>
        </row>
        <row r="1605">
          <cell r="C1605"/>
          <cell r="D1605"/>
        </row>
        <row r="1606">
          <cell r="C1606"/>
          <cell r="D1606"/>
        </row>
        <row r="1607">
          <cell r="C1607"/>
          <cell r="D1607"/>
        </row>
        <row r="1608">
          <cell r="C1608"/>
          <cell r="D1608"/>
        </row>
        <row r="1609">
          <cell r="C1609"/>
          <cell r="D1609"/>
        </row>
        <row r="1610">
          <cell r="C1610"/>
          <cell r="D1610"/>
        </row>
        <row r="1611">
          <cell r="C1611"/>
          <cell r="D1611"/>
        </row>
        <row r="1612">
          <cell r="C1612"/>
          <cell r="D1612"/>
        </row>
        <row r="1613">
          <cell r="C1613"/>
          <cell r="D1613"/>
        </row>
        <row r="1614">
          <cell r="C1614"/>
          <cell r="D1614"/>
        </row>
        <row r="1615">
          <cell r="C1615"/>
          <cell r="D1615"/>
        </row>
        <row r="1616">
          <cell r="C1616"/>
          <cell r="D1616"/>
        </row>
        <row r="1617">
          <cell r="C1617"/>
          <cell r="D1617"/>
        </row>
        <row r="1618">
          <cell r="C1618"/>
          <cell r="D1618"/>
        </row>
        <row r="1619">
          <cell r="C1619"/>
          <cell r="D1619"/>
        </row>
        <row r="1620">
          <cell r="C1620"/>
          <cell r="D1620"/>
        </row>
        <row r="1621">
          <cell r="C1621"/>
          <cell r="D1621"/>
        </row>
        <row r="1622">
          <cell r="C1622"/>
          <cell r="D1622"/>
        </row>
        <row r="1623">
          <cell r="C1623"/>
          <cell r="D1623"/>
        </row>
        <row r="1624">
          <cell r="C1624"/>
          <cell r="D1624"/>
        </row>
        <row r="1625">
          <cell r="C1625"/>
          <cell r="D1625"/>
        </row>
        <row r="1626">
          <cell r="C1626"/>
          <cell r="D1626"/>
        </row>
        <row r="1627">
          <cell r="C1627"/>
          <cell r="D1627"/>
        </row>
        <row r="1628">
          <cell r="C1628"/>
          <cell r="D1628"/>
        </row>
        <row r="1629">
          <cell r="C1629"/>
          <cell r="D1629"/>
        </row>
        <row r="1630">
          <cell r="C1630"/>
          <cell r="D1630"/>
        </row>
        <row r="1631">
          <cell r="C1631"/>
          <cell r="D1631"/>
        </row>
        <row r="1632">
          <cell r="C1632"/>
          <cell r="D1632"/>
        </row>
        <row r="1633">
          <cell r="C1633"/>
          <cell r="D1633"/>
        </row>
        <row r="1634">
          <cell r="C1634"/>
          <cell r="D1634"/>
        </row>
        <row r="1635">
          <cell r="C1635"/>
          <cell r="D1635"/>
        </row>
        <row r="1636">
          <cell r="C1636"/>
          <cell r="D1636"/>
        </row>
        <row r="1637">
          <cell r="C1637"/>
          <cell r="D1637"/>
        </row>
        <row r="1638">
          <cell r="C1638"/>
          <cell r="D1638"/>
        </row>
        <row r="1639">
          <cell r="C1639"/>
          <cell r="D1639"/>
        </row>
        <row r="1640">
          <cell r="C1640"/>
          <cell r="D1640"/>
        </row>
        <row r="1641">
          <cell r="C1641"/>
          <cell r="D1641"/>
        </row>
        <row r="1642">
          <cell r="C1642"/>
          <cell r="D1642"/>
        </row>
        <row r="1643">
          <cell r="C1643"/>
          <cell r="D1643"/>
        </row>
        <row r="1644">
          <cell r="C1644"/>
          <cell r="D1644"/>
        </row>
        <row r="1645">
          <cell r="C1645"/>
          <cell r="D1645"/>
        </row>
        <row r="1646">
          <cell r="C1646"/>
          <cell r="D1646"/>
        </row>
        <row r="1647">
          <cell r="C1647"/>
          <cell r="D1647"/>
        </row>
        <row r="1648">
          <cell r="C1648"/>
          <cell r="D1648"/>
        </row>
        <row r="1649">
          <cell r="C1649"/>
          <cell r="D1649"/>
        </row>
        <row r="1650">
          <cell r="C1650"/>
          <cell r="D1650"/>
        </row>
        <row r="1651">
          <cell r="C1651"/>
          <cell r="D1651"/>
        </row>
        <row r="1652">
          <cell r="C1652"/>
          <cell r="D1652"/>
        </row>
        <row r="1653">
          <cell r="C1653"/>
          <cell r="D1653"/>
        </row>
        <row r="1654">
          <cell r="C1654"/>
          <cell r="D1654"/>
        </row>
        <row r="1655">
          <cell r="C1655"/>
          <cell r="D1655"/>
        </row>
        <row r="1656">
          <cell r="C1656"/>
          <cell r="D1656"/>
        </row>
        <row r="1657">
          <cell r="C1657"/>
          <cell r="D1657"/>
        </row>
        <row r="1658">
          <cell r="C1658"/>
          <cell r="D1658"/>
        </row>
        <row r="1659">
          <cell r="C1659"/>
          <cell r="D1659"/>
        </row>
        <row r="1660">
          <cell r="C1660"/>
          <cell r="D1660"/>
        </row>
        <row r="1661">
          <cell r="C1661"/>
          <cell r="D1661"/>
        </row>
        <row r="1662">
          <cell r="C1662"/>
          <cell r="D1662"/>
        </row>
        <row r="1663">
          <cell r="C1663"/>
          <cell r="D1663"/>
        </row>
        <row r="1664">
          <cell r="C1664"/>
          <cell r="D1664"/>
        </row>
        <row r="1665">
          <cell r="C1665"/>
          <cell r="D1665"/>
        </row>
        <row r="1666">
          <cell r="C1666"/>
          <cell r="D1666"/>
        </row>
        <row r="1667">
          <cell r="C1667"/>
          <cell r="D1667"/>
        </row>
        <row r="1668">
          <cell r="C1668"/>
          <cell r="D1668"/>
        </row>
        <row r="1669">
          <cell r="C1669"/>
          <cell r="D1669"/>
        </row>
        <row r="1670">
          <cell r="C1670"/>
          <cell r="D1670"/>
        </row>
        <row r="1671">
          <cell r="C1671"/>
          <cell r="D1671"/>
        </row>
        <row r="1672">
          <cell r="C1672"/>
          <cell r="D1672"/>
        </row>
        <row r="1673">
          <cell r="C1673"/>
          <cell r="D1673"/>
        </row>
        <row r="1674">
          <cell r="C1674"/>
          <cell r="D1674"/>
        </row>
        <row r="1675">
          <cell r="C1675"/>
          <cell r="D1675"/>
        </row>
        <row r="1676">
          <cell r="C1676"/>
          <cell r="D1676"/>
        </row>
        <row r="1677">
          <cell r="C1677"/>
          <cell r="D1677"/>
        </row>
        <row r="1678">
          <cell r="C1678"/>
          <cell r="D1678"/>
        </row>
        <row r="1679">
          <cell r="C1679"/>
          <cell r="D1679"/>
        </row>
        <row r="1680">
          <cell r="C1680"/>
          <cell r="D1680"/>
        </row>
        <row r="1681">
          <cell r="C1681"/>
          <cell r="D1681"/>
        </row>
        <row r="1682">
          <cell r="C1682"/>
          <cell r="D1682"/>
        </row>
        <row r="1683">
          <cell r="C1683"/>
          <cell r="D1683"/>
        </row>
        <row r="1684">
          <cell r="C1684"/>
          <cell r="D1684"/>
        </row>
        <row r="1685">
          <cell r="C1685"/>
          <cell r="D1685"/>
        </row>
        <row r="1686">
          <cell r="C1686"/>
          <cell r="D1686"/>
        </row>
        <row r="1687">
          <cell r="C1687"/>
          <cell r="D1687"/>
        </row>
        <row r="1688">
          <cell r="C1688"/>
          <cell r="D1688"/>
        </row>
        <row r="1689">
          <cell r="C1689"/>
          <cell r="D1689"/>
        </row>
        <row r="1690">
          <cell r="C1690"/>
          <cell r="D1690"/>
        </row>
        <row r="1691">
          <cell r="C1691"/>
          <cell r="D1691"/>
        </row>
        <row r="1692">
          <cell r="C1692"/>
          <cell r="D1692"/>
        </row>
        <row r="1693">
          <cell r="C1693"/>
          <cell r="D1693"/>
        </row>
        <row r="1694">
          <cell r="C1694"/>
          <cell r="D1694"/>
        </row>
        <row r="1695">
          <cell r="C1695"/>
          <cell r="D1695"/>
        </row>
        <row r="1696">
          <cell r="C1696"/>
          <cell r="D1696"/>
        </row>
        <row r="1697">
          <cell r="C1697"/>
          <cell r="D1697"/>
        </row>
        <row r="1698">
          <cell r="C1698"/>
          <cell r="D1698"/>
        </row>
        <row r="1699">
          <cell r="C1699"/>
          <cell r="D1699"/>
        </row>
        <row r="1700">
          <cell r="C1700"/>
          <cell r="D1700"/>
        </row>
        <row r="1701">
          <cell r="C1701"/>
          <cell r="D1701"/>
        </row>
        <row r="1702">
          <cell r="C1702"/>
          <cell r="D1702"/>
        </row>
        <row r="1703">
          <cell r="C1703"/>
          <cell r="D1703"/>
        </row>
        <row r="1704">
          <cell r="C1704"/>
          <cell r="D1704"/>
        </row>
        <row r="1705">
          <cell r="C1705"/>
          <cell r="D1705"/>
        </row>
        <row r="1706">
          <cell r="C1706"/>
          <cell r="D1706"/>
        </row>
        <row r="1707">
          <cell r="C1707"/>
          <cell r="D1707"/>
        </row>
        <row r="1708">
          <cell r="C1708"/>
          <cell r="D1708"/>
        </row>
        <row r="1709">
          <cell r="C1709"/>
          <cell r="D1709"/>
        </row>
        <row r="1710">
          <cell r="C1710"/>
          <cell r="D1710"/>
        </row>
        <row r="1711">
          <cell r="C1711"/>
          <cell r="D1711"/>
        </row>
        <row r="1712">
          <cell r="C1712"/>
          <cell r="D1712"/>
        </row>
        <row r="1713">
          <cell r="C1713"/>
          <cell r="D1713"/>
        </row>
        <row r="1714">
          <cell r="C1714"/>
          <cell r="D1714"/>
        </row>
        <row r="1715">
          <cell r="C1715"/>
          <cell r="D1715"/>
        </row>
        <row r="1716">
          <cell r="C1716"/>
          <cell r="D1716"/>
        </row>
        <row r="1717">
          <cell r="C1717"/>
          <cell r="D1717"/>
        </row>
        <row r="1718">
          <cell r="C1718"/>
          <cell r="D1718"/>
        </row>
        <row r="1719">
          <cell r="C1719"/>
          <cell r="D1719"/>
        </row>
        <row r="1720">
          <cell r="C1720"/>
          <cell r="D1720"/>
        </row>
        <row r="1721">
          <cell r="C1721"/>
          <cell r="D1721"/>
        </row>
        <row r="1722">
          <cell r="C1722"/>
          <cell r="D1722"/>
        </row>
        <row r="1723">
          <cell r="C1723"/>
          <cell r="D1723"/>
        </row>
        <row r="1724">
          <cell r="C1724"/>
          <cell r="D1724"/>
        </row>
        <row r="1725">
          <cell r="C1725"/>
          <cell r="D1725"/>
        </row>
        <row r="1726">
          <cell r="C1726"/>
          <cell r="D1726"/>
        </row>
        <row r="1727">
          <cell r="C1727"/>
          <cell r="D1727"/>
        </row>
        <row r="1728">
          <cell r="C1728"/>
          <cell r="D1728"/>
        </row>
        <row r="1729">
          <cell r="C1729"/>
          <cell r="D1729"/>
        </row>
        <row r="1730">
          <cell r="C1730"/>
          <cell r="D1730"/>
        </row>
        <row r="1731">
          <cell r="C1731"/>
          <cell r="D1731"/>
        </row>
        <row r="1732">
          <cell r="C1732"/>
          <cell r="D1732"/>
        </row>
        <row r="1733">
          <cell r="C1733"/>
          <cell r="D1733"/>
        </row>
        <row r="1734">
          <cell r="C1734"/>
          <cell r="D1734"/>
        </row>
        <row r="1735">
          <cell r="C1735"/>
          <cell r="D1735"/>
        </row>
        <row r="1736">
          <cell r="C1736"/>
          <cell r="D1736"/>
        </row>
        <row r="1737">
          <cell r="C1737"/>
          <cell r="D1737"/>
        </row>
        <row r="1738">
          <cell r="C1738"/>
          <cell r="D1738"/>
        </row>
        <row r="1739">
          <cell r="C1739"/>
          <cell r="D1739"/>
        </row>
        <row r="1740">
          <cell r="C1740"/>
          <cell r="D1740"/>
        </row>
        <row r="1741">
          <cell r="C1741"/>
          <cell r="D1741"/>
        </row>
        <row r="1742">
          <cell r="C1742"/>
          <cell r="D1742"/>
        </row>
        <row r="1743">
          <cell r="C1743"/>
          <cell r="D1743"/>
        </row>
        <row r="1744">
          <cell r="C1744"/>
          <cell r="D1744"/>
        </row>
        <row r="1745">
          <cell r="C1745"/>
          <cell r="D1745"/>
        </row>
        <row r="1746">
          <cell r="C1746"/>
          <cell r="D1746"/>
        </row>
        <row r="1747">
          <cell r="C1747"/>
          <cell r="D1747"/>
        </row>
        <row r="1748">
          <cell r="C1748"/>
          <cell r="D1748"/>
        </row>
        <row r="1749">
          <cell r="C1749"/>
          <cell r="D1749"/>
        </row>
        <row r="1750">
          <cell r="C1750"/>
          <cell r="D1750"/>
        </row>
        <row r="1751">
          <cell r="C1751"/>
          <cell r="D1751"/>
        </row>
        <row r="1752">
          <cell r="C1752"/>
          <cell r="D1752"/>
        </row>
        <row r="1753">
          <cell r="C1753"/>
          <cell r="D1753"/>
        </row>
        <row r="1754">
          <cell r="C1754"/>
          <cell r="D1754"/>
        </row>
        <row r="1755">
          <cell r="C1755"/>
          <cell r="D1755"/>
        </row>
        <row r="1756">
          <cell r="C1756"/>
          <cell r="D1756"/>
        </row>
        <row r="1757">
          <cell r="C1757"/>
          <cell r="D1757"/>
        </row>
        <row r="1758">
          <cell r="C1758"/>
          <cell r="D1758"/>
        </row>
        <row r="1759">
          <cell r="C1759"/>
          <cell r="D1759"/>
        </row>
        <row r="1760">
          <cell r="C1760"/>
          <cell r="D1760"/>
        </row>
        <row r="1761">
          <cell r="C1761"/>
          <cell r="D1761"/>
        </row>
        <row r="1762">
          <cell r="C1762"/>
          <cell r="D1762"/>
        </row>
        <row r="1763">
          <cell r="C1763"/>
          <cell r="D1763"/>
        </row>
        <row r="1764">
          <cell r="C1764"/>
          <cell r="D1764"/>
        </row>
        <row r="1765">
          <cell r="C1765"/>
          <cell r="D1765"/>
        </row>
        <row r="1766">
          <cell r="C1766"/>
          <cell r="D1766"/>
        </row>
        <row r="1767">
          <cell r="C1767"/>
          <cell r="D1767"/>
        </row>
        <row r="1768">
          <cell r="C1768"/>
          <cell r="D1768"/>
        </row>
        <row r="1769">
          <cell r="C1769"/>
          <cell r="D1769"/>
        </row>
        <row r="1770">
          <cell r="A1770"/>
          <cell r="C1770"/>
          <cell r="D1770"/>
        </row>
        <row r="1771">
          <cell r="C1771"/>
          <cell r="D1771"/>
        </row>
        <row r="1772">
          <cell r="C1772"/>
          <cell r="D1772"/>
        </row>
        <row r="1773">
          <cell r="C1773"/>
          <cell r="D1773"/>
        </row>
        <row r="1774">
          <cell r="C1774"/>
          <cell r="D1774"/>
        </row>
        <row r="1775">
          <cell r="C1775"/>
          <cell r="D1775"/>
        </row>
        <row r="1776">
          <cell r="C1776"/>
          <cell r="D1776"/>
        </row>
        <row r="1777">
          <cell r="C1777"/>
          <cell r="D1777"/>
        </row>
        <row r="1778">
          <cell r="C1778"/>
          <cell r="D1778"/>
        </row>
        <row r="1779">
          <cell r="C1779"/>
          <cell r="D1779"/>
        </row>
        <row r="1780">
          <cell r="C1780"/>
          <cell r="D1780"/>
        </row>
        <row r="1781">
          <cell r="C1781"/>
          <cell r="D1781"/>
        </row>
        <row r="1782">
          <cell r="C1782"/>
          <cell r="D1782"/>
        </row>
        <row r="1783">
          <cell r="C1783"/>
          <cell r="D1783"/>
        </row>
        <row r="1784">
          <cell r="B1784"/>
          <cell r="C1784"/>
          <cell r="D1784"/>
        </row>
        <row r="1785">
          <cell r="C1785"/>
          <cell r="D1785"/>
        </row>
        <row r="1786">
          <cell r="C1786"/>
          <cell r="D1786"/>
        </row>
        <row r="1787">
          <cell r="C1787"/>
          <cell r="D1787"/>
        </row>
        <row r="1788">
          <cell r="C1788"/>
          <cell r="D1788"/>
        </row>
        <row r="1789">
          <cell r="C1789"/>
          <cell r="D1789"/>
        </row>
        <row r="1790">
          <cell r="C1790"/>
          <cell r="D1790"/>
        </row>
        <row r="1791">
          <cell r="C1791"/>
          <cell r="D1791"/>
        </row>
        <row r="1792">
          <cell r="C1792"/>
          <cell r="D1792"/>
        </row>
        <row r="1793">
          <cell r="C1793"/>
          <cell r="D1793"/>
        </row>
        <row r="1794">
          <cell r="C1794"/>
          <cell r="D1794"/>
        </row>
        <row r="1795">
          <cell r="C1795"/>
          <cell r="D1795"/>
        </row>
        <row r="1796">
          <cell r="C1796"/>
          <cell r="D1796"/>
        </row>
        <row r="1797">
          <cell r="C1797"/>
          <cell r="D1797"/>
        </row>
        <row r="1798">
          <cell r="C1798"/>
          <cell r="D1798"/>
        </row>
        <row r="1799">
          <cell r="C1799"/>
          <cell r="D1799"/>
        </row>
        <row r="1800">
          <cell r="C1800"/>
          <cell r="D1800"/>
        </row>
        <row r="1801">
          <cell r="C1801"/>
          <cell r="D1801"/>
        </row>
        <row r="1802">
          <cell r="C1802"/>
          <cell r="D1802"/>
        </row>
        <row r="1803">
          <cell r="C1803"/>
          <cell r="D1803"/>
        </row>
        <row r="1804">
          <cell r="C1804"/>
          <cell r="D1804"/>
        </row>
        <row r="1805">
          <cell r="C1805"/>
          <cell r="D1805"/>
        </row>
        <row r="1806">
          <cell r="C1806"/>
          <cell r="D1806"/>
        </row>
        <row r="1807">
          <cell r="C1807"/>
          <cell r="D1807"/>
        </row>
        <row r="1808">
          <cell r="C1808"/>
          <cell r="D1808"/>
        </row>
        <row r="1809">
          <cell r="C1809"/>
          <cell r="D1809"/>
        </row>
        <row r="1810">
          <cell r="C1810"/>
          <cell r="D1810"/>
        </row>
        <row r="1811">
          <cell r="C1811"/>
          <cell r="D1811"/>
        </row>
        <row r="1812">
          <cell r="C1812"/>
          <cell r="D1812"/>
        </row>
        <row r="1813">
          <cell r="C1813"/>
          <cell r="D1813"/>
        </row>
        <row r="1814">
          <cell r="C1814"/>
          <cell r="D1814"/>
        </row>
        <row r="1815">
          <cell r="C1815"/>
          <cell r="D1815"/>
        </row>
        <row r="1816">
          <cell r="C1816"/>
          <cell r="D1816"/>
        </row>
        <row r="1817">
          <cell r="C1817"/>
          <cell r="D1817"/>
        </row>
        <row r="1818">
          <cell r="C1818"/>
          <cell r="D1818"/>
        </row>
        <row r="1819">
          <cell r="C1819"/>
          <cell r="D1819"/>
        </row>
        <row r="1820">
          <cell r="C1820"/>
          <cell r="D1820"/>
        </row>
        <row r="1821">
          <cell r="C1821"/>
          <cell r="D1821"/>
        </row>
        <row r="1822">
          <cell r="C1822"/>
          <cell r="D1822"/>
        </row>
        <row r="1823">
          <cell r="C1823"/>
          <cell r="D1823"/>
        </row>
        <row r="1824">
          <cell r="C1824"/>
          <cell r="D1824"/>
        </row>
        <row r="1825">
          <cell r="C1825"/>
          <cell r="D1825"/>
        </row>
        <row r="1826">
          <cell r="C1826"/>
          <cell r="D1826"/>
        </row>
        <row r="1827">
          <cell r="C1827"/>
          <cell r="D1827"/>
        </row>
        <row r="1828">
          <cell r="C1828"/>
          <cell r="D1828"/>
        </row>
        <row r="1829">
          <cell r="C1829"/>
          <cell r="D1829"/>
        </row>
        <row r="1830">
          <cell r="C1830"/>
          <cell r="D1830"/>
        </row>
        <row r="1831">
          <cell r="C1831"/>
          <cell r="D1831"/>
        </row>
        <row r="1832">
          <cell r="C1832"/>
          <cell r="D1832"/>
        </row>
        <row r="1833">
          <cell r="C1833"/>
          <cell r="D1833"/>
        </row>
        <row r="1834">
          <cell r="C1834"/>
          <cell r="D1834"/>
        </row>
        <row r="1835">
          <cell r="C1835"/>
          <cell r="D1835"/>
        </row>
        <row r="1836">
          <cell r="C1836"/>
          <cell r="D1836"/>
        </row>
        <row r="1837">
          <cell r="C1837"/>
          <cell r="D1837"/>
        </row>
        <row r="1838">
          <cell r="C1838"/>
          <cell r="D1838"/>
        </row>
        <row r="1839">
          <cell r="C1839"/>
          <cell r="D1839"/>
        </row>
        <row r="1840">
          <cell r="C1840"/>
          <cell r="D1840"/>
        </row>
        <row r="1841">
          <cell r="C1841"/>
          <cell r="D1841"/>
        </row>
        <row r="1842">
          <cell r="C1842"/>
          <cell r="D1842"/>
        </row>
        <row r="1843">
          <cell r="C1843"/>
          <cell r="D1843"/>
        </row>
        <row r="1844">
          <cell r="C1844"/>
          <cell r="D1844"/>
        </row>
        <row r="1845">
          <cell r="C1845"/>
          <cell r="D1845"/>
        </row>
        <row r="1846">
          <cell r="C1846"/>
          <cell r="D1846"/>
        </row>
        <row r="1847">
          <cell r="C1847"/>
          <cell r="D1847"/>
        </row>
        <row r="1848">
          <cell r="C1848"/>
          <cell r="D1848"/>
        </row>
        <row r="1849">
          <cell r="C1849"/>
          <cell r="D1849"/>
        </row>
        <row r="1850">
          <cell r="C1850"/>
          <cell r="D1850"/>
        </row>
        <row r="1851">
          <cell r="C1851"/>
          <cell r="D1851"/>
        </row>
        <row r="1852">
          <cell r="C1852"/>
          <cell r="D1852"/>
        </row>
        <row r="1853">
          <cell r="C1853"/>
          <cell r="D1853"/>
        </row>
        <row r="1854">
          <cell r="C1854"/>
          <cell r="D1854"/>
        </row>
        <row r="1855">
          <cell r="C1855"/>
          <cell r="D1855"/>
        </row>
        <row r="1856">
          <cell r="C1856"/>
          <cell r="D1856"/>
        </row>
        <row r="1857">
          <cell r="C1857"/>
          <cell r="D1857"/>
        </row>
        <row r="1858">
          <cell r="C1858"/>
          <cell r="D1858"/>
        </row>
        <row r="1859">
          <cell r="C1859"/>
          <cell r="D1859"/>
        </row>
        <row r="1860">
          <cell r="C1860"/>
          <cell r="D1860"/>
        </row>
        <row r="1861">
          <cell r="C1861"/>
          <cell r="D1861"/>
        </row>
        <row r="1862">
          <cell r="C1862"/>
          <cell r="D1862"/>
        </row>
        <row r="1863">
          <cell r="C1863"/>
          <cell r="D1863"/>
        </row>
        <row r="1864">
          <cell r="C1864"/>
          <cell r="D1864"/>
        </row>
        <row r="1865">
          <cell r="C1865"/>
          <cell r="D1865"/>
        </row>
        <row r="1866">
          <cell r="C1866"/>
          <cell r="D1866"/>
        </row>
        <row r="1867">
          <cell r="C1867"/>
          <cell r="D1867"/>
        </row>
        <row r="1868">
          <cell r="C1868"/>
          <cell r="D1868"/>
        </row>
        <row r="1869">
          <cell r="C1869"/>
          <cell r="D1869"/>
        </row>
        <row r="1870">
          <cell r="C1870"/>
          <cell r="D1870"/>
        </row>
        <row r="1871">
          <cell r="C1871"/>
          <cell r="D1871"/>
        </row>
        <row r="1872">
          <cell r="C1872"/>
          <cell r="D1872"/>
        </row>
        <row r="1873">
          <cell r="C1873"/>
          <cell r="D1873"/>
        </row>
        <row r="1874">
          <cell r="C1874"/>
          <cell r="D1874"/>
        </row>
        <row r="1875">
          <cell r="C1875"/>
          <cell r="D1875"/>
        </row>
        <row r="1876">
          <cell r="C1876"/>
          <cell r="D1876"/>
        </row>
        <row r="1877">
          <cell r="C1877"/>
          <cell r="D1877"/>
        </row>
        <row r="1878">
          <cell r="C1878"/>
          <cell r="D1878"/>
        </row>
        <row r="1879">
          <cell r="C1879"/>
          <cell r="D1879"/>
        </row>
        <row r="1880">
          <cell r="C1880"/>
          <cell r="D1880"/>
        </row>
        <row r="1881">
          <cell r="C1881"/>
          <cell r="D1881"/>
        </row>
        <row r="1882">
          <cell r="C1882"/>
          <cell r="D1882"/>
        </row>
        <row r="1883">
          <cell r="C1883"/>
          <cell r="D1883"/>
        </row>
        <row r="1884">
          <cell r="C1884"/>
          <cell r="D1884"/>
        </row>
        <row r="1885">
          <cell r="C1885"/>
          <cell r="D1885"/>
        </row>
        <row r="1886">
          <cell r="C1886"/>
          <cell r="D1886"/>
        </row>
        <row r="1887">
          <cell r="C1887"/>
          <cell r="D1887"/>
        </row>
        <row r="1888">
          <cell r="C1888"/>
          <cell r="D1888"/>
        </row>
        <row r="1889">
          <cell r="C1889"/>
          <cell r="D1889"/>
        </row>
        <row r="1890">
          <cell r="C1890"/>
          <cell r="D1890"/>
        </row>
        <row r="1891">
          <cell r="C1891"/>
          <cell r="D1891"/>
        </row>
        <row r="1892">
          <cell r="C1892"/>
          <cell r="D1892"/>
        </row>
        <row r="1893">
          <cell r="C1893"/>
          <cell r="D1893"/>
        </row>
        <row r="1894">
          <cell r="C1894"/>
          <cell r="D1894"/>
        </row>
        <row r="1895">
          <cell r="C1895"/>
          <cell r="D1895"/>
        </row>
        <row r="1896">
          <cell r="C1896"/>
          <cell r="D1896"/>
        </row>
        <row r="1897">
          <cell r="C1897"/>
          <cell r="D1897"/>
        </row>
        <row r="1898">
          <cell r="C1898"/>
          <cell r="D1898"/>
        </row>
        <row r="1899">
          <cell r="C1899"/>
          <cell r="D1899"/>
        </row>
        <row r="1900">
          <cell r="C1900"/>
          <cell r="D1900"/>
        </row>
        <row r="1901">
          <cell r="C1901"/>
          <cell r="D1901"/>
        </row>
        <row r="1902">
          <cell r="C1902"/>
          <cell r="D1902"/>
        </row>
        <row r="1903">
          <cell r="C1903"/>
          <cell r="D1903"/>
        </row>
        <row r="1904">
          <cell r="C1904"/>
          <cell r="D1904"/>
        </row>
        <row r="1905">
          <cell r="C1905"/>
          <cell r="D1905"/>
        </row>
        <row r="1906">
          <cell r="C1906"/>
          <cell r="D1906"/>
        </row>
        <row r="1907">
          <cell r="C1907"/>
          <cell r="D1907"/>
        </row>
        <row r="1908">
          <cell r="C1908"/>
          <cell r="D1908"/>
        </row>
        <row r="1909">
          <cell r="C1909"/>
          <cell r="D1909"/>
        </row>
        <row r="1910">
          <cell r="C1910"/>
          <cell r="D1910"/>
        </row>
        <row r="1911">
          <cell r="C1911"/>
          <cell r="D1911"/>
        </row>
        <row r="1912">
          <cell r="C1912"/>
          <cell r="D1912"/>
        </row>
        <row r="1913">
          <cell r="C1913"/>
          <cell r="D1913"/>
        </row>
        <row r="1914">
          <cell r="C1914"/>
          <cell r="D1914"/>
        </row>
        <row r="1915">
          <cell r="C1915"/>
          <cell r="D1915"/>
        </row>
        <row r="1916">
          <cell r="C1916"/>
          <cell r="D1916"/>
        </row>
        <row r="1917">
          <cell r="C1917"/>
          <cell r="D1917"/>
        </row>
        <row r="1918">
          <cell r="C1918"/>
          <cell r="D1918"/>
        </row>
        <row r="1919">
          <cell r="C1919"/>
          <cell r="D1919"/>
        </row>
        <row r="1920">
          <cell r="C1920"/>
          <cell r="D1920"/>
        </row>
        <row r="1921">
          <cell r="C1921"/>
          <cell r="D1921"/>
        </row>
        <row r="1922">
          <cell r="C1922"/>
          <cell r="D1922"/>
        </row>
        <row r="1923">
          <cell r="C1923"/>
          <cell r="D1923"/>
        </row>
        <row r="1924">
          <cell r="C1924"/>
          <cell r="D1924"/>
        </row>
        <row r="1925">
          <cell r="C1925"/>
          <cell r="D1925"/>
        </row>
        <row r="1926">
          <cell r="C1926"/>
          <cell r="D1926"/>
        </row>
        <row r="1927">
          <cell r="C1927"/>
          <cell r="D1927"/>
        </row>
        <row r="1928">
          <cell r="C1928"/>
          <cell r="D1928"/>
        </row>
        <row r="1929">
          <cell r="C1929"/>
          <cell r="D1929"/>
        </row>
        <row r="1930">
          <cell r="C1930"/>
          <cell r="D1930"/>
        </row>
        <row r="1931">
          <cell r="C1931"/>
          <cell r="D1931"/>
        </row>
        <row r="1932">
          <cell r="C1932"/>
          <cell r="D1932"/>
        </row>
        <row r="1933">
          <cell r="C1933"/>
          <cell r="D1933"/>
        </row>
        <row r="1934">
          <cell r="C1934"/>
          <cell r="D1934"/>
        </row>
        <row r="1935">
          <cell r="C1935"/>
          <cell r="D1935"/>
        </row>
        <row r="1936">
          <cell r="C1936"/>
          <cell r="D1936"/>
        </row>
        <row r="1937">
          <cell r="C1937"/>
          <cell r="D1937"/>
        </row>
        <row r="1938">
          <cell r="C1938"/>
          <cell r="D1938"/>
        </row>
        <row r="1939">
          <cell r="C1939"/>
          <cell r="D1939"/>
        </row>
        <row r="1940">
          <cell r="C1940"/>
          <cell r="D1940"/>
        </row>
        <row r="1941">
          <cell r="C1941"/>
          <cell r="D1941"/>
        </row>
        <row r="1942">
          <cell r="C1942"/>
          <cell r="D1942"/>
        </row>
        <row r="1943">
          <cell r="C1943"/>
          <cell r="D1943"/>
        </row>
        <row r="1944">
          <cell r="C1944"/>
          <cell r="D1944"/>
        </row>
        <row r="1945">
          <cell r="C1945"/>
          <cell r="D1945"/>
        </row>
        <row r="1946">
          <cell r="C1946"/>
          <cell r="D1946"/>
        </row>
        <row r="1947">
          <cell r="C1947"/>
          <cell r="D1947"/>
        </row>
        <row r="1948">
          <cell r="C1948"/>
          <cell r="D1948"/>
        </row>
        <row r="1949">
          <cell r="C1949"/>
          <cell r="D1949"/>
        </row>
        <row r="1950">
          <cell r="C1950"/>
          <cell r="D1950"/>
        </row>
        <row r="1951">
          <cell r="C1951"/>
          <cell r="D1951"/>
        </row>
        <row r="1952">
          <cell r="C1952"/>
          <cell r="D1952"/>
        </row>
        <row r="1953">
          <cell r="C1953"/>
          <cell r="D1953"/>
        </row>
        <row r="1954">
          <cell r="C1954"/>
          <cell r="D1954"/>
        </row>
        <row r="1955">
          <cell r="C1955"/>
          <cell r="D1955"/>
        </row>
        <row r="1956">
          <cell r="C1956"/>
          <cell r="D1956"/>
        </row>
        <row r="1957">
          <cell r="C1957"/>
          <cell r="D1957"/>
        </row>
        <row r="1958">
          <cell r="C1958"/>
          <cell r="D1958"/>
        </row>
        <row r="1959">
          <cell r="C1959"/>
          <cell r="D1959"/>
        </row>
        <row r="1960">
          <cell r="C1960"/>
          <cell r="D1960"/>
        </row>
        <row r="1961">
          <cell r="C1961"/>
          <cell r="D1961"/>
        </row>
        <row r="1962">
          <cell r="C1962"/>
          <cell r="D1962"/>
        </row>
        <row r="1963">
          <cell r="C1963"/>
          <cell r="D1963"/>
        </row>
        <row r="1964">
          <cell r="C1964"/>
          <cell r="D1964"/>
        </row>
        <row r="1965">
          <cell r="C1965"/>
          <cell r="D1965"/>
        </row>
        <row r="1966">
          <cell r="C1966"/>
          <cell r="D1966"/>
        </row>
        <row r="1967">
          <cell r="C1967"/>
          <cell r="D1967"/>
        </row>
        <row r="1968">
          <cell r="C1968"/>
          <cell r="D1968"/>
        </row>
        <row r="1969">
          <cell r="C1969"/>
          <cell r="D1969"/>
        </row>
        <row r="1970">
          <cell r="C1970"/>
          <cell r="D1970"/>
        </row>
        <row r="1971">
          <cell r="C1971"/>
          <cell r="D1971"/>
        </row>
        <row r="1972">
          <cell r="C1972"/>
          <cell r="D1972"/>
        </row>
        <row r="1973">
          <cell r="C1973"/>
          <cell r="D1973"/>
        </row>
        <row r="1974">
          <cell r="C1974"/>
          <cell r="D1974"/>
        </row>
        <row r="1975">
          <cell r="C1975"/>
          <cell r="D1975"/>
        </row>
        <row r="1976">
          <cell r="C1976"/>
          <cell r="D1976"/>
        </row>
        <row r="1977">
          <cell r="C1977"/>
          <cell r="D1977"/>
        </row>
        <row r="1978">
          <cell r="C1978"/>
          <cell r="D1978"/>
        </row>
        <row r="1979">
          <cell r="C1979"/>
          <cell r="D1979"/>
        </row>
        <row r="1980">
          <cell r="C1980"/>
          <cell r="D1980"/>
        </row>
        <row r="1981">
          <cell r="C1981"/>
          <cell r="D1981"/>
        </row>
        <row r="1982">
          <cell r="C1982"/>
          <cell r="D1982"/>
        </row>
        <row r="1983">
          <cell r="C1983"/>
          <cell r="D1983"/>
        </row>
        <row r="1984">
          <cell r="C1984"/>
          <cell r="D1984"/>
        </row>
        <row r="1985">
          <cell r="C1985"/>
          <cell r="D1985"/>
        </row>
        <row r="1986">
          <cell r="C1986"/>
          <cell r="D1986"/>
        </row>
        <row r="1987">
          <cell r="C1987"/>
          <cell r="D1987"/>
        </row>
        <row r="1988">
          <cell r="C1988"/>
          <cell r="D1988"/>
        </row>
        <row r="1989">
          <cell r="C1989"/>
          <cell r="D1989"/>
        </row>
        <row r="1990">
          <cell r="C1990"/>
          <cell r="D1990"/>
        </row>
        <row r="1991">
          <cell r="C1991"/>
          <cell r="D1991"/>
        </row>
        <row r="1992">
          <cell r="C1992"/>
          <cell r="D1992"/>
        </row>
        <row r="1993">
          <cell r="C1993"/>
          <cell r="D1993"/>
        </row>
        <row r="1994">
          <cell r="C1994"/>
          <cell r="D1994"/>
        </row>
        <row r="1995">
          <cell r="C1995"/>
          <cell r="D1995"/>
        </row>
        <row r="1996">
          <cell r="C1996"/>
          <cell r="D1996"/>
        </row>
        <row r="1997">
          <cell r="C1997"/>
          <cell r="D1997"/>
        </row>
        <row r="1998">
          <cell r="C1998"/>
          <cell r="D1998"/>
        </row>
        <row r="1999">
          <cell r="C1999"/>
          <cell r="D1999"/>
        </row>
        <row r="2000">
          <cell r="C2000"/>
          <cell r="D2000"/>
        </row>
        <row r="2001">
          <cell r="C2001"/>
          <cell r="D2001"/>
        </row>
        <row r="2002">
          <cell r="C2002"/>
          <cell r="D2002"/>
        </row>
        <row r="2003">
          <cell r="C2003"/>
          <cell r="D2003"/>
        </row>
        <row r="2004">
          <cell r="C2004"/>
          <cell r="D2004"/>
        </row>
        <row r="2005">
          <cell r="C2005"/>
          <cell r="D2005"/>
        </row>
        <row r="2006">
          <cell r="C2006"/>
          <cell r="D2006"/>
        </row>
        <row r="2007">
          <cell r="C2007"/>
          <cell r="D2007"/>
        </row>
        <row r="2008">
          <cell r="C2008"/>
          <cell r="D2008"/>
        </row>
        <row r="2009">
          <cell r="C2009"/>
          <cell r="D2009"/>
        </row>
        <row r="2010">
          <cell r="C2010"/>
          <cell r="D2010"/>
        </row>
        <row r="2011">
          <cell r="C2011"/>
          <cell r="D2011"/>
        </row>
        <row r="2012">
          <cell r="C2012"/>
          <cell r="D2012"/>
        </row>
        <row r="2013">
          <cell r="C2013"/>
          <cell r="D2013"/>
        </row>
        <row r="2014">
          <cell r="C2014"/>
          <cell r="D2014"/>
        </row>
        <row r="2015">
          <cell r="C2015"/>
          <cell r="D2015"/>
        </row>
        <row r="2016">
          <cell r="C2016"/>
          <cell r="D2016"/>
        </row>
        <row r="2017">
          <cell r="C2017"/>
          <cell r="D2017"/>
        </row>
        <row r="2018">
          <cell r="C2018"/>
          <cell r="D2018"/>
        </row>
        <row r="2019">
          <cell r="C2019"/>
          <cell r="D2019"/>
        </row>
        <row r="2020">
          <cell r="C2020"/>
          <cell r="D2020"/>
        </row>
        <row r="2021">
          <cell r="C2021"/>
          <cell r="D2021"/>
        </row>
        <row r="2022">
          <cell r="C2022"/>
          <cell r="D2022"/>
        </row>
        <row r="2023">
          <cell r="C2023"/>
          <cell r="D2023"/>
        </row>
        <row r="2024">
          <cell r="C2024"/>
          <cell r="D2024"/>
        </row>
        <row r="2025">
          <cell r="C2025"/>
          <cell r="D2025"/>
        </row>
        <row r="2026">
          <cell r="C2026"/>
          <cell r="D2026"/>
        </row>
        <row r="2027">
          <cell r="C2027"/>
          <cell r="D2027"/>
        </row>
        <row r="2028">
          <cell r="C2028"/>
          <cell r="D2028"/>
        </row>
        <row r="2029">
          <cell r="C2029"/>
          <cell r="D2029"/>
        </row>
        <row r="2030">
          <cell r="C2030"/>
          <cell r="D2030"/>
        </row>
        <row r="2031">
          <cell r="C2031"/>
          <cell r="D2031"/>
        </row>
        <row r="2032">
          <cell r="C2032"/>
          <cell r="D2032"/>
        </row>
        <row r="2033">
          <cell r="C2033"/>
          <cell r="D2033"/>
        </row>
        <row r="2034">
          <cell r="C2034"/>
          <cell r="D2034"/>
        </row>
        <row r="2035">
          <cell r="C2035"/>
          <cell r="D2035"/>
        </row>
        <row r="2036">
          <cell r="C2036"/>
          <cell r="D2036"/>
        </row>
        <row r="2037">
          <cell r="C2037"/>
          <cell r="D2037"/>
        </row>
        <row r="2038">
          <cell r="C2038"/>
          <cell r="D2038"/>
        </row>
        <row r="2039">
          <cell r="C2039"/>
          <cell r="D2039"/>
        </row>
        <row r="2040">
          <cell r="C2040"/>
          <cell r="D2040"/>
        </row>
        <row r="2041">
          <cell r="C2041"/>
          <cell r="D2041"/>
        </row>
        <row r="2042">
          <cell r="C2042"/>
          <cell r="D2042"/>
        </row>
        <row r="2043">
          <cell r="C2043"/>
          <cell r="D2043"/>
        </row>
        <row r="2044">
          <cell r="C2044"/>
          <cell r="D2044"/>
        </row>
        <row r="2045">
          <cell r="C2045"/>
          <cell r="D2045"/>
        </row>
        <row r="2046">
          <cell r="C2046"/>
          <cell r="D2046"/>
        </row>
        <row r="2047">
          <cell r="C2047"/>
          <cell r="D2047"/>
        </row>
        <row r="2048">
          <cell r="C2048"/>
          <cell r="D2048"/>
        </row>
        <row r="2049">
          <cell r="C2049"/>
          <cell r="D2049"/>
        </row>
        <row r="2050">
          <cell r="C2050"/>
          <cell r="D2050"/>
        </row>
        <row r="2051">
          <cell r="C2051"/>
          <cell r="D2051"/>
        </row>
        <row r="2052">
          <cell r="C2052"/>
          <cell r="D2052"/>
        </row>
        <row r="2053">
          <cell r="C2053"/>
          <cell r="D2053"/>
        </row>
        <row r="2054">
          <cell r="C2054"/>
          <cell r="D2054"/>
        </row>
        <row r="2055">
          <cell r="C2055"/>
          <cell r="D2055"/>
        </row>
        <row r="2056">
          <cell r="C2056"/>
          <cell r="D2056"/>
        </row>
        <row r="2057">
          <cell r="C2057"/>
          <cell r="D2057"/>
        </row>
        <row r="2058">
          <cell r="C2058"/>
          <cell r="D2058"/>
        </row>
        <row r="2059">
          <cell r="C2059"/>
          <cell r="D2059"/>
        </row>
        <row r="2060">
          <cell r="C2060"/>
          <cell r="D2060"/>
        </row>
        <row r="2061">
          <cell r="C2061"/>
          <cell r="D2061"/>
        </row>
        <row r="2062">
          <cell r="C2062"/>
          <cell r="D2062"/>
        </row>
        <row r="2063">
          <cell r="C2063"/>
          <cell r="D2063"/>
        </row>
        <row r="2064">
          <cell r="C2064"/>
          <cell r="D2064"/>
        </row>
        <row r="2065">
          <cell r="C2065"/>
          <cell r="D2065"/>
        </row>
        <row r="2066">
          <cell r="C2066"/>
          <cell r="D2066"/>
        </row>
        <row r="2067">
          <cell r="C2067"/>
          <cell r="D2067"/>
        </row>
        <row r="2068">
          <cell r="C2068"/>
          <cell r="D2068"/>
        </row>
        <row r="2069">
          <cell r="C2069"/>
          <cell r="D2069"/>
        </row>
        <row r="2070">
          <cell r="C2070"/>
          <cell r="D2070"/>
        </row>
        <row r="2071">
          <cell r="C2071"/>
          <cell r="D2071"/>
        </row>
        <row r="2072">
          <cell r="C2072"/>
          <cell r="D2072"/>
        </row>
        <row r="2073">
          <cell r="C2073"/>
          <cell r="D2073"/>
        </row>
        <row r="2074">
          <cell r="C2074"/>
          <cell r="D2074"/>
        </row>
        <row r="2075">
          <cell r="C2075"/>
          <cell r="D2075"/>
        </row>
        <row r="2076">
          <cell r="C2076"/>
          <cell r="D2076"/>
        </row>
        <row r="2077">
          <cell r="C2077"/>
          <cell r="D2077"/>
        </row>
        <row r="2078">
          <cell r="C2078"/>
          <cell r="D2078"/>
        </row>
        <row r="2079">
          <cell r="C2079"/>
          <cell r="D2079"/>
        </row>
        <row r="2080">
          <cell r="C2080"/>
          <cell r="D2080"/>
        </row>
        <row r="2081">
          <cell r="C2081"/>
          <cell r="D2081"/>
        </row>
        <row r="2082">
          <cell r="C2082"/>
          <cell r="D2082"/>
        </row>
        <row r="2083">
          <cell r="C2083"/>
          <cell r="D2083"/>
        </row>
        <row r="2084">
          <cell r="C2084"/>
          <cell r="D2084"/>
        </row>
        <row r="2085">
          <cell r="C2085"/>
          <cell r="D2085"/>
        </row>
        <row r="2086">
          <cell r="C2086"/>
          <cell r="D2086"/>
        </row>
        <row r="2087">
          <cell r="C2087"/>
          <cell r="D2087"/>
        </row>
        <row r="2088">
          <cell r="C2088"/>
          <cell r="D2088"/>
        </row>
        <row r="2089">
          <cell r="C2089"/>
          <cell r="D2089"/>
        </row>
        <row r="2090">
          <cell r="C2090"/>
          <cell r="D2090"/>
        </row>
        <row r="2091">
          <cell r="C2091"/>
          <cell r="D2091"/>
        </row>
        <row r="2092">
          <cell r="C2092"/>
          <cell r="D2092"/>
        </row>
        <row r="2093">
          <cell r="C2093"/>
          <cell r="D2093"/>
        </row>
        <row r="2094">
          <cell r="C2094"/>
          <cell r="D2094"/>
        </row>
        <row r="2095">
          <cell r="C2095"/>
          <cell r="D2095"/>
        </row>
        <row r="2096">
          <cell r="C2096"/>
          <cell r="D2096"/>
        </row>
        <row r="2097">
          <cell r="C2097"/>
          <cell r="D2097"/>
        </row>
        <row r="2098">
          <cell r="C2098"/>
          <cell r="D2098"/>
        </row>
        <row r="2099">
          <cell r="C2099"/>
          <cell r="D2099"/>
        </row>
        <row r="2100">
          <cell r="C2100"/>
          <cell r="D2100"/>
        </row>
        <row r="2101">
          <cell r="C2101"/>
          <cell r="D2101"/>
        </row>
        <row r="2102">
          <cell r="C2102"/>
          <cell r="D2102"/>
        </row>
        <row r="2103">
          <cell r="C2103"/>
          <cell r="D2103"/>
        </row>
        <row r="2104">
          <cell r="C2104"/>
          <cell r="D2104"/>
        </row>
        <row r="2105">
          <cell r="C2105"/>
          <cell r="D2105"/>
        </row>
        <row r="2106">
          <cell r="C2106"/>
          <cell r="D2106"/>
        </row>
        <row r="2107">
          <cell r="C2107"/>
          <cell r="D2107"/>
        </row>
        <row r="2108">
          <cell r="C2108"/>
          <cell r="D2108"/>
        </row>
        <row r="2109">
          <cell r="C2109"/>
          <cell r="D2109"/>
        </row>
        <row r="2110">
          <cell r="C2110"/>
          <cell r="D2110"/>
        </row>
        <row r="2111">
          <cell r="C2111"/>
          <cell r="D2111"/>
        </row>
        <row r="2112">
          <cell r="C2112"/>
          <cell r="D2112"/>
        </row>
        <row r="2113">
          <cell r="C2113"/>
          <cell r="D2113"/>
        </row>
        <row r="2114">
          <cell r="C2114"/>
          <cell r="D2114"/>
        </row>
        <row r="2115">
          <cell r="C2115"/>
          <cell r="D2115"/>
        </row>
        <row r="2116">
          <cell r="C2116"/>
          <cell r="D2116"/>
        </row>
        <row r="2117">
          <cell r="C2117"/>
          <cell r="D2117"/>
        </row>
        <row r="2118">
          <cell r="C2118"/>
          <cell r="D2118"/>
        </row>
        <row r="2119">
          <cell r="C2119"/>
          <cell r="D2119"/>
        </row>
        <row r="2120">
          <cell r="C2120"/>
          <cell r="D2120"/>
        </row>
        <row r="2121">
          <cell r="C2121"/>
          <cell r="D2121"/>
        </row>
        <row r="2122">
          <cell r="C2122"/>
          <cell r="D2122"/>
        </row>
        <row r="2123">
          <cell r="C2123"/>
          <cell r="D2123"/>
        </row>
        <row r="2124">
          <cell r="C2124"/>
          <cell r="D2124"/>
        </row>
        <row r="2125">
          <cell r="C2125"/>
          <cell r="D2125"/>
        </row>
        <row r="2126">
          <cell r="C2126"/>
          <cell r="D2126"/>
        </row>
        <row r="2127">
          <cell r="C2127"/>
          <cell r="D2127"/>
        </row>
        <row r="2128">
          <cell r="C2128"/>
          <cell r="D2128"/>
        </row>
        <row r="2129">
          <cell r="C2129"/>
          <cell r="D2129"/>
        </row>
        <row r="2130">
          <cell r="C2130"/>
          <cell r="D2130"/>
        </row>
        <row r="2131">
          <cell r="C2131"/>
          <cell r="D2131"/>
        </row>
        <row r="2132">
          <cell r="C2132"/>
          <cell r="D2132"/>
        </row>
        <row r="2133">
          <cell r="C2133"/>
          <cell r="D2133"/>
        </row>
        <row r="2134">
          <cell r="C2134"/>
          <cell r="D2134"/>
        </row>
        <row r="2135">
          <cell r="C2135"/>
          <cell r="D2135"/>
        </row>
        <row r="2136">
          <cell r="C2136"/>
          <cell r="D2136"/>
        </row>
        <row r="2137">
          <cell r="C2137"/>
          <cell r="D2137"/>
        </row>
        <row r="2138">
          <cell r="C2138"/>
          <cell r="D2138"/>
        </row>
        <row r="2139">
          <cell r="C2139"/>
          <cell r="D2139"/>
        </row>
        <row r="2140">
          <cell r="C2140"/>
          <cell r="D2140"/>
        </row>
        <row r="2141">
          <cell r="C2141"/>
          <cell r="D2141"/>
        </row>
        <row r="2142">
          <cell r="C2142"/>
          <cell r="D2142"/>
        </row>
        <row r="2143">
          <cell r="C2143"/>
          <cell r="D2143"/>
        </row>
        <row r="2144">
          <cell r="C2144"/>
          <cell r="D2144"/>
        </row>
        <row r="2145">
          <cell r="C2145"/>
          <cell r="D2145"/>
        </row>
        <row r="2146">
          <cell r="C2146"/>
          <cell r="D2146"/>
        </row>
        <row r="2147">
          <cell r="C2147"/>
          <cell r="D2147"/>
        </row>
        <row r="2148">
          <cell r="C2148"/>
          <cell r="D2148"/>
        </row>
        <row r="2149">
          <cell r="C2149"/>
          <cell r="D2149"/>
        </row>
        <row r="2150">
          <cell r="C2150"/>
          <cell r="D2150"/>
        </row>
        <row r="2151">
          <cell r="C2151"/>
          <cell r="D2151"/>
        </row>
        <row r="2152">
          <cell r="C2152"/>
          <cell r="D2152"/>
        </row>
        <row r="2153">
          <cell r="C2153"/>
          <cell r="D2153"/>
        </row>
        <row r="2154">
          <cell r="C2154"/>
          <cell r="D2154"/>
        </row>
        <row r="2155">
          <cell r="C2155"/>
          <cell r="D2155"/>
        </row>
        <row r="2156">
          <cell r="C2156"/>
          <cell r="D2156"/>
        </row>
        <row r="2157">
          <cell r="C2157"/>
          <cell r="D2157"/>
        </row>
        <row r="2158">
          <cell r="C2158"/>
          <cell r="D2158"/>
        </row>
        <row r="2159">
          <cell r="C2159"/>
          <cell r="D2159"/>
        </row>
        <row r="2160">
          <cell r="C2160"/>
          <cell r="D2160"/>
        </row>
        <row r="2161">
          <cell r="C2161"/>
          <cell r="D2161"/>
        </row>
        <row r="2162">
          <cell r="C2162"/>
          <cell r="D2162"/>
        </row>
        <row r="2163">
          <cell r="C2163"/>
          <cell r="D2163"/>
        </row>
        <row r="2164">
          <cell r="C2164"/>
          <cell r="D2164"/>
        </row>
        <row r="2165">
          <cell r="C2165"/>
          <cell r="D2165"/>
        </row>
        <row r="2166">
          <cell r="C2166"/>
          <cell r="D2166"/>
        </row>
        <row r="2167">
          <cell r="C2167"/>
          <cell r="D2167"/>
        </row>
        <row r="2168">
          <cell r="C2168"/>
          <cell r="D2168"/>
        </row>
        <row r="2169">
          <cell r="C2169"/>
          <cell r="D2169"/>
        </row>
        <row r="2170">
          <cell r="C2170"/>
          <cell r="D2170"/>
        </row>
        <row r="2171">
          <cell r="C2171"/>
          <cell r="D2171"/>
        </row>
        <row r="2172">
          <cell r="C2172"/>
          <cell r="D2172"/>
        </row>
        <row r="2173">
          <cell r="C2173"/>
          <cell r="D2173"/>
        </row>
        <row r="2174">
          <cell r="C2174"/>
          <cell r="D2174"/>
        </row>
        <row r="2175">
          <cell r="C2175"/>
          <cell r="D2175"/>
        </row>
        <row r="2176">
          <cell r="C2176"/>
          <cell r="D2176"/>
        </row>
        <row r="2177">
          <cell r="C2177"/>
          <cell r="D2177"/>
        </row>
        <row r="2178">
          <cell r="C2178"/>
          <cell r="D2178"/>
        </row>
        <row r="2179">
          <cell r="C2179"/>
          <cell r="D2179"/>
        </row>
        <row r="2180">
          <cell r="C2180"/>
          <cell r="D2180"/>
        </row>
        <row r="2181">
          <cell r="C2181"/>
          <cell r="D2181"/>
        </row>
        <row r="2182">
          <cell r="C2182"/>
          <cell r="D2182"/>
        </row>
        <row r="2183">
          <cell r="C2183"/>
          <cell r="D2183"/>
        </row>
        <row r="2184">
          <cell r="C2184"/>
          <cell r="D2184"/>
        </row>
        <row r="2185">
          <cell r="C2185"/>
          <cell r="D2185"/>
        </row>
        <row r="2186">
          <cell r="C2186"/>
          <cell r="D2186"/>
        </row>
        <row r="2187">
          <cell r="C2187"/>
          <cell r="D2187"/>
        </row>
        <row r="2188">
          <cell r="C2188"/>
          <cell r="D2188"/>
        </row>
        <row r="2189">
          <cell r="C2189"/>
          <cell r="D2189"/>
        </row>
        <row r="2190">
          <cell r="C2190"/>
          <cell r="D2190"/>
        </row>
        <row r="2191">
          <cell r="C2191"/>
          <cell r="D2191"/>
        </row>
        <row r="2192">
          <cell r="C2192"/>
          <cell r="D2192"/>
        </row>
        <row r="2193">
          <cell r="C2193"/>
          <cell r="D2193"/>
        </row>
        <row r="2194">
          <cell r="C2194"/>
          <cell r="D2194"/>
        </row>
        <row r="2195">
          <cell r="C2195"/>
          <cell r="D2195"/>
        </row>
        <row r="2196">
          <cell r="C2196"/>
          <cell r="D2196"/>
        </row>
        <row r="2197">
          <cell r="C2197"/>
          <cell r="D2197"/>
        </row>
        <row r="2198">
          <cell r="C2198"/>
          <cell r="D2198"/>
        </row>
        <row r="2199">
          <cell r="C2199"/>
          <cell r="D2199"/>
        </row>
        <row r="2200">
          <cell r="C2200"/>
          <cell r="D2200"/>
        </row>
        <row r="2201">
          <cell r="C2201"/>
          <cell r="D2201"/>
        </row>
        <row r="2202">
          <cell r="C2202"/>
          <cell r="D2202"/>
        </row>
        <row r="2203">
          <cell r="C2203"/>
          <cell r="D2203"/>
        </row>
        <row r="2204">
          <cell r="C2204"/>
          <cell r="D2204"/>
        </row>
        <row r="2205">
          <cell r="C2205"/>
          <cell r="D2205"/>
        </row>
        <row r="2206">
          <cell r="C2206"/>
          <cell r="D2206"/>
        </row>
        <row r="2207">
          <cell r="C2207"/>
          <cell r="D2207"/>
        </row>
        <row r="2208">
          <cell r="C2208"/>
          <cell r="D2208"/>
        </row>
        <row r="2209">
          <cell r="C2209"/>
          <cell r="D2209"/>
        </row>
        <row r="2210">
          <cell r="C2210"/>
          <cell r="D2210"/>
        </row>
        <row r="2211">
          <cell r="C2211"/>
          <cell r="D2211"/>
        </row>
        <row r="2212">
          <cell r="C2212"/>
          <cell r="D2212"/>
        </row>
        <row r="2213">
          <cell r="C2213"/>
          <cell r="D2213"/>
        </row>
        <row r="2214">
          <cell r="C2214"/>
          <cell r="D2214"/>
        </row>
        <row r="2215">
          <cell r="C2215"/>
          <cell r="D2215"/>
        </row>
        <row r="2216">
          <cell r="C2216"/>
          <cell r="D2216"/>
        </row>
        <row r="2217">
          <cell r="C2217"/>
          <cell r="D2217"/>
        </row>
        <row r="2218">
          <cell r="C2218"/>
          <cell r="D2218"/>
        </row>
        <row r="2219">
          <cell r="C2219"/>
          <cell r="D2219"/>
        </row>
        <row r="2220">
          <cell r="C2220"/>
          <cell r="D2220"/>
        </row>
        <row r="2221">
          <cell r="C2221"/>
          <cell r="D2221"/>
        </row>
        <row r="2222">
          <cell r="C2222"/>
          <cell r="D2222"/>
        </row>
        <row r="2223">
          <cell r="C2223"/>
          <cell r="D2223"/>
        </row>
        <row r="2224">
          <cell r="C2224"/>
          <cell r="D2224"/>
        </row>
        <row r="2225">
          <cell r="C2225"/>
          <cell r="D2225"/>
        </row>
        <row r="2226">
          <cell r="C2226"/>
          <cell r="D2226"/>
        </row>
        <row r="2227">
          <cell r="C2227"/>
          <cell r="D2227"/>
        </row>
        <row r="2228">
          <cell r="C2228"/>
          <cell r="D2228"/>
        </row>
        <row r="2229">
          <cell r="C2229"/>
          <cell r="D2229"/>
        </row>
        <row r="2230">
          <cell r="C2230"/>
          <cell r="D2230"/>
        </row>
        <row r="2231">
          <cell r="C2231"/>
          <cell r="D2231"/>
        </row>
        <row r="2232">
          <cell r="C2232"/>
          <cell r="D2232"/>
        </row>
        <row r="2233">
          <cell r="C2233"/>
          <cell r="D2233"/>
        </row>
        <row r="2234">
          <cell r="C2234"/>
          <cell r="D2234"/>
        </row>
        <row r="2235">
          <cell r="C2235"/>
          <cell r="D2235"/>
        </row>
        <row r="2236">
          <cell r="C2236"/>
          <cell r="D2236"/>
        </row>
        <row r="2237">
          <cell r="C2237"/>
          <cell r="D2237"/>
        </row>
        <row r="2238">
          <cell r="C2238"/>
          <cell r="D2238"/>
        </row>
        <row r="2239">
          <cell r="C2239"/>
          <cell r="D2239"/>
        </row>
        <row r="2240">
          <cell r="C2240"/>
          <cell r="D2240"/>
        </row>
        <row r="2241">
          <cell r="C2241"/>
          <cell r="D2241"/>
        </row>
        <row r="2242">
          <cell r="C2242"/>
          <cell r="D2242"/>
        </row>
        <row r="2243">
          <cell r="C2243"/>
          <cell r="D2243"/>
        </row>
        <row r="2244">
          <cell r="C2244"/>
          <cell r="D2244"/>
        </row>
        <row r="2245">
          <cell r="C2245"/>
          <cell r="D2245"/>
        </row>
        <row r="2246">
          <cell r="C2246"/>
          <cell r="D2246"/>
        </row>
        <row r="2247">
          <cell r="C2247"/>
          <cell r="D2247"/>
        </row>
        <row r="2248">
          <cell r="C2248"/>
          <cell r="D2248"/>
        </row>
        <row r="2249">
          <cell r="C2249"/>
          <cell r="D2249"/>
        </row>
        <row r="2250">
          <cell r="C2250"/>
          <cell r="D2250"/>
        </row>
        <row r="2251">
          <cell r="C2251"/>
          <cell r="D2251"/>
        </row>
        <row r="2252">
          <cell r="C2252"/>
          <cell r="D2252"/>
        </row>
        <row r="2253">
          <cell r="C2253"/>
          <cell r="D2253"/>
        </row>
        <row r="2254">
          <cell r="C2254"/>
          <cell r="D2254"/>
        </row>
        <row r="2255">
          <cell r="C2255"/>
          <cell r="D2255"/>
        </row>
        <row r="2256">
          <cell r="C2256"/>
          <cell r="D2256"/>
        </row>
        <row r="2257">
          <cell r="C2257"/>
          <cell r="D2257"/>
        </row>
        <row r="2258">
          <cell r="C2258"/>
          <cell r="D2258"/>
        </row>
        <row r="2259">
          <cell r="C2259"/>
          <cell r="D2259"/>
        </row>
        <row r="2260">
          <cell r="C2260"/>
          <cell r="D2260"/>
        </row>
        <row r="2261">
          <cell r="C2261"/>
          <cell r="D2261"/>
        </row>
        <row r="2262">
          <cell r="C2262"/>
          <cell r="D2262"/>
        </row>
        <row r="2263">
          <cell r="C2263"/>
          <cell r="D2263"/>
        </row>
        <row r="2264">
          <cell r="C2264"/>
          <cell r="D2264"/>
        </row>
        <row r="2265">
          <cell r="C2265"/>
          <cell r="D2265"/>
        </row>
        <row r="2266">
          <cell r="C2266"/>
          <cell r="D2266"/>
        </row>
        <row r="2267">
          <cell r="C2267"/>
          <cell r="D2267"/>
        </row>
        <row r="2268">
          <cell r="C2268"/>
          <cell r="D2268"/>
        </row>
        <row r="2269">
          <cell r="C2269"/>
          <cell r="D2269"/>
        </row>
        <row r="2270">
          <cell r="C2270"/>
          <cell r="D2270"/>
        </row>
        <row r="2271">
          <cell r="C2271"/>
          <cell r="D2271"/>
        </row>
        <row r="2272">
          <cell r="C2272"/>
          <cell r="D2272"/>
        </row>
        <row r="2273">
          <cell r="C2273"/>
          <cell r="D2273"/>
        </row>
        <row r="2274">
          <cell r="C2274"/>
          <cell r="D2274"/>
        </row>
        <row r="2275">
          <cell r="C2275"/>
          <cell r="D2275"/>
        </row>
        <row r="2276">
          <cell r="C2276"/>
          <cell r="D2276"/>
        </row>
        <row r="2277">
          <cell r="C2277"/>
          <cell r="D2277"/>
        </row>
        <row r="2278">
          <cell r="C2278"/>
          <cell r="D2278"/>
        </row>
        <row r="2279">
          <cell r="C2279"/>
          <cell r="D2279"/>
        </row>
        <row r="2280">
          <cell r="C2280"/>
          <cell r="D2280"/>
        </row>
        <row r="2281">
          <cell r="C2281"/>
          <cell r="D2281"/>
        </row>
        <row r="2282">
          <cell r="C2282"/>
          <cell r="D2282"/>
        </row>
        <row r="2283">
          <cell r="C2283"/>
          <cell r="D2283"/>
        </row>
        <row r="2284">
          <cell r="C2284"/>
          <cell r="D2284"/>
        </row>
        <row r="2285">
          <cell r="C2285"/>
          <cell r="D2285"/>
        </row>
        <row r="2286">
          <cell r="C2286"/>
          <cell r="D2286"/>
        </row>
        <row r="2287">
          <cell r="C2287"/>
          <cell r="D2287"/>
        </row>
        <row r="2288">
          <cell r="C2288"/>
          <cell r="D2288"/>
        </row>
        <row r="2289">
          <cell r="C2289"/>
          <cell r="D2289"/>
        </row>
        <row r="2290">
          <cell r="C2290"/>
          <cell r="D2290"/>
        </row>
        <row r="2291">
          <cell r="C2291"/>
          <cell r="D2291"/>
        </row>
        <row r="2292">
          <cell r="C2292"/>
          <cell r="D2292"/>
        </row>
        <row r="2293">
          <cell r="C2293"/>
          <cell r="D2293"/>
        </row>
        <row r="2294">
          <cell r="C2294"/>
          <cell r="D2294"/>
        </row>
        <row r="2295">
          <cell r="C2295"/>
          <cell r="D2295"/>
        </row>
        <row r="2296">
          <cell r="C2296"/>
          <cell r="D2296"/>
        </row>
        <row r="2297">
          <cell r="C2297"/>
          <cell r="D2297"/>
        </row>
        <row r="2298">
          <cell r="C2298"/>
          <cell r="D2298"/>
        </row>
        <row r="2299">
          <cell r="C2299"/>
          <cell r="D2299"/>
        </row>
        <row r="2300">
          <cell r="C2300"/>
          <cell r="D2300"/>
        </row>
        <row r="2301">
          <cell r="C2301"/>
          <cell r="D2301"/>
        </row>
        <row r="2302">
          <cell r="C2302"/>
          <cell r="D2302"/>
        </row>
        <row r="2303">
          <cell r="C2303"/>
          <cell r="D2303"/>
        </row>
        <row r="2304">
          <cell r="C2304"/>
          <cell r="D2304"/>
        </row>
        <row r="2305">
          <cell r="C2305"/>
          <cell r="D2305"/>
        </row>
        <row r="2306">
          <cell r="C2306"/>
          <cell r="D2306"/>
        </row>
        <row r="2307">
          <cell r="C2307"/>
          <cell r="D2307"/>
        </row>
        <row r="2308">
          <cell r="C2308"/>
          <cell r="D2308"/>
        </row>
        <row r="2309">
          <cell r="C2309"/>
          <cell r="D2309"/>
        </row>
        <row r="2310">
          <cell r="C2310"/>
          <cell r="D2310"/>
        </row>
        <row r="2311">
          <cell r="C2311"/>
          <cell r="D2311"/>
        </row>
        <row r="2312">
          <cell r="C2312"/>
          <cell r="D2312"/>
        </row>
        <row r="2313">
          <cell r="C2313"/>
          <cell r="D2313"/>
        </row>
        <row r="2314">
          <cell r="C2314"/>
          <cell r="D2314"/>
        </row>
        <row r="2315">
          <cell r="C2315"/>
          <cell r="D2315"/>
        </row>
        <row r="2316">
          <cell r="C2316"/>
          <cell r="D2316"/>
        </row>
        <row r="2317">
          <cell r="C2317"/>
          <cell r="D2317"/>
        </row>
        <row r="2318">
          <cell r="C2318"/>
          <cell r="D2318"/>
        </row>
        <row r="2319">
          <cell r="C2319"/>
          <cell r="D2319"/>
        </row>
        <row r="2320">
          <cell r="C2320"/>
          <cell r="D2320"/>
        </row>
        <row r="2321">
          <cell r="C2321"/>
          <cell r="D2321"/>
        </row>
        <row r="2322">
          <cell r="C2322"/>
          <cell r="D2322"/>
        </row>
        <row r="2323">
          <cell r="C2323"/>
          <cell r="D2323"/>
        </row>
        <row r="2324">
          <cell r="C2324"/>
          <cell r="D2324"/>
        </row>
        <row r="2325">
          <cell r="C2325"/>
          <cell r="D2325"/>
        </row>
        <row r="2326">
          <cell r="C2326"/>
          <cell r="D2326"/>
        </row>
        <row r="2327">
          <cell r="C2327"/>
          <cell r="D2327"/>
        </row>
        <row r="2328">
          <cell r="C2328"/>
          <cell r="D2328"/>
        </row>
        <row r="2329">
          <cell r="C2329"/>
          <cell r="D2329"/>
        </row>
        <row r="2330">
          <cell r="C2330"/>
          <cell r="D2330"/>
        </row>
        <row r="2331">
          <cell r="C2331"/>
          <cell r="D2331"/>
        </row>
        <row r="2332">
          <cell r="C2332"/>
          <cell r="D2332"/>
        </row>
        <row r="2333">
          <cell r="C2333"/>
          <cell r="D2333"/>
        </row>
        <row r="2334">
          <cell r="C2334"/>
          <cell r="D2334"/>
        </row>
        <row r="2335">
          <cell r="C2335"/>
          <cell r="D2335"/>
        </row>
        <row r="2336">
          <cell r="C2336"/>
          <cell r="D2336"/>
        </row>
        <row r="2337">
          <cell r="C2337"/>
          <cell r="D2337"/>
        </row>
        <row r="2338">
          <cell r="C2338"/>
          <cell r="D2338"/>
        </row>
        <row r="2339">
          <cell r="C2339"/>
          <cell r="D2339"/>
        </row>
        <row r="2340">
          <cell r="C2340"/>
          <cell r="D2340"/>
        </row>
        <row r="2341">
          <cell r="C2341"/>
          <cell r="D2341"/>
        </row>
        <row r="2342">
          <cell r="C2342"/>
          <cell r="D2342"/>
        </row>
        <row r="2343">
          <cell r="C2343"/>
          <cell r="D2343"/>
        </row>
        <row r="2344">
          <cell r="C2344"/>
          <cell r="D2344"/>
        </row>
        <row r="2345">
          <cell r="C2345"/>
          <cell r="D2345"/>
        </row>
        <row r="2346">
          <cell r="C2346"/>
          <cell r="D2346"/>
        </row>
        <row r="2347">
          <cell r="C2347"/>
          <cell r="D2347"/>
        </row>
        <row r="2348">
          <cell r="C2348"/>
          <cell r="D2348"/>
        </row>
        <row r="2349">
          <cell r="C2349"/>
          <cell r="D2349"/>
        </row>
        <row r="2350">
          <cell r="C2350"/>
          <cell r="D2350"/>
        </row>
        <row r="2351">
          <cell r="C2351"/>
          <cell r="D2351"/>
        </row>
        <row r="2352">
          <cell r="C2352"/>
          <cell r="D2352"/>
        </row>
        <row r="2353">
          <cell r="C2353"/>
          <cell r="D2353"/>
        </row>
        <row r="2354">
          <cell r="C2354"/>
          <cell r="D2354"/>
        </row>
        <row r="2355">
          <cell r="C2355"/>
          <cell r="D2355"/>
        </row>
        <row r="2356">
          <cell r="C2356"/>
          <cell r="D2356"/>
        </row>
        <row r="2357">
          <cell r="C2357"/>
          <cell r="D2357"/>
        </row>
        <row r="2358">
          <cell r="C2358"/>
          <cell r="D2358"/>
        </row>
        <row r="2359">
          <cell r="C2359"/>
          <cell r="D2359"/>
        </row>
        <row r="2360">
          <cell r="C2360"/>
          <cell r="D2360"/>
        </row>
        <row r="2361">
          <cell r="C2361"/>
          <cell r="D2361"/>
        </row>
        <row r="2362">
          <cell r="C2362"/>
          <cell r="D2362"/>
        </row>
        <row r="2363">
          <cell r="C2363"/>
          <cell r="D2363"/>
        </row>
        <row r="2364">
          <cell r="C2364"/>
          <cell r="D2364"/>
        </row>
        <row r="2365">
          <cell r="C2365"/>
          <cell r="D2365"/>
        </row>
        <row r="2366">
          <cell r="C2366"/>
          <cell r="D2366"/>
        </row>
        <row r="2367">
          <cell r="C2367"/>
          <cell r="D2367"/>
        </row>
        <row r="2368">
          <cell r="C2368"/>
          <cell r="D2368"/>
        </row>
        <row r="2369">
          <cell r="C2369"/>
          <cell r="D2369"/>
        </row>
        <row r="2370">
          <cell r="C2370"/>
          <cell r="D2370"/>
        </row>
        <row r="2371">
          <cell r="C2371"/>
          <cell r="D2371"/>
        </row>
        <row r="2372">
          <cell r="C2372"/>
          <cell r="D2372"/>
        </row>
        <row r="2373">
          <cell r="C2373"/>
          <cell r="D2373"/>
        </row>
        <row r="2374">
          <cell r="C2374"/>
          <cell r="D2374"/>
        </row>
        <row r="2375">
          <cell r="C2375"/>
          <cell r="D2375"/>
        </row>
        <row r="2376">
          <cell r="C2376"/>
          <cell r="D2376"/>
        </row>
        <row r="2377">
          <cell r="C2377"/>
          <cell r="D2377"/>
        </row>
        <row r="2378">
          <cell r="C2378"/>
          <cell r="D2378"/>
        </row>
        <row r="2379">
          <cell r="C2379"/>
          <cell r="D2379"/>
        </row>
        <row r="2380">
          <cell r="C2380"/>
          <cell r="D2380"/>
        </row>
        <row r="2381">
          <cell r="C2381"/>
          <cell r="D2381"/>
        </row>
        <row r="2382">
          <cell r="C2382"/>
          <cell r="D2382"/>
        </row>
        <row r="2383">
          <cell r="C2383"/>
          <cell r="D2383"/>
        </row>
        <row r="2384">
          <cell r="C2384"/>
          <cell r="D2384"/>
        </row>
        <row r="2385">
          <cell r="C2385"/>
          <cell r="D2385"/>
        </row>
        <row r="2386">
          <cell r="C2386"/>
          <cell r="D2386"/>
        </row>
        <row r="2387">
          <cell r="C2387"/>
          <cell r="D2387"/>
        </row>
        <row r="2388">
          <cell r="C2388"/>
          <cell r="D2388"/>
        </row>
        <row r="2389">
          <cell r="C2389"/>
          <cell r="D2389"/>
        </row>
        <row r="2390">
          <cell r="C2390"/>
          <cell r="D2390"/>
        </row>
        <row r="2391">
          <cell r="C2391"/>
          <cell r="D2391"/>
        </row>
        <row r="2392">
          <cell r="C2392"/>
          <cell r="D2392"/>
        </row>
        <row r="2393">
          <cell r="C2393"/>
          <cell r="D2393"/>
        </row>
        <row r="2394">
          <cell r="C2394"/>
          <cell r="D2394"/>
        </row>
        <row r="2395">
          <cell r="C2395"/>
          <cell r="D2395"/>
        </row>
        <row r="2396">
          <cell r="C2396"/>
          <cell r="D2396"/>
        </row>
        <row r="2397">
          <cell r="C2397"/>
          <cell r="D2397"/>
        </row>
        <row r="2398">
          <cell r="C2398"/>
          <cell r="D2398"/>
        </row>
        <row r="2399">
          <cell r="C2399"/>
          <cell r="D2399"/>
        </row>
        <row r="2400">
          <cell r="C2400"/>
          <cell r="D2400"/>
        </row>
        <row r="2401">
          <cell r="C2401"/>
          <cell r="D2401"/>
        </row>
        <row r="2402">
          <cell r="C2402"/>
          <cell r="D2402"/>
        </row>
        <row r="2403">
          <cell r="C2403"/>
          <cell r="D2403"/>
        </row>
        <row r="2404">
          <cell r="C2404"/>
          <cell r="D2404"/>
        </row>
        <row r="2405">
          <cell r="C2405"/>
          <cell r="D2405"/>
        </row>
        <row r="2406">
          <cell r="C2406"/>
          <cell r="D2406"/>
        </row>
        <row r="2407">
          <cell r="C2407"/>
          <cell r="D2407"/>
        </row>
        <row r="2408">
          <cell r="C2408"/>
          <cell r="D2408"/>
        </row>
        <row r="2409">
          <cell r="C2409"/>
          <cell r="D2409"/>
        </row>
        <row r="2410">
          <cell r="C2410"/>
          <cell r="D2410"/>
        </row>
        <row r="2411">
          <cell r="C2411"/>
          <cell r="D2411"/>
        </row>
        <row r="2412">
          <cell r="C2412"/>
          <cell r="D2412"/>
        </row>
        <row r="2413">
          <cell r="C2413"/>
          <cell r="D2413"/>
        </row>
        <row r="2414">
          <cell r="C2414"/>
          <cell r="D2414"/>
        </row>
        <row r="2415">
          <cell r="C2415"/>
          <cell r="D2415"/>
        </row>
        <row r="2416">
          <cell r="C2416"/>
          <cell r="D2416"/>
        </row>
        <row r="2417">
          <cell r="C2417"/>
          <cell r="D2417"/>
        </row>
        <row r="2418">
          <cell r="C2418"/>
          <cell r="D2418"/>
        </row>
        <row r="2419">
          <cell r="C2419"/>
          <cell r="D2419"/>
        </row>
        <row r="2420">
          <cell r="C2420"/>
          <cell r="D2420"/>
        </row>
        <row r="2421">
          <cell r="C2421"/>
          <cell r="D2421"/>
        </row>
        <row r="2422">
          <cell r="C2422"/>
          <cell r="D2422"/>
        </row>
        <row r="2423">
          <cell r="C2423"/>
          <cell r="D2423"/>
        </row>
        <row r="2424">
          <cell r="C2424"/>
          <cell r="D2424"/>
        </row>
        <row r="2425">
          <cell r="C2425"/>
          <cell r="D2425"/>
        </row>
        <row r="2426">
          <cell r="C2426"/>
          <cell r="D2426"/>
        </row>
        <row r="2427">
          <cell r="C2427"/>
          <cell r="D2427"/>
        </row>
        <row r="2428">
          <cell r="C2428"/>
          <cell r="D2428"/>
        </row>
        <row r="2429">
          <cell r="C2429"/>
          <cell r="D2429"/>
        </row>
        <row r="2430">
          <cell r="C2430"/>
          <cell r="D2430"/>
        </row>
        <row r="2431">
          <cell r="C2431"/>
          <cell r="D2431"/>
        </row>
        <row r="2432">
          <cell r="C2432"/>
          <cell r="D2432"/>
        </row>
        <row r="2433">
          <cell r="C2433"/>
          <cell r="D2433"/>
        </row>
        <row r="2434">
          <cell r="C2434"/>
          <cell r="D2434"/>
        </row>
        <row r="2435">
          <cell r="C2435"/>
          <cell r="D2435"/>
        </row>
        <row r="2436">
          <cell r="C2436"/>
          <cell r="D2436"/>
        </row>
        <row r="2437">
          <cell r="C2437"/>
          <cell r="D2437"/>
        </row>
        <row r="2438">
          <cell r="C2438"/>
          <cell r="D2438"/>
        </row>
        <row r="2439">
          <cell r="C2439"/>
          <cell r="D2439"/>
        </row>
        <row r="2440">
          <cell r="C2440"/>
          <cell r="D2440"/>
        </row>
        <row r="2441">
          <cell r="C2441"/>
          <cell r="D2441"/>
        </row>
        <row r="2442">
          <cell r="C2442"/>
          <cell r="D2442"/>
        </row>
        <row r="2443">
          <cell r="C2443"/>
          <cell r="D2443"/>
        </row>
        <row r="2444">
          <cell r="C2444"/>
          <cell r="D2444"/>
        </row>
        <row r="2445">
          <cell r="C2445"/>
          <cell r="D2445"/>
        </row>
        <row r="2446">
          <cell r="C2446"/>
          <cell r="D2446"/>
        </row>
        <row r="2447">
          <cell r="C2447"/>
          <cell r="D2447"/>
        </row>
        <row r="2448">
          <cell r="C2448"/>
          <cell r="D2448"/>
        </row>
        <row r="2449">
          <cell r="C2449"/>
          <cell r="D2449"/>
        </row>
        <row r="2450">
          <cell r="C2450"/>
          <cell r="D2450"/>
        </row>
        <row r="2451">
          <cell r="C2451"/>
          <cell r="D2451"/>
        </row>
        <row r="2452">
          <cell r="C2452"/>
          <cell r="D2452"/>
        </row>
        <row r="2453">
          <cell r="C2453"/>
          <cell r="D2453"/>
        </row>
        <row r="2454">
          <cell r="C2454"/>
          <cell r="D2454"/>
        </row>
        <row r="2455">
          <cell r="C2455"/>
          <cell r="D2455"/>
        </row>
        <row r="2456">
          <cell r="C2456"/>
          <cell r="D2456"/>
        </row>
        <row r="2457">
          <cell r="C2457"/>
          <cell r="D2457"/>
        </row>
        <row r="2458">
          <cell r="C2458"/>
          <cell r="D2458"/>
        </row>
        <row r="2459">
          <cell r="C2459"/>
          <cell r="D2459"/>
        </row>
        <row r="2460">
          <cell r="C2460"/>
          <cell r="D2460"/>
        </row>
        <row r="2461">
          <cell r="C2461"/>
          <cell r="D2461"/>
        </row>
        <row r="2462">
          <cell r="C2462"/>
          <cell r="D2462"/>
        </row>
        <row r="2463">
          <cell r="C2463"/>
          <cell r="D2463"/>
        </row>
        <row r="2464">
          <cell r="C2464"/>
          <cell r="D2464"/>
        </row>
        <row r="2465">
          <cell r="C2465"/>
          <cell r="D2465"/>
        </row>
        <row r="2466">
          <cell r="C2466"/>
          <cell r="D2466"/>
        </row>
        <row r="2467">
          <cell r="C2467"/>
          <cell r="D2467"/>
        </row>
        <row r="2468">
          <cell r="C2468"/>
          <cell r="D2468"/>
        </row>
        <row r="2469">
          <cell r="C2469"/>
          <cell r="D2469"/>
        </row>
        <row r="2470">
          <cell r="C2470"/>
          <cell r="D2470"/>
        </row>
        <row r="2471">
          <cell r="C2471"/>
          <cell r="D2471"/>
        </row>
        <row r="2472">
          <cell r="C2472"/>
          <cell r="D2472"/>
        </row>
        <row r="2473">
          <cell r="C2473"/>
          <cell r="D2473"/>
        </row>
        <row r="2474">
          <cell r="C2474"/>
          <cell r="D2474"/>
        </row>
        <row r="2475">
          <cell r="C2475"/>
          <cell r="D2475"/>
        </row>
        <row r="2476">
          <cell r="C2476"/>
          <cell r="D2476"/>
        </row>
        <row r="2477">
          <cell r="C2477"/>
          <cell r="D2477"/>
        </row>
        <row r="2478">
          <cell r="C2478"/>
          <cell r="D2478"/>
        </row>
        <row r="2479">
          <cell r="C2479"/>
          <cell r="D2479"/>
        </row>
        <row r="2480">
          <cell r="C2480"/>
          <cell r="D2480"/>
        </row>
        <row r="2481">
          <cell r="C2481"/>
          <cell r="D2481"/>
        </row>
        <row r="2482">
          <cell r="C2482"/>
          <cell r="D2482"/>
        </row>
        <row r="2483">
          <cell r="C2483"/>
          <cell r="D2483"/>
        </row>
        <row r="2484">
          <cell r="C2484"/>
          <cell r="D2484"/>
        </row>
        <row r="2485">
          <cell r="C2485"/>
          <cell r="D2485"/>
        </row>
        <row r="2486">
          <cell r="C2486"/>
          <cell r="D2486"/>
        </row>
        <row r="2487">
          <cell r="C2487"/>
          <cell r="D2487"/>
        </row>
        <row r="2488">
          <cell r="C2488"/>
          <cell r="D2488"/>
        </row>
        <row r="2489">
          <cell r="C2489"/>
          <cell r="D2489"/>
        </row>
        <row r="2490">
          <cell r="C2490"/>
          <cell r="D2490"/>
        </row>
        <row r="2491">
          <cell r="C2491"/>
          <cell r="D2491"/>
        </row>
        <row r="2492">
          <cell r="C2492"/>
          <cell r="D2492"/>
        </row>
        <row r="2493">
          <cell r="C2493"/>
          <cell r="D2493"/>
        </row>
        <row r="2494">
          <cell r="C2494"/>
          <cell r="D2494"/>
        </row>
        <row r="2495">
          <cell r="C2495"/>
          <cell r="D2495"/>
        </row>
        <row r="2496">
          <cell r="C2496"/>
          <cell r="D2496"/>
        </row>
        <row r="2497">
          <cell r="C2497"/>
          <cell r="D2497"/>
        </row>
        <row r="2498">
          <cell r="C2498"/>
          <cell r="D2498"/>
        </row>
        <row r="2499">
          <cell r="C2499"/>
          <cell r="D2499"/>
        </row>
        <row r="2500">
          <cell r="C2500"/>
          <cell r="D2500"/>
        </row>
        <row r="2501">
          <cell r="C2501"/>
          <cell r="D2501"/>
        </row>
        <row r="2502">
          <cell r="C2502"/>
          <cell r="D2502"/>
        </row>
        <row r="2503">
          <cell r="C2503"/>
          <cell r="D2503"/>
        </row>
        <row r="2504">
          <cell r="C2504"/>
          <cell r="D2504"/>
        </row>
        <row r="2505">
          <cell r="C2505"/>
          <cell r="D2505"/>
        </row>
        <row r="2506">
          <cell r="C2506"/>
          <cell r="D2506"/>
        </row>
        <row r="2507">
          <cell r="C2507"/>
          <cell r="D2507"/>
        </row>
        <row r="2508">
          <cell r="C2508"/>
          <cell r="D2508"/>
        </row>
        <row r="2509">
          <cell r="C2509"/>
          <cell r="D2509"/>
        </row>
        <row r="2510">
          <cell r="C2510"/>
          <cell r="D2510"/>
        </row>
        <row r="2511">
          <cell r="C2511"/>
          <cell r="D2511"/>
        </row>
        <row r="2512">
          <cell r="C2512"/>
          <cell r="D2512"/>
        </row>
        <row r="2513">
          <cell r="C2513"/>
          <cell r="D2513"/>
        </row>
        <row r="2514">
          <cell r="C2514"/>
          <cell r="D2514"/>
        </row>
        <row r="2515">
          <cell r="C2515"/>
          <cell r="D2515"/>
        </row>
        <row r="2516">
          <cell r="C2516"/>
          <cell r="D2516"/>
        </row>
        <row r="2517">
          <cell r="C2517"/>
          <cell r="D2517"/>
        </row>
        <row r="2518">
          <cell r="C2518"/>
          <cell r="D2518"/>
        </row>
        <row r="2519">
          <cell r="C2519"/>
          <cell r="D2519"/>
        </row>
        <row r="2520">
          <cell r="C2520"/>
          <cell r="D2520"/>
        </row>
        <row r="2521">
          <cell r="C2521"/>
          <cell r="D2521"/>
        </row>
        <row r="2522">
          <cell r="C2522"/>
          <cell r="D2522"/>
        </row>
        <row r="2523">
          <cell r="C2523"/>
          <cell r="D2523"/>
        </row>
        <row r="2524">
          <cell r="C2524"/>
          <cell r="D2524"/>
        </row>
        <row r="2525">
          <cell r="C2525"/>
          <cell r="D2525"/>
        </row>
        <row r="2526">
          <cell r="C2526"/>
          <cell r="D2526"/>
        </row>
        <row r="2527">
          <cell r="C2527"/>
          <cell r="D2527"/>
        </row>
        <row r="2528">
          <cell r="C2528"/>
          <cell r="D2528"/>
        </row>
        <row r="2529">
          <cell r="C2529"/>
          <cell r="D2529"/>
        </row>
        <row r="2530">
          <cell r="C2530"/>
          <cell r="D2530"/>
        </row>
        <row r="2531">
          <cell r="C2531"/>
          <cell r="D2531"/>
        </row>
        <row r="2532">
          <cell r="C2532"/>
          <cell r="D2532"/>
        </row>
        <row r="2533">
          <cell r="C2533"/>
          <cell r="D2533"/>
        </row>
        <row r="2534">
          <cell r="C2534"/>
          <cell r="D2534"/>
        </row>
        <row r="2535">
          <cell r="C2535"/>
          <cell r="D2535"/>
        </row>
        <row r="2536">
          <cell r="C2536"/>
          <cell r="D2536"/>
        </row>
        <row r="2537">
          <cell r="C2537"/>
          <cell r="D2537"/>
        </row>
        <row r="2538">
          <cell r="C2538"/>
          <cell r="D2538"/>
        </row>
        <row r="2539">
          <cell r="C2539"/>
          <cell r="D2539"/>
        </row>
        <row r="2540">
          <cell r="C2540"/>
          <cell r="D2540"/>
        </row>
        <row r="2541">
          <cell r="C2541"/>
          <cell r="D2541"/>
        </row>
        <row r="2542">
          <cell r="C2542"/>
          <cell r="D2542"/>
        </row>
        <row r="2543">
          <cell r="C2543"/>
          <cell r="D2543"/>
        </row>
        <row r="2544">
          <cell r="C2544"/>
          <cell r="D2544"/>
        </row>
        <row r="2545">
          <cell r="C2545"/>
          <cell r="D2545"/>
        </row>
        <row r="2546">
          <cell r="C2546"/>
          <cell r="D2546"/>
        </row>
        <row r="2547">
          <cell r="C2547"/>
          <cell r="D2547"/>
        </row>
        <row r="2548">
          <cell r="C2548"/>
          <cell r="D2548"/>
        </row>
        <row r="2549">
          <cell r="C2549"/>
          <cell r="D2549"/>
        </row>
        <row r="2550">
          <cell r="C2550"/>
          <cell r="D2550"/>
        </row>
        <row r="2551">
          <cell r="C2551"/>
          <cell r="D2551"/>
        </row>
        <row r="2552">
          <cell r="C2552"/>
          <cell r="D2552"/>
        </row>
        <row r="2553">
          <cell r="C2553"/>
          <cell r="D2553"/>
        </row>
        <row r="2554">
          <cell r="C2554"/>
          <cell r="D2554"/>
        </row>
        <row r="2555">
          <cell r="C2555"/>
          <cell r="D2555"/>
        </row>
        <row r="2556">
          <cell r="C2556"/>
          <cell r="D2556"/>
        </row>
        <row r="2557">
          <cell r="C2557"/>
          <cell r="D2557"/>
        </row>
        <row r="2558">
          <cell r="C2558"/>
          <cell r="D2558"/>
        </row>
        <row r="2559">
          <cell r="C2559"/>
          <cell r="D2559"/>
        </row>
        <row r="2560">
          <cell r="C2560"/>
          <cell r="D2560"/>
        </row>
        <row r="2561">
          <cell r="C2561"/>
          <cell r="D2561"/>
        </row>
        <row r="2562">
          <cell r="C2562"/>
          <cell r="D2562"/>
        </row>
        <row r="2563">
          <cell r="C2563"/>
          <cell r="D2563"/>
        </row>
        <row r="2564">
          <cell r="C2564"/>
          <cell r="D2564"/>
        </row>
        <row r="2565">
          <cell r="C2565"/>
          <cell r="D2565"/>
        </row>
        <row r="2566">
          <cell r="C2566"/>
          <cell r="D2566"/>
        </row>
        <row r="2567">
          <cell r="C2567"/>
          <cell r="D2567"/>
        </row>
        <row r="2568">
          <cell r="C2568"/>
          <cell r="D2568"/>
        </row>
        <row r="2569">
          <cell r="C2569"/>
          <cell r="D2569"/>
        </row>
        <row r="2570">
          <cell r="C2570"/>
          <cell r="D2570"/>
        </row>
        <row r="2571">
          <cell r="C2571"/>
          <cell r="D2571"/>
        </row>
        <row r="2572">
          <cell r="C2572"/>
          <cell r="D2572"/>
        </row>
        <row r="2573">
          <cell r="C2573"/>
          <cell r="D2573"/>
        </row>
        <row r="2574">
          <cell r="C2574"/>
          <cell r="D2574"/>
        </row>
        <row r="2575">
          <cell r="C2575"/>
          <cell r="D2575"/>
        </row>
        <row r="2576">
          <cell r="C2576"/>
          <cell r="D2576"/>
        </row>
        <row r="2577">
          <cell r="C2577"/>
          <cell r="D2577"/>
        </row>
        <row r="2578">
          <cell r="C2578"/>
          <cell r="D2578"/>
        </row>
        <row r="2579">
          <cell r="C2579"/>
          <cell r="D2579"/>
        </row>
        <row r="2580">
          <cell r="C2580"/>
          <cell r="D2580"/>
        </row>
        <row r="2581">
          <cell r="C2581"/>
          <cell r="D2581"/>
        </row>
        <row r="2582">
          <cell r="C2582"/>
          <cell r="D2582"/>
        </row>
        <row r="2583">
          <cell r="C2583"/>
          <cell r="D2583"/>
        </row>
        <row r="2584">
          <cell r="C2584"/>
          <cell r="D2584"/>
        </row>
        <row r="2585">
          <cell r="C2585"/>
          <cell r="D2585"/>
        </row>
        <row r="2586">
          <cell r="C2586"/>
          <cell r="D2586"/>
        </row>
        <row r="2587">
          <cell r="C2587"/>
          <cell r="D2587"/>
        </row>
        <row r="2588">
          <cell r="C2588"/>
          <cell r="D2588"/>
        </row>
        <row r="2589">
          <cell r="C2589"/>
          <cell r="D2589"/>
        </row>
        <row r="2590">
          <cell r="C2590"/>
          <cell r="D2590"/>
        </row>
        <row r="2591">
          <cell r="C2591"/>
          <cell r="D2591"/>
        </row>
        <row r="2592">
          <cell r="C2592"/>
          <cell r="D2592"/>
        </row>
        <row r="2593">
          <cell r="C2593"/>
          <cell r="D2593"/>
        </row>
        <row r="2594">
          <cell r="C2594"/>
          <cell r="D2594"/>
        </row>
        <row r="2595">
          <cell r="C2595"/>
          <cell r="D2595"/>
        </row>
        <row r="2596">
          <cell r="C2596"/>
          <cell r="D2596"/>
        </row>
        <row r="2597">
          <cell r="C2597"/>
          <cell r="D2597"/>
        </row>
        <row r="2598">
          <cell r="C2598"/>
          <cell r="D2598"/>
        </row>
        <row r="2599">
          <cell r="C2599"/>
          <cell r="D2599"/>
        </row>
        <row r="2600">
          <cell r="C2600"/>
          <cell r="D2600"/>
        </row>
        <row r="2601">
          <cell r="C2601"/>
          <cell r="D2601"/>
        </row>
        <row r="2602">
          <cell r="C2602"/>
          <cell r="D2602"/>
        </row>
        <row r="2603">
          <cell r="C2603"/>
          <cell r="D2603"/>
        </row>
        <row r="2604">
          <cell r="C2604"/>
          <cell r="D2604"/>
        </row>
        <row r="2605">
          <cell r="C2605"/>
          <cell r="D2605"/>
        </row>
        <row r="2606">
          <cell r="C2606"/>
          <cell r="D2606"/>
        </row>
        <row r="2607">
          <cell r="C2607"/>
          <cell r="D2607"/>
        </row>
        <row r="2608">
          <cell r="C2608"/>
          <cell r="D2608"/>
        </row>
        <row r="2609">
          <cell r="C2609"/>
          <cell r="D2609"/>
        </row>
        <row r="2610">
          <cell r="C2610"/>
          <cell r="D2610"/>
        </row>
        <row r="2611">
          <cell r="C2611"/>
          <cell r="D2611"/>
        </row>
        <row r="2612">
          <cell r="C2612"/>
          <cell r="D2612"/>
        </row>
        <row r="2613">
          <cell r="C2613"/>
          <cell r="D2613"/>
        </row>
        <row r="2614">
          <cell r="C2614"/>
          <cell r="D2614"/>
        </row>
        <row r="2615">
          <cell r="C2615"/>
          <cell r="D2615"/>
        </row>
        <row r="2616">
          <cell r="C2616"/>
          <cell r="D2616"/>
        </row>
        <row r="2617">
          <cell r="C2617"/>
          <cell r="D2617"/>
        </row>
        <row r="2618">
          <cell r="C2618"/>
          <cell r="D2618"/>
        </row>
        <row r="2619">
          <cell r="C2619"/>
          <cell r="D2619"/>
        </row>
        <row r="2620">
          <cell r="C2620"/>
          <cell r="D2620"/>
        </row>
        <row r="2621">
          <cell r="C2621"/>
          <cell r="D2621"/>
        </row>
        <row r="2622">
          <cell r="C2622"/>
          <cell r="D2622"/>
        </row>
        <row r="2623">
          <cell r="C2623"/>
          <cell r="D2623"/>
        </row>
        <row r="2624">
          <cell r="C2624"/>
          <cell r="D2624"/>
        </row>
        <row r="2625">
          <cell r="C2625"/>
          <cell r="D2625"/>
        </row>
        <row r="2626">
          <cell r="C2626"/>
          <cell r="D2626"/>
        </row>
        <row r="2627">
          <cell r="C2627"/>
          <cell r="D2627"/>
        </row>
        <row r="2628">
          <cell r="C2628"/>
          <cell r="D2628"/>
        </row>
        <row r="2629">
          <cell r="C2629"/>
          <cell r="D2629"/>
        </row>
        <row r="2630">
          <cell r="C2630"/>
          <cell r="D2630"/>
        </row>
        <row r="2631">
          <cell r="C2631"/>
          <cell r="D2631"/>
        </row>
        <row r="2632">
          <cell r="C2632"/>
          <cell r="D2632"/>
        </row>
        <row r="2633">
          <cell r="C2633"/>
          <cell r="D2633"/>
        </row>
        <row r="2634">
          <cell r="C2634"/>
          <cell r="D2634"/>
        </row>
        <row r="2635">
          <cell r="C2635"/>
          <cell r="D2635"/>
        </row>
        <row r="2636">
          <cell r="C2636"/>
          <cell r="D2636"/>
        </row>
        <row r="2637">
          <cell r="C2637"/>
          <cell r="D2637"/>
        </row>
        <row r="2638">
          <cell r="C2638"/>
          <cell r="D2638"/>
        </row>
        <row r="2639">
          <cell r="C2639"/>
          <cell r="D2639"/>
        </row>
        <row r="2640">
          <cell r="C2640"/>
          <cell r="D2640"/>
        </row>
        <row r="2641">
          <cell r="C2641"/>
          <cell r="D2641"/>
        </row>
        <row r="2642">
          <cell r="C2642"/>
          <cell r="D2642"/>
        </row>
        <row r="2643">
          <cell r="C2643"/>
          <cell r="D2643"/>
        </row>
        <row r="2644">
          <cell r="C2644"/>
          <cell r="D2644"/>
        </row>
        <row r="2645">
          <cell r="C2645"/>
          <cell r="D2645"/>
        </row>
        <row r="2646">
          <cell r="C2646"/>
          <cell r="D2646"/>
        </row>
        <row r="2647">
          <cell r="C2647"/>
          <cell r="D2647"/>
        </row>
        <row r="2648">
          <cell r="C2648"/>
          <cell r="D2648"/>
        </row>
        <row r="2649">
          <cell r="C2649"/>
          <cell r="D2649"/>
        </row>
        <row r="2650">
          <cell r="C2650"/>
          <cell r="D2650"/>
        </row>
        <row r="2651">
          <cell r="C2651"/>
          <cell r="D2651"/>
        </row>
        <row r="2652">
          <cell r="C2652"/>
          <cell r="D2652"/>
        </row>
        <row r="2653">
          <cell r="C2653"/>
          <cell r="D2653"/>
        </row>
        <row r="2654">
          <cell r="C2654"/>
          <cell r="D2654"/>
        </row>
        <row r="2655">
          <cell r="C2655"/>
          <cell r="D2655"/>
        </row>
        <row r="2656">
          <cell r="C2656"/>
          <cell r="D2656"/>
        </row>
        <row r="2657">
          <cell r="C2657"/>
          <cell r="D2657"/>
        </row>
        <row r="2658">
          <cell r="C2658"/>
          <cell r="D2658"/>
        </row>
        <row r="2659">
          <cell r="C2659"/>
          <cell r="D2659"/>
        </row>
        <row r="2660">
          <cell r="C2660"/>
          <cell r="D2660"/>
        </row>
        <row r="2661">
          <cell r="C2661"/>
          <cell r="D2661"/>
        </row>
        <row r="2662">
          <cell r="C2662"/>
          <cell r="D2662"/>
        </row>
        <row r="2663">
          <cell r="C2663"/>
          <cell r="D2663"/>
        </row>
        <row r="2664">
          <cell r="C2664"/>
          <cell r="D2664"/>
        </row>
        <row r="2665">
          <cell r="C2665"/>
          <cell r="D2665"/>
        </row>
        <row r="2666">
          <cell r="C2666"/>
          <cell r="D2666"/>
        </row>
        <row r="2667">
          <cell r="C2667"/>
          <cell r="D2667"/>
        </row>
        <row r="2668">
          <cell r="C2668"/>
          <cell r="D2668"/>
        </row>
        <row r="2669">
          <cell r="C2669"/>
          <cell r="D2669"/>
        </row>
        <row r="2670">
          <cell r="C2670"/>
          <cell r="D2670"/>
        </row>
        <row r="2671">
          <cell r="C2671"/>
          <cell r="D2671"/>
        </row>
        <row r="2672">
          <cell r="C2672"/>
          <cell r="D2672"/>
        </row>
        <row r="2673">
          <cell r="C2673"/>
          <cell r="D2673"/>
        </row>
        <row r="2674">
          <cell r="C2674"/>
          <cell r="D2674"/>
        </row>
        <row r="2675">
          <cell r="C2675"/>
          <cell r="D2675"/>
        </row>
        <row r="2676">
          <cell r="C2676"/>
          <cell r="D2676"/>
        </row>
        <row r="2677">
          <cell r="C2677"/>
          <cell r="D2677"/>
        </row>
        <row r="2678">
          <cell r="C2678"/>
          <cell r="D2678"/>
        </row>
        <row r="2679">
          <cell r="C2679"/>
          <cell r="D2679"/>
        </row>
        <row r="2680">
          <cell r="C2680"/>
          <cell r="D2680"/>
        </row>
        <row r="2681">
          <cell r="C2681"/>
          <cell r="D2681"/>
        </row>
        <row r="2682">
          <cell r="C2682"/>
          <cell r="D2682"/>
        </row>
        <row r="2683">
          <cell r="C2683"/>
          <cell r="D2683"/>
        </row>
        <row r="2684">
          <cell r="C2684"/>
          <cell r="D2684"/>
        </row>
        <row r="2685">
          <cell r="C2685"/>
          <cell r="D2685"/>
        </row>
        <row r="2686">
          <cell r="C2686"/>
          <cell r="D2686"/>
        </row>
        <row r="2687">
          <cell r="C2687"/>
          <cell r="D2687"/>
        </row>
        <row r="2688">
          <cell r="C2688"/>
          <cell r="D2688"/>
        </row>
        <row r="2689">
          <cell r="C2689"/>
          <cell r="D2689"/>
        </row>
        <row r="2690">
          <cell r="C2690"/>
          <cell r="D2690"/>
        </row>
        <row r="2691">
          <cell r="C2691"/>
          <cell r="D2691"/>
        </row>
        <row r="2692">
          <cell r="C2692"/>
          <cell r="D2692"/>
        </row>
        <row r="2693">
          <cell r="C2693"/>
          <cell r="D2693"/>
        </row>
        <row r="2694">
          <cell r="C2694"/>
          <cell r="D2694"/>
        </row>
        <row r="2695">
          <cell r="C2695"/>
          <cell r="D2695"/>
        </row>
        <row r="2696">
          <cell r="C2696"/>
          <cell r="D2696"/>
        </row>
        <row r="2697">
          <cell r="C2697"/>
          <cell r="D2697"/>
        </row>
        <row r="2698">
          <cell r="C2698"/>
          <cell r="D2698"/>
        </row>
        <row r="2699">
          <cell r="C2699"/>
          <cell r="D2699"/>
        </row>
        <row r="2700">
          <cell r="C2700"/>
          <cell r="D2700"/>
        </row>
        <row r="2701">
          <cell r="C2701"/>
          <cell r="D2701"/>
        </row>
        <row r="2702">
          <cell r="C2702"/>
          <cell r="D2702"/>
        </row>
        <row r="2703">
          <cell r="C2703"/>
          <cell r="D2703"/>
        </row>
        <row r="2704">
          <cell r="C2704"/>
          <cell r="D2704"/>
        </row>
        <row r="2705">
          <cell r="C2705"/>
          <cell r="D2705"/>
        </row>
        <row r="2706">
          <cell r="C2706"/>
          <cell r="D2706"/>
        </row>
        <row r="2707">
          <cell r="C2707"/>
          <cell r="D2707"/>
        </row>
        <row r="2708">
          <cell r="C2708"/>
          <cell r="D2708"/>
        </row>
        <row r="2709">
          <cell r="C2709"/>
          <cell r="D2709"/>
        </row>
        <row r="2710">
          <cell r="C2710"/>
          <cell r="D2710"/>
        </row>
        <row r="2711">
          <cell r="C2711"/>
          <cell r="D2711"/>
        </row>
        <row r="2712">
          <cell r="C2712"/>
          <cell r="D2712"/>
        </row>
        <row r="2713">
          <cell r="C2713"/>
          <cell r="D2713"/>
        </row>
        <row r="2714">
          <cell r="C2714"/>
          <cell r="D2714"/>
        </row>
        <row r="2715">
          <cell r="C2715"/>
          <cell r="D2715"/>
        </row>
        <row r="2716">
          <cell r="C2716"/>
          <cell r="D2716"/>
        </row>
        <row r="2717">
          <cell r="C2717"/>
          <cell r="D2717"/>
        </row>
        <row r="2718">
          <cell r="C2718"/>
          <cell r="D2718"/>
        </row>
        <row r="2719">
          <cell r="C2719"/>
          <cell r="D2719"/>
        </row>
        <row r="2720">
          <cell r="C2720"/>
          <cell r="D2720"/>
        </row>
        <row r="2721">
          <cell r="C2721"/>
          <cell r="D2721"/>
        </row>
        <row r="2722">
          <cell r="C2722"/>
          <cell r="D2722"/>
        </row>
        <row r="2723">
          <cell r="C2723"/>
          <cell r="D2723"/>
        </row>
        <row r="2724">
          <cell r="C2724"/>
          <cell r="D2724"/>
        </row>
        <row r="2725">
          <cell r="C2725"/>
          <cell r="D2725"/>
        </row>
        <row r="2726">
          <cell r="C2726"/>
          <cell r="D2726"/>
        </row>
        <row r="2727">
          <cell r="A2727"/>
          <cell r="C2727"/>
          <cell r="D2727"/>
        </row>
        <row r="2728">
          <cell r="A2728"/>
          <cell r="C2728"/>
          <cell r="D2728"/>
        </row>
        <row r="2729">
          <cell r="C2729"/>
          <cell r="D2729"/>
        </row>
        <row r="2730">
          <cell r="C2730"/>
          <cell r="D2730"/>
        </row>
        <row r="2731">
          <cell r="C2731"/>
          <cell r="D2731"/>
        </row>
        <row r="2732">
          <cell r="C2732"/>
          <cell r="D2732"/>
        </row>
        <row r="2733">
          <cell r="C2733"/>
          <cell r="D2733"/>
        </row>
        <row r="2734">
          <cell r="C2734"/>
          <cell r="D2734"/>
        </row>
        <row r="2735">
          <cell r="C2735"/>
          <cell r="D2735"/>
        </row>
        <row r="2736">
          <cell r="C2736"/>
          <cell r="D2736"/>
        </row>
        <row r="2737">
          <cell r="C2737"/>
          <cell r="D2737"/>
        </row>
        <row r="2738">
          <cell r="C2738"/>
          <cell r="D2738"/>
        </row>
        <row r="2739">
          <cell r="C2739"/>
          <cell r="D2739"/>
        </row>
        <row r="2740">
          <cell r="C2740"/>
          <cell r="D2740"/>
        </row>
        <row r="2741">
          <cell r="B2741"/>
          <cell r="C2741"/>
          <cell r="D2741"/>
        </row>
        <row r="2742">
          <cell r="B2742"/>
          <cell r="C2742"/>
          <cell r="D2742"/>
        </row>
        <row r="2743">
          <cell r="C2743"/>
          <cell r="D2743"/>
        </row>
        <row r="2744">
          <cell r="C2744"/>
          <cell r="D2744"/>
        </row>
        <row r="2745">
          <cell r="C2745"/>
          <cell r="D2745"/>
        </row>
        <row r="2746">
          <cell r="C2746"/>
          <cell r="D2746"/>
        </row>
        <row r="2747">
          <cell r="C2747"/>
          <cell r="D2747"/>
        </row>
        <row r="2748">
          <cell r="C2748"/>
          <cell r="D2748"/>
        </row>
        <row r="2749">
          <cell r="C2749"/>
          <cell r="D2749"/>
        </row>
        <row r="2750">
          <cell r="C2750"/>
          <cell r="D2750"/>
        </row>
        <row r="2751">
          <cell r="C2751"/>
          <cell r="D2751"/>
        </row>
        <row r="2752">
          <cell r="C2752"/>
          <cell r="D2752"/>
        </row>
        <row r="2753">
          <cell r="C2753"/>
          <cell r="D2753"/>
        </row>
        <row r="2754">
          <cell r="C2754"/>
          <cell r="D2754"/>
        </row>
        <row r="2755">
          <cell r="C2755"/>
          <cell r="D2755"/>
        </row>
        <row r="2756">
          <cell r="C2756"/>
          <cell r="D2756"/>
        </row>
        <row r="2757">
          <cell r="C2757"/>
          <cell r="D2757"/>
        </row>
        <row r="2758">
          <cell r="C2758"/>
          <cell r="D2758"/>
        </row>
        <row r="2759">
          <cell r="C2759"/>
          <cell r="D2759"/>
        </row>
        <row r="2760">
          <cell r="C2760"/>
          <cell r="D2760"/>
        </row>
        <row r="2761">
          <cell r="C2761"/>
          <cell r="D2761"/>
        </row>
        <row r="2762">
          <cell r="C2762"/>
          <cell r="D2762"/>
        </row>
        <row r="2763">
          <cell r="C2763"/>
          <cell r="D2763"/>
        </row>
        <row r="2764">
          <cell r="C2764"/>
          <cell r="D2764"/>
        </row>
        <row r="2765">
          <cell r="C2765"/>
          <cell r="D2765"/>
        </row>
        <row r="2766">
          <cell r="C2766"/>
          <cell r="D2766"/>
        </row>
        <row r="2767">
          <cell r="C2767"/>
          <cell r="D2767"/>
        </row>
        <row r="2768">
          <cell r="C2768"/>
          <cell r="D2768"/>
        </row>
        <row r="2769">
          <cell r="C2769"/>
          <cell r="D2769"/>
        </row>
        <row r="2770">
          <cell r="C2770"/>
          <cell r="D2770"/>
        </row>
        <row r="2771">
          <cell r="C2771"/>
          <cell r="D2771"/>
        </row>
        <row r="2772">
          <cell r="C2772"/>
          <cell r="D2772"/>
        </row>
        <row r="2773">
          <cell r="C2773"/>
          <cell r="D2773"/>
        </row>
        <row r="2774">
          <cell r="C2774"/>
          <cell r="D2774"/>
        </row>
        <row r="2775">
          <cell r="C2775"/>
          <cell r="D2775"/>
        </row>
        <row r="2776">
          <cell r="C2776"/>
          <cell r="D2776"/>
        </row>
        <row r="2777">
          <cell r="C2777"/>
          <cell r="D2777"/>
        </row>
        <row r="2778">
          <cell r="C2778"/>
          <cell r="D2778"/>
        </row>
        <row r="2779">
          <cell r="C2779"/>
          <cell r="D2779"/>
        </row>
        <row r="2780">
          <cell r="C2780"/>
          <cell r="D2780"/>
        </row>
        <row r="2781">
          <cell r="C2781"/>
          <cell r="D2781"/>
        </row>
        <row r="2782">
          <cell r="C2782"/>
          <cell r="D2782"/>
        </row>
        <row r="2783">
          <cell r="C2783"/>
          <cell r="D2783"/>
        </row>
        <row r="2784">
          <cell r="C2784"/>
          <cell r="D2784"/>
        </row>
        <row r="2785">
          <cell r="C2785"/>
          <cell r="D2785"/>
        </row>
        <row r="2786">
          <cell r="C2786"/>
          <cell r="D2786"/>
        </row>
        <row r="2787">
          <cell r="C2787"/>
          <cell r="D2787"/>
        </row>
        <row r="2788">
          <cell r="C2788"/>
          <cell r="D2788"/>
        </row>
        <row r="2789">
          <cell r="C2789"/>
          <cell r="D2789"/>
        </row>
        <row r="2790">
          <cell r="C2790"/>
          <cell r="D2790"/>
        </row>
        <row r="2791">
          <cell r="C2791"/>
          <cell r="D2791"/>
        </row>
        <row r="2792">
          <cell r="C2792"/>
          <cell r="D2792"/>
        </row>
        <row r="2793">
          <cell r="C2793"/>
          <cell r="D2793"/>
        </row>
        <row r="2794">
          <cell r="C2794"/>
          <cell r="D2794"/>
        </row>
        <row r="2795">
          <cell r="C2795"/>
          <cell r="D2795"/>
        </row>
        <row r="2796">
          <cell r="C2796"/>
          <cell r="D2796"/>
        </row>
        <row r="2797">
          <cell r="C2797"/>
          <cell r="D2797"/>
        </row>
        <row r="2798">
          <cell r="C2798"/>
          <cell r="D2798"/>
        </row>
        <row r="2799">
          <cell r="C2799"/>
          <cell r="D2799"/>
        </row>
        <row r="2800">
          <cell r="C2800"/>
          <cell r="D2800"/>
        </row>
        <row r="2801">
          <cell r="C2801"/>
          <cell r="D2801"/>
        </row>
        <row r="2802">
          <cell r="C2802"/>
          <cell r="D2802"/>
        </row>
        <row r="2803">
          <cell r="C2803"/>
          <cell r="D2803"/>
        </row>
        <row r="2804">
          <cell r="C2804"/>
          <cell r="D2804"/>
        </row>
        <row r="2805">
          <cell r="C2805"/>
          <cell r="D2805"/>
        </row>
        <row r="2806">
          <cell r="C2806"/>
          <cell r="D2806"/>
        </row>
        <row r="2807">
          <cell r="C2807"/>
          <cell r="D2807"/>
        </row>
        <row r="2808">
          <cell r="C2808"/>
          <cell r="D2808"/>
        </row>
        <row r="2809">
          <cell r="C2809"/>
          <cell r="D2809"/>
        </row>
        <row r="2810">
          <cell r="C2810"/>
          <cell r="D2810"/>
        </row>
        <row r="2811">
          <cell r="C2811"/>
          <cell r="D2811"/>
        </row>
        <row r="2812">
          <cell r="C2812"/>
          <cell r="D2812"/>
        </row>
        <row r="2813">
          <cell r="C2813"/>
          <cell r="D2813"/>
        </row>
        <row r="2814">
          <cell r="C2814"/>
          <cell r="D2814"/>
        </row>
        <row r="2815">
          <cell r="C2815"/>
          <cell r="D2815"/>
        </row>
        <row r="2816">
          <cell r="C2816"/>
          <cell r="D2816"/>
        </row>
        <row r="2817">
          <cell r="C2817"/>
          <cell r="D2817"/>
        </row>
        <row r="2818">
          <cell r="C2818"/>
          <cell r="D2818"/>
        </row>
        <row r="2819">
          <cell r="C2819"/>
          <cell r="D2819"/>
        </row>
        <row r="2820">
          <cell r="C2820"/>
          <cell r="D2820"/>
        </row>
        <row r="2821">
          <cell r="C2821"/>
          <cell r="D2821"/>
        </row>
        <row r="2822">
          <cell r="C2822"/>
          <cell r="D2822"/>
        </row>
        <row r="2823">
          <cell r="C2823"/>
          <cell r="D2823"/>
        </row>
        <row r="2824">
          <cell r="C2824"/>
          <cell r="D2824"/>
        </row>
        <row r="2825">
          <cell r="C2825"/>
          <cell r="D2825"/>
        </row>
        <row r="2826">
          <cell r="C2826"/>
          <cell r="D2826"/>
        </row>
        <row r="2827">
          <cell r="C2827"/>
          <cell r="D2827"/>
        </row>
        <row r="2828">
          <cell r="C2828"/>
          <cell r="D2828"/>
        </row>
        <row r="2829">
          <cell r="C2829"/>
          <cell r="D2829"/>
        </row>
        <row r="2830">
          <cell r="C2830"/>
          <cell r="D2830"/>
        </row>
        <row r="2831">
          <cell r="C2831"/>
          <cell r="D2831"/>
        </row>
        <row r="2832">
          <cell r="C2832"/>
          <cell r="D2832"/>
        </row>
        <row r="2833">
          <cell r="C2833"/>
          <cell r="D2833"/>
        </row>
        <row r="2834">
          <cell r="C2834"/>
          <cell r="D2834"/>
        </row>
        <row r="2835">
          <cell r="C2835"/>
          <cell r="D2835"/>
        </row>
        <row r="2836">
          <cell r="C2836"/>
          <cell r="D2836"/>
        </row>
        <row r="2837">
          <cell r="C2837"/>
          <cell r="D2837"/>
        </row>
        <row r="2838">
          <cell r="C2838"/>
          <cell r="D2838"/>
        </row>
        <row r="2839">
          <cell r="C2839"/>
          <cell r="D2839"/>
        </row>
        <row r="2840">
          <cell r="C2840"/>
          <cell r="D2840"/>
        </row>
        <row r="2841">
          <cell r="C2841"/>
          <cell r="D2841"/>
        </row>
        <row r="2842">
          <cell r="C2842"/>
          <cell r="D2842"/>
        </row>
        <row r="2843">
          <cell r="C2843"/>
          <cell r="D2843"/>
        </row>
        <row r="2844">
          <cell r="C2844"/>
          <cell r="D2844"/>
        </row>
        <row r="2845">
          <cell r="C2845"/>
          <cell r="D2845"/>
        </row>
        <row r="2846">
          <cell r="C2846"/>
          <cell r="D2846"/>
        </row>
        <row r="2847">
          <cell r="C2847"/>
          <cell r="D2847"/>
        </row>
        <row r="2848">
          <cell r="C2848"/>
          <cell r="D2848"/>
        </row>
        <row r="2849">
          <cell r="C2849"/>
          <cell r="D2849"/>
        </row>
        <row r="2850">
          <cell r="C2850"/>
          <cell r="D2850"/>
        </row>
        <row r="2851">
          <cell r="C2851"/>
          <cell r="D2851"/>
        </row>
        <row r="2852">
          <cell r="C2852"/>
          <cell r="D2852"/>
        </row>
        <row r="2853">
          <cell r="C2853"/>
          <cell r="D2853"/>
        </row>
        <row r="2854">
          <cell r="C2854"/>
          <cell r="D2854"/>
        </row>
        <row r="2855">
          <cell r="C2855"/>
          <cell r="D2855"/>
        </row>
        <row r="2856">
          <cell r="C2856"/>
          <cell r="D2856"/>
        </row>
        <row r="2857">
          <cell r="C2857"/>
          <cell r="D2857"/>
        </row>
        <row r="2858">
          <cell r="C2858"/>
          <cell r="D2858"/>
        </row>
        <row r="2859">
          <cell r="C2859"/>
          <cell r="D2859"/>
        </row>
        <row r="2860">
          <cell r="C2860"/>
          <cell r="D2860"/>
        </row>
        <row r="2861">
          <cell r="C2861"/>
          <cell r="D2861"/>
        </row>
        <row r="2862">
          <cell r="C2862"/>
          <cell r="D2862"/>
        </row>
        <row r="2863">
          <cell r="C2863"/>
          <cell r="D2863"/>
        </row>
        <row r="2864">
          <cell r="C2864"/>
          <cell r="D2864"/>
        </row>
        <row r="2865">
          <cell r="C2865"/>
          <cell r="D2865"/>
        </row>
        <row r="2866">
          <cell r="C2866"/>
          <cell r="D2866"/>
        </row>
        <row r="2867">
          <cell r="C2867"/>
          <cell r="D2867"/>
        </row>
        <row r="2868">
          <cell r="C2868"/>
          <cell r="D2868"/>
        </row>
        <row r="2869">
          <cell r="C2869"/>
          <cell r="D2869"/>
        </row>
        <row r="2870">
          <cell r="C2870"/>
          <cell r="D2870"/>
        </row>
        <row r="2871">
          <cell r="C2871"/>
          <cell r="D2871"/>
        </row>
        <row r="2872">
          <cell r="C2872"/>
          <cell r="D2872"/>
        </row>
        <row r="2873">
          <cell r="C2873"/>
          <cell r="D2873"/>
        </row>
        <row r="2874">
          <cell r="C2874"/>
          <cell r="D2874"/>
        </row>
        <row r="2875">
          <cell r="C2875"/>
          <cell r="D2875"/>
        </row>
        <row r="2876">
          <cell r="C2876"/>
          <cell r="D2876"/>
        </row>
        <row r="2877">
          <cell r="C2877"/>
          <cell r="D2877"/>
        </row>
        <row r="2878">
          <cell r="C2878"/>
          <cell r="D2878"/>
        </row>
        <row r="2879">
          <cell r="C2879"/>
          <cell r="D2879"/>
        </row>
        <row r="2880">
          <cell r="C2880"/>
          <cell r="D2880"/>
        </row>
        <row r="2881">
          <cell r="C2881"/>
          <cell r="D2881"/>
        </row>
        <row r="2882">
          <cell r="C2882"/>
          <cell r="D2882"/>
        </row>
        <row r="2883">
          <cell r="C2883"/>
          <cell r="D2883"/>
        </row>
        <row r="2884">
          <cell r="C2884"/>
          <cell r="D2884"/>
        </row>
        <row r="2885">
          <cell r="C2885"/>
          <cell r="D2885"/>
        </row>
        <row r="2886">
          <cell r="C2886"/>
          <cell r="D2886"/>
        </row>
        <row r="2887">
          <cell r="C2887"/>
          <cell r="D2887"/>
        </row>
        <row r="2888">
          <cell r="C2888"/>
          <cell r="D2888"/>
        </row>
        <row r="2889">
          <cell r="C2889"/>
          <cell r="D2889"/>
        </row>
        <row r="2890">
          <cell r="C2890"/>
          <cell r="D2890"/>
        </row>
        <row r="2891">
          <cell r="C2891"/>
          <cell r="D2891"/>
        </row>
        <row r="2892">
          <cell r="C2892"/>
          <cell r="D2892"/>
        </row>
        <row r="2893">
          <cell r="C2893"/>
          <cell r="D2893"/>
        </row>
        <row r="2894">
          <cell r="C2894"/>
          <cell r="D2894"/>
        </row>
        <row r="2895">
          <cell r="C2895"/>
          <cell r="D2895"/>
        </row>
        <row r="2896">
          <cell r="C2896"/>
          <cell r="D2896"/>
        </row>
        <row r="2897">
          <cell r="C2897"/>
          <cell r="D2897"/>
        </row>
        <row r="2898">
          <cell r="C2898"/>
          <cell r="D2898"/>
        </row>
        <row r="2899">
          <cell r="C2899"/>
          <cell r="D2899"/>
        </row>
        <row r="2900">
          <cell r="C2900"/>
          <cell r="D2900"/>
        </row>
        <row r="2901">
          <cell r="C2901"/>
          <cell r="D2901"/>
        </row>
        <row r="2902">
          <cell r="C2902"/>
          <cell r="D2902"/>
        </row>
        <row r="2903">
          <cell r="C2903"/>
          <cell r="D2903"/>
        </row>
        <row r="2904">
          <cell r="C2904"/>
          <cell r="D2904"/>
        </row>
        <row r="2905">
          <cell r="C2905"/>
          <cell r="D2905"/>
        </row>
        <row r="2906">
          <cell r="C2906"/>
          <cell r="D2906"/>
        </row>
        <row r="2907">
          <cell r="C2907"/>
          <cell r="D2907"/>
        </row>
        <row r="2908">
          <cell r="C2908"/>
          <cell r="D2908"/>
        </row>
        <row r="2909">
          <cell r="C2909"/>
          <cell r="D2909"/>
        </row>
        <row r="2910">
          <cell r="C2910"/>
          <cell r="D2910"/>
        </row>
        <row r="2911">
          <cell r="C2911"/>
          <cell r="D2911"/>
        </row>
        <row r="2912">
          <cell r="C2912"/>
          <cell r="D2912"/>
        </row>
        <row r="2913">
          <cell r="C2913"/>
          <cell r="D2913"/>
        </row>
        <row r="2914">
          <cell r="C2914"/>
          <cell r="D2914"/>
        </row>
        <row r="2915">
          <cell r="C2915"/>
          <cell r="D2915"/>
        </row>
        <row r="2916">
          <cell r="C2916"/>
          <cell r="D2916"/>
        </row>
        <row r="2917">
          <cell r="C2917"/>
          <cell r="D2917"/>
        </row>
        <row r="2918">
          <cell r="C2918"/>
          <cell r="D2918"/>
        </row>
        <row r="2919">
          <cell r="C2919"/>
          <cell r="D2919"/>
        </row>
        <row r="2920">
          <cell r="C2920"/>
          <cell r="D2920"/>
        </row>
        <row r="2921">
          <cell r="C2921"/>
          <cell r="D2921"/>
        </row>
        <row r="2922">
          <cell r="C2922"/>
          <cell r="D2922"/>
        </row>
        <row r="2923">
          <cell r="C2923"/>
          <cell r="D2923"/>
        </row>
        <row r="2924">
          <cell r="C2924"/>
          <cell r="D2924"/>
        </row>
        <row r="2925">
          <cell r="C2925"/>
          <cell r="D2925"/>
        </row>
        <row r="2926">
          <cell r="C2926"/>
          <cell r="D2926"/>
        </row>
        <row r="2927">
          <cell r="C2927"/>
          <cell r="D2927"/>
        </row>
        <row r="2928">
          <cell r="C2928"/>
          <cell r="D2928"/>
        </row>
        <row r="2929">
          <cell r="C2929"/>
          <cell r="D2929"/>
        </row>
        <row r="2930">
          <cell r="C2930"/>
          <cell r="D2930"/>
        </row>
        <row r="2931">
          <cell r="C2931"/>
          <cell r="D2931"/>
        </row>
        <row r="2932">
          <cell r="C2932"/>
          <cell r="D2932"/>
        </row>
        <row r="2933">
          <cell r="C2933"/>
          <cell r="D2933"/>
        </row>
        <row r="2934">
          <cell r="C2934"/>
          <cell r="D2934"/>
        </row>
        <row r="2935">
          <cell r="C2935"/>
          <cell r="D2935"/>
        </row>
        <row r="2936">
          <cell r="C2936"/>
          <cell r="D2936"/>
        </row>
        <row r="2937">
          <cell r="C2937"/>
          <cell r="D2937"/>
        </row>
        <row r="2938">
          <cell r="C2938"/>
          <cell r="D2938"/>
        </row>
        <row r="2939">
          <cell r="C2939"/>
          <cell r="D2939"/>
        </row>
        <row r="2940">
          <cell r="C2940"/>
          <cell r="D2940"/>
        </row>
        <row r="2941">
          <cell r="C2941"/>
          <cell r="D2941"/>
        </row>
        <row r="2942">
          <cell r="C2942"/>
          <cell r="D2942"/>
        </row>
        <row r="2943">
          <cell r="C2943"/>
          <cell r="D2943"/>
        </row>
        <row r="2944">
          <cell r="C2944"/>
          <cell r="D2944"/>
        </row>
        <row r="2945">
          <cell r="C2945"/>
          <cell r="D2945"/>
        </row>
        <row r="2946">
          <cell r="C2946"/>
          <cell r="D2946"/>
        </row>
        <row r="2947">
          <cell r="C2947"/>
          <cell r="D2947"/>
        </row>
        <row r="2948">
          <cell r="C2948"/>
          <cell r="D2948"/>
        </row>
        <row r="2949">
          <cell r="C2949"/>
          <cell r="D2949"/>
        </row>
        <row r="2950">
          <cell r="C2950"/>
          <cell r="D2950"/>
        </row>
        <row r="2951">
          <cell r="C2951"/>
          <cell r="D2951"/>
        </row>
        <row r="2952">
          <cell r="C2952"/>
          <cell r="D2952"/>
        </row>
        <row r="2953">
          <cell r="C2953"/>
          <cell r="D2953"/>
        </row>
        <row r="2954">
          <cell r="C2954"/>
          <cell r="D2954"/>
        </row>
        <row r="2955">
          <cell r="C2955"/>
          <cell r="D2955"/>
        </row>
        <row r="2956">
          <cell r="C2956"/>
          <cell r="D2956"/>
        </row>
        <row r="2957">
          <cell r="C2957"/>
          <cell r="D2957"/>
        </row>
        <row r="2958">
          <cell r="C2958"/>
          <cell r="D2958"/>
        </row>
        <row r="2959">
          <cell r="C2959"/>
          <cell r="D2959"/>
        </row>
        <row r="2960">
          <cell r="C2960"/>
          <cell r="D2960"/>
        </row>
        <row r="2961">
          <cell r="C2961"/>
          <cell r="D2961"/>
        </row>
        <row r="2962">
          <cell r="C2962"/>
          <cell r="D2962"/>
        </row>
        <row r="2963">
          <cell r="C2963"/>
          <cell r="D2963"/>
        </row>
        <row r="2964">
          <cell r="C2964"/>
          <cell r="D2964"/>
        </row>
        <row r="2965">
          <cell r="C2965"/>
          <cell r="D2965"/>
        </row>
        <row r="2966">
          <cell r="C2966"/>
          <cell r="D2966"/>
        </row>
        <row r="2967">
          <cell r="C2967"/>
          <cell r="D2967"/>
        </row>
        <row r="2968">
          <cell r="C2968"/>
          <cell r="D2968"/>
        </row>
        <row r="2969">
          <cell r="C2969"/>
          <cell r="D2969"/>
        </row>
        <row r="2970">
          <cell r="C2970"/>
          <cell r="D2970"/>
        </row>
        <row r="2971">
          <cell r="C2971"/>
          <cell r="D2971"/>
        </row>
        <row r="2972">
          <cell r="C2972"/>
          <cell r="D2972"/>
        </row>
        <row r="2973">
          <cell r="C2973"/>
          <cell r="D2973"/>
        </row>
        <row r="2974">
          <cell r="C2974"/>
          <cell r="D2974"/>
        </row>
        <row r="2975">
          <cell r="C2975"/>
          <cell r="D2975"/>
        </row>
        <row r="2976">
          <cell r="C2976"/>
          <cell r="D2976"/>
        </row>
        <row r="2977">
          <cell r="C2977"/>
          <cell r="D2977"/>
        </row>
        <row r="2978">
          <cell r="C2978"/>
          <cell r="D2978"/>
        </row>
        <row r="2979">
          <cell r="C2979"/>
          <cell r="D2979"/>
        </row>
        <row r="2980">
          <cell r="C2980"/>
          <cell r="D2980"/>
        </row>
        <row r="2981">
          <cell r="C2981"/>
          <cell r="D2981"/>
        </row>
        <row r="2982">
          <cell r="C2982"/>
          <cell r="D2982"/>
        </row>
        <row r="2983">
          <cell r="C2983"/>
          <cell r="D2983"/>
        </row>
        <row r="2984">
          <cell r="C2984"/>
          <cell r="D2984"/>
        </row>
        <row r="2985">
          <cell r="C2985"/>
          <cell r="D2985"/>
        </row>
        <row r="2986">
          <cell r="C2986"/>
          <cell r="D2986"/>
        </row>
        <row r="2987">
          <cell r="C2987"/>
          <cell r="D2987"/>
        </row>
        <row r="2988">
          <cell r="C2988"/>
          <cell r="D2988"/>
        </row>
        <row r="2989">
          <cell r="C2989"/>
          <cell r="D2989"/>
        </row>
        <row r="2990">
          <cell r="C2990"/>
          <cell r="D2990"/>
        </row>
        <row r="2991">
          <cell r="C2991"/>
          <cell r="D2991"/>
        </row>
        <row r="2992">
          <cell r="C2992"/>
          <cell r="D2992"/>
        </row>
        <row r="2993">
          <cell r="C2993"/>
          <cell r="D2993"/>
        </row>
        <row r="2994">
          <cell r="C2994"/>
          <cell r="D2994"/>
        </row>
        <row r="2995">
          <cell r="C2995"/>
          <cell r="D2995"/>
        </row>
        <row r="2996">
          <cell r="C2996"/>
          <cell r="D2996"/>
        </row>
        <row r="2997">
          <cell r="C2997"/>
          <cell r="D2997"/>
        </row>
        <row r="2998">
          <cell r="C2998"/>
          <cell r="D2998"/>
        </row>
        <row r="2999">
          <cell r="C2999"/>
          <cell r="D2999"/>
        </row>
        <row r="3000">
          <cell r="C3000"/>
          <cell r="D3000"/>
        </row>
        <row r="3001">
          <cell r="C3001"/>
          <cell r="D3001"/>
        </row>
        <row r="3002">
          <cell r="C3002"/>
          <cell r="D3002"/>
        </row>
        <row r="3003">
          <cell r="C3003"/>
          <cell r="D3003"/>
        </row>
        <row r="3004">
          <cell r="C3004"/>
          <cell r="D3004"/>
        </row>
        <row r="3005">
          <cell r="C3005"/>
          <cell r="D3005"/>
        </row>
        <row r="3006">
          <cell r="C3006"/>
          <cell r="D3006"/>
        </row>
        <row r="3007">
          <cell r="C3007"/>
          <cell r="D3007"/>
        </row>
        <row r="3008">
          <cell r="C3008"/>
          <cell r="D3008"/>
        </row>
        <row r="3009">
          <cell r="C3009"/>
          <cell r="D3009"/>
        </row>
        <row r="3010">
          <cell r="C3010"/>
          <cell r="D3010"/>
        </row>
        <row r="3011">
          <cell r="C3011"/>
          <cell r="D3011"/>
        </row>
        <row r="3012">
          <cell r="C3012"/>
          <cell r="D3012"/>
        </row>
        <row r="3013">
          <cell r="C3013"/>
          <cell r="D3013"/>
        </row>
        <row r="3014">
          <cell r="C3014"/>
          <cell r="D3014"/>
        </row>
        <row r="3015">
          <cell r="C3015"/>
          <cell r="D3015"/>
        </row>
        <row r="3016">
          <cell r="C3016"/>
          <cell r="D3016"/>
        </row>
        <row r="3017">
          <cell r="C3017"/>
          <cell r="D3017"/>
        </row>
        <row r="3018">
          <cell r="C3018"/>
          <cell r="D3018"/>
        </row>
        <row r="3019">
          <cell r="C3019"/>
          <cell r="D3019"/>
        </row>
        <row r="3020">
          <cell r="C3020"/>
          <cell r="D3020"/>
        </row>
        <row r="3021">
          <cell r="C3021"/>
          <cell r="D3021"/>
        </row>
        <row r="3022">
          <cell r="C3022"/>
          <cell r="D3022"/>
        </row>
        <row r="3023">
          <cell r="C3023"/>
          <cell r="D3023"/>
        </row>
        <row r="3024">
          <cell r="C3024"/>
          <cell r="D3024"/>
        </row>
        <row r="3025">
          <cell r="C3025"/>
          <cell r="D3025"/>
        </row>
        <row r="3026">
          <cell r="C3026"/>
          <cell r="D3026"/>
        </row>
        <row r="3027">
          <cell r="C3027"/>
          <cell r="D3027"/>
        </row>
        <row r="3028">
          <cell r="C3028"/>
          <cell r="D3028"/>
        </row>
        <row r="3029">
          <cell r="C3029"/>
          <cell r="D3029"/>
        </row>
        <row r="3030">
          <cell r="C3030"/>
          <cell r="D3030"/>
        </row>
        <row r="3031">
          <cell r="C3031"/>
          <cell r="D3031"/>
        </row>
        <row r="3032">
          <cell r="C3032"/>
          <cell r="D3032"/>
        </row>
        <row r="3033">
          <cell r="C3033"/>
          <cell r="D3033"/>
        </row>
        <row r="3034">
          <cell r="C3034"/>
          <cell r="D3034"/>
        </row>
        <row r="3035">
          <cell r="C3035"/>
          <cell r="D3035"/>
        </row>
        <row r="3036">
          <cell r="C3036"/>
          <cell r="D3036"/>
        </row>
        <row r="3037">
          <cell r="C3037"/>
          <cell r="D3037"/>
        </row>
        <row r="3038">
          <cell r="C3038"/>
          <cell r="D3038"/>
        </row>
        <row r="3039">
          <cell r="C3039"/>
          <cell r="D3039"/>
        </row>
        <row r="3040">
          <cell r="C3040"/>
          <cell r="D3040"/>
        </row>
        <row r="3041">
          <cell r="C3041"/>
          <cell r="D3041"/>
        </row>
        <row r="3042">
          <cell r="C3042"/>
          <cell r="D3042"/>
        </row>
        <row r="3043">
          <cell r="C3043"/>
          <cell r="D3043"/>
        </row>
        <row r="3044">
          <cell r="C3044"/>
          <cell r="D3044"/>
        </row>
        <row r="3045">
          <cell r="C3045"/>
          <cell r="D3045"/>
        </row>
        <row r="3046">
          <cell r="C3046"/>
          <cell r="D3046"/>
        </row>
        <row r="3047">
          <cell r="C3047"/>
          <cell r="D3047"/>
        </row>
        <row r="3048">
          <cell r="C3048"/>
          <cell r="D3048"/>
        </row>
        <row r="3049">
          <cell r="C3049"/>
          <cell r="D3049"/>
        </row>
        <row r="3050">
          <cell r="C3050"/>
          <cell r="D3050"/>
        </row>
        <row r="3051">
          <cell r="C3051"/>
          <cell r="D3051"/>
        </row>
        <row r="3052">
          <cell r="C3052"/>
          <cell r="D3052"/>
        </row>
        <row r="3053">
          <cell r="C3053"/>
          <cell r="D3053"/>
        </row>
        <row r="3054">
          <cell r="C3054"/>
          <cell r="D3054"/>
        </row>
        <row r="3055">
          <cell r="C3055"/>
          <cell r="D3055"/>
        </row>
        <row r="3056">
          <cell r="C3056"/>
          <cell r="D3056"/>
        </row>
        <row r="3057">
          <cell r="C3057"/>
          <cell r="D3057"/>
        </row>
        <row r="3058">
          <cell r="C3058"/>
          <cell r="D3058"/>
        </row>
        <row r="3059">
          <cell r="C3059"/>
          <cell r="D3059"/>
        </row>
        <row r="3060">
          <cell r="C3060"/>
          <cell r="D3060"/>
        </row>
        <row r="3061">
          <cell r="C3061"/>
          <cell r="D3061"/>
        </row>
        <row r="3062">
          <cell r="C3062"/>
          <cell r="D3062"/>
        </row>
        <row r="3063">
          <cell r="C3063"/>
          <cell r="D3063"/>
        </row>
        <row r="3064">
          <cell r="C3064"/>
          <cell r="D3064"/>
        </row>
        <row r="3065">
          <cell r="C3065"/>
          <cell r="D3065"/>
        </row>
        <row r="3066">
          <cell r="C3066"/>
          <cell r="D3066"/>
        </row>
        <row r="3067">
          <cell r="C3067"/>
          <cell r="D3067"/>
        </row>
        <row r="3068">
          <cell r="C3068"/>
          <cell r="D3068"/>
        </row>
        <row r="3069">
          <cell r="C3069"/>
          <cell r="D3069"/>
        </row>
        <row r="3070">
          <cell r="C3070"/>
          <cell r="D3070"/>
        </row>
        <row r="3071">
          <cell r="C3071"/>
          <cell r="D3071"/>
        </row>
        <row r="3072">
          <cell r="C3072"/>
          <cell r="D3072"/>
        </row>
        <row r="3073">
          <cell r="C3073"/>
          <cell r="D3073"/>
        </row>
        <row r="3074">
          <cell r="C3074"/>
          <cell r="D3074"/>
        </row>
        <row r="3075">
          <cell r="C3075"/>
          <cell r="D3075"/>
        </row>
        <row r="3076">
          <cell r="C3076"/>
          <cell r="D3076"/>
        </row>
        <row r="3077">
          <cell r="C3077"/>
          <cell r="D3077"/>
        </row>
        <row r="3078">
          <cell r="C3078"/>
          <cell r="D3078"/>
        </row>
        <row r="3079">
          <cell r="C3079"/>
          <cell r="D3079"/>
        </row>
        <row r="3080">
          <cell r="C3080"/>
          <cell r="D3080"/>
        </row>
        <row r="3081">
          <cell r="C3081"/>
          <cell r="D3081"/>
        </row>
        <row r="3082">
          <cell r="C3082"/>
          <cell r="D3082"/>
        </row>
        <row r="3083">
          <cell r="C3083"/>
          <cell r="D3083"/>
        </row>
        <row r="3084">
          <cell r="C3084"/>
          <cell r="D3084"/>
        </row>
        <row r="3085">
          <cell r="C3085"/>
          <cell r="D3085"/>
        </row>
        <row r="3086">
          <cell r="C3086"/>
          <cell r="D3086"/>
        </row>
        <row r="3087">
          <cell r="C3087"/>
          <cell r="D3087"/>
        </row>
        <row r="3088">
          <cell r="C3088"/>
          <cell r="D3088"/>
        </row>
        <row r="3089">
          <cell r="C3089"/>
          <cell r="D3089"/>
        </row>
        <row r="3090">
          <cell r="C3090"/>
          <cell r="D3090"/>
        </row>
        <row r="3091">
          <cell r="C3091"/>
          <cell r="D3091"/>
        </row>
        <row r="3092">
          <cell r="C3092"/>
          <cell r="D3092"/>
        </row>
        <row r="3093">
          <cell r="C3093"/>
          <cell r="D3093"/>
        </row>
        <row r="3094">
          <cell r="C3094"/>
          <cell r="D3094"/>
        </row>
        <row r="3095">
          <cell r="C3095"/>
          <cell r="D3095"/>
        </row>
        <row r="3096">
          <cell r="C3096"/>
          <cell r="D3096"/>
        </row>
        <row r="3097">
          <cell r="C3097"/>
          <cell r="D3097"/>
        </row>
        <row r="3098">
          <cell r="C3098"/>
          <cell r="D3098"/>
        </row>
        <row r="3099">
          <cell r="C3099"/>
          <cell r="D3099"/>
        </row>
        <row r="3100">
          <cell r="C3100"/>
          <cell r="D3100"/>
        </row>
        <row r="3101">
          <cell r="C3101"/>
          <cell r="D3101"/>
        </row>
        <row r="3102">
          <cell r="C3102"/>
          <cell r="D3102"/>
        </row>
        <row r="3103">
          <cell r="C3103"/>
          <cell r="D3103"/>
        </row>
        <row r="3104">
          <cell r="C3104"/>
          <cell r="D3104"/>
        </row>
        <row r="3105">
          <cell r="C3105"/>
          <cell r="D3105"/>
        </row>
        <row r="3106">
          <cell r="C3106"/>
          <cell r="D3106"/>
        </row>
        <row r="3107">
          <cell r="C3107"/>
          <cell r="D3107"/>
        </row>
        <row r="3108">
          <cell r="C3108"/>
          <cell r="D3108"/>
        </row>
        <row r="3109">
          <cell r="C3109"/>
          <cell r="D3109"/>
        </row>
        <row r="3110">
          <cell r="C3110"/>
          <cell r="D3110"/>
        </row>
        <row r="3111">
          <cell r="C3111"/>
          <cell r="D3111"/>
        </row>
        <row r="3112">
          <cell r="C3112"/>
          <cell r="D3112"/>
        </row>
        <row r="3113">
          <cell r="C3113"/>
          <cell r="D3113"/>
        </row>
        <row r="3114">
          <cell r="C3114"/>
          <cell r="D3114"/>
        </row>
        <row r="3115">
          <cell r="C3115"/>
          <cell r="D3115"/>
        </row>
        <row r="3116">
          <cell r="C3116"/>
          <cell r="D3116"/>
        </row>
        <row r="3117">
          <cell r="C3117"/>
          <cell r="D3117"/>
        </row>
        <row r="3118">
          <cell r="C3118"/>
          <cell r="D3118"/>
        </row>
        <row r="3119">
          <cell r="C3119"/>
          <cell r="D3119"/>
        </row>
        <row r="3120">
          <cell r="C3120"/>
          <cell r="D3120"/>
        </row>
        <row r="3121">
          <cell r="C3121"/>
          <cell r="D3121"/>
        </row>
        <row r="3122">
          <cell r="C3122"/>
          <cell r="D3122"/>
        </row>
        <row r="3123">
          <cell r="C3123"/>
          <cell r="D3123"/>
        </row>
        <row r="3124">
          <cell r="C3124"/>
          <cell r="D3124"/>
        </row>
        <row r="3125">
          <cell r="C3125"/>
          <cell r="D3125"/>
        </row>
        <row r="3126">
          <cell r="C3126"/>
          <cell r="D3126"/>
        </row>
        <row r="3127">
          <cell r="C3127"/>
          <cell r="D3127"/>
        </row>
        <row r="3128">
          <cell r="C3128"/>
          <cell r="D3128"/>
        </row>
        <row r="3129">
          <cell r="C3129"/>
          <cell r="D3129"/>
        </row>
        <row r="3130">
          <cell r="C3130"/>
          <cell r="D3130"/>
        </row>
        <row r="3131">
          <cell r="C3131"/>
          <cell r="D3131"/>
        </row>
        <row r="3132">
          <cell r="C3132"/>
          <cell r="D3132"/>
        </row>
        <row r="3133">
          <cell r="C3133"/>
          <cell r="D3133"/>
        </row>
        <row r="3134">
          <cell r="C3134"/>
          <cell r="D3134"/>
        </row>
        <row r="3135">
          <cell r="C3135"/>
          <cell r="D3135"/>
        </row>
        <row r="3136">
          <cell r="C3136"/>
          <cell r="D3136"/>
        </row>
        <row r="3137">
          <cell r="C3137"/>
          <cell r="D3137"/>
        </row>
        <row r="3138">
          <cell r="C3138"/>
          <cell r="D3138"/>
        </row>
        <row r="3139">
          <cell r="C3139"/>
          <cell r="D3139"/>
        </row>
        <row r="3140">
          <cell r="C3140"/>
          <cell r="D3140"/>
        </row>
        <row r="3141">
          <cell r="C3141"/>
          <cell r="D3141"/>
        </row>
        <row r="3142">
          <cell r="C3142"/>
          <cell r="D3142"/>
        </row>
        <row r="3143">
          <cell r="C3143"/>
          <cell r="D3143"/>
        </row>
        <row r="3144">
          <cell r="C3144"/>
          <cell r="D3144"/>
        </row>
        <row r="3145">
          <cell r="C3145"/>
          <cell r="D3145"/>
        </row>
        <row r="3146">
          <cell r="C3146"/>
          <cell r="D3146"/>
        </row>
        <row r="3147">
          <cell r="C3147"/>
          <cell r="D3147"/>
        </row>
        <row r="3148">
          <cell r="C3148"/>
          <cell r="D3148"/>
        </row>
        <row r="3149">
          <cell r="C3149"/>
          <cell r="D3149"/>
        </row>
        <row r="3150">
          <cell r="C3150"/>
          <cell r="D3150"/>
        </row>
        <row r="3151">
          <cell r="C3151"/>
          <cell r="D3151"/>
        </row>
        <row r="3152">
          <cell r="C3152"/>
          <cell r="D3152"/>
        </row>
        <row r="3153">
          <cell r="C3153"/>
          <cell r="D3153"/>
        </row>
        <row r="3154">
          <cell r="C3154"/>
          <cell r="D3154"/>
        </row>
        <row r="3155">
          <cell r="C3155"/>
          <cell r="D3155"/>
        </row>
        <row r="3156">
          <cell r="C3156"/>
          <cell r="D3156"/>
        </row>
        <row r="3157">
          <cell r="C3157"/>
          <cell r="D3157"/>
        </row>
        <row r="3158">
          <cell r="C3158"/>
          <cell r="D3158"/>
        </row>
        <row r="3159">
          <cell r="C3159"/>
          <cell r="D3159"/>
        </row>
        <row r="3160">
          <cell r="C3160"/>
          <cell r="D3160"/>
        </row>
        <row r="3161">
          <cell r="C3161"/>
          <cell r="D3161"/>
        </row>
        <row r="3162">
          <cell r="C3162"/>
          <cell r="D3162"/>
        </row>
        <row r="3163">
          <cell r="C3163"/>
          <cell r="D3163"/>
        </row>
        <row r="3164">
          <cell r="C3164"/>
          <cell r="D3164"/>
        </row>
        <row r="3165">
          <cell r="C3165"/>
          <cell r="D3165"/>
        </row>
        <row r="3166">
          <cell r="C3166"/>
          <cell r="D3166"/>
        </row>
        <row r="3167">
          <cell r="C3167"/>
          <cell r="D3167"/>
        </row>
        <row r="3168">
          <cell r="C3168"/>
          <cell r="D3168"/>
        </row>
        <row r="3169">
          <cell r="C3169"/>
          <cell r="D3169"/>
        </row>
        <row r="3170">
          <cell r="C3170"/>
          <cell r="D3170"/>
        </row>
        <row r="3171">
          <cell r="C3171"/>
          <cell r="D3171"/>
        </row>
        <row r="3172">
          <cell r="C3172"/>
          <cell r="D3172"/>
        </row>
        <row r="3173">
          <cell r="C3173"/>
          <cell r="D3173"/>
        </row>
        <row r="3174">
          <cell r="C3174"/>
          <cell r="D3174"/>
        </row>
        <row r="3175">
          <cell r="C3175"/>
          <cell r="D3175"/>
        </row>
        <row r="3176">
          <cell r="C3176"/>
          <cell r="D3176"/>
        </row>
        <row r="3177">
          <cell r="C3177"/>
          <cell r="D3177"/>
        </row>
        <row r="3178">
          <cell r="C3178"/>
          <cell r="D3178"/>
        </row>
        <row r="3179">
          <cell r="C3179"/>
          <cell r="D3179"/>
        </row>
        <row r="3180">
          <cell r="C3180"/>
          <cell r="D3180"/>
        </row>
        <row r="3181">
          <cell r="C3181"/>
          <cell r="D3181"/>
        </row>
        <row r="3182">
          <cell r="C3182"/>
          <cell r="D3182"/>
        </row>
        <row r="3183">
          <cell r="C3183"/>
          <cell r="D3183"/>
        </row>
        <row r="3184">
          <cell r="C3184"/>
          <cell r="D3184"/>
        </row>
        <row r="3185">
          <cell r="C3185"/>
          <cell r="D3185"/>
        </row>
        <row r="3186">
          <cell r="C3186"/>
          <cell r="D3186"/>
        </row>
        <row r="3187">
          <cell r="C3187"/>
          <cell r="D3187"/>
        </row>
        <row r="3188">
          <cell r="C3188"/>
          <cell r="D3188"/>
        </row>
        <row r="3189">
          <cell r="C3189"/>
          <cell r="D3189"/>
        </row>
        <row r="3190">
          <cell r="C3190"/>
          <cell r="D3190"/>
        </row>
        <row r="3191">
          <cell r="C3191"/>
          <cell r="D3191"/>
        </row>
        <row r="3192">
          <cell r="C3192"/>
          <cell r="D3192"/>
        </row>
        <row r="3193">
          <cell r="C3193"/>
          <cell r="D3193"/>
        </row>
        <row r="3194">
          <cell r="C3194"/>
          <cell r="D3194"/>
        </row>
        <row r="3195">
          <cell r="C3195"/>
          <cell r="D3195"/>
        </row>
        <row r="3196">
          <cell r="C3196"/>
          <cell r="D3196"/>
        </row>
        <row r="3197">
          <cell r="C3197"/>
          <cell r="D3197"/>
        </row>
        <row r="3198">
          <cell r="C3198"/>
          <cell r="D3198"/>
        </row>
        <row r="3199">
          <cell r="C3199"/>
          <cell r="D3199"/>
        </row>
        <row r="3200">
          <cell r="C3200"/>
          <cell r="D3200"/>
        </row>
        <row r="3201">
          <cell r="C3201"/>
          <cell r="D3201"/>
        </row>
        <row r="3202">
          <cell r="C3202"/>
          <cell r="D3202"/>
        </row>
        <row r="3203">
          <cell r="C3203"/>
          <cell r="D3203"/>
        </row>
        <row r="3204">
          <cell r="C3204"/>
          <cell r="D3204"/>
        </row>
        <row r="3205">
          <cell r="C3205"/>
          <cell r="D3205"/>
        </row>
        <row r="3206">
          <cell r="C3206"/>
          <cell r="D3206"/>
        </row>
        <row r="3207">
          <cell r="C3207"/>
          <cell r="D3207"/>
        </row>
        <row r="3208">
          <cell r="C3208"/>
          <cell r="D3208"/>
        </row>
        <row r="3209">
          <cell r="C3209"/>
          <cell r="D3209"/>
        </row>
        <row r="3210">
          <cell r="C3210"/>
          <cell r="D3210"/>
        </row>
        <row r="3211">
          <cell r="C3211"/>
          <cell r="D3211"/>
        </row>
        <row r="3212">
          <cell r="C3212"/>
          <cell r="D3212"/>
        </row>
        <row r="3213">
          <cell r="C3213"/>
          <cell r="D3213"/>
        </row>
        <row r="3214">
          <cell r="C3214"/>
          <cell r="D3214"/>
        </row>
        <row r="3215">
          <cell r="C3215"/>
          <cell r="D3215"/>
        </row>
        <row r="3216">
          <cell r="C3216"/>
          <cell r="D3216"/>
        </row>
        <row r="3217">
          <cell r="C3217"/>
          <cell r="D3217"/>
        </row>
        <row r="3218">
          <cell r="C3218"/>
          <cell r="D3218"/>
        </row>
        <row r="3219">
          <cell r="C3219"/>
          <cell r="D3219"/>
        </row>
        <row r="3220">
          <cell r="C3220"/>
          <cell r="D3220"/>
        </row>
        <row r="3221">
          <cell r="C3221"/>
          <cell r="D3221"/>
        </row>
        <row r="3222">
          <cell r="C3222"/>
          <cell r="D3222"/>
        </row>
        <row r="3223">
          <cell r="C3223"/>
          <cell r="D3223"/>
        </row>
        <row r="3224">
          <cell r="C3224"/>
          <cell r="D3224"/>
        </row>
        <row r="3225">
          <cell r="C3225"/>
          <cell r="D3225"/>
        </row>
        <row r="3226">
          <cell r="C3226"/>
          <cell r="D3226"/>
        </row>
        <row r="3227">
          <cell r="C3227"/>
          <cell r="D3227"/>
        </row>
        <row r="3228">
          <cell r="C3228"/>
          <cell r="D3228"/>
        </row>
        <row r="3229">
          <cell r="C3229"/>
          <cell r="D3229"/>
        </row>
        <row r="3230">
          <cell r="C3230"/>
          <cell r="D3230"/>
        </row>
        <row r="3231">
          <cell r="C3231"/>
          <cell r="D3231"/>
        </row>
        <row r="3232">
          <cell r="C3232"/>
          <cell r="D3232"/>
        </row>
        <row r="3233">
          <cell r="C3233"/>
          <cell r="D3233"/>
        </row>
        <row r="3234">
          <cell r="C3234"/>
          <cell r="D3234"/>
        </row>
        <row r="3235">
          <cell r="C3235"/>
          <cell r="D3235"/>
        </row>
        <row r="3236">
          <cell r="C3236"/>
          <cell r="D3236"/>
        </row>
        <row r="3237">
          <cell r="C3237"/>
          <cell r="D3237"/>
        </row>
        <row r="3238">
          <cell r="C3238"/>
          <cell r="D3238"/>
        </row>
        <row r="3239">
          <cell r="C3239"/>
          <cell r="D3239"/>
        </row>
        <row r="3240">
          <cell r="C3240"/>
          <cell r="D3240"/>
        </row>
        <row r="3241">
          <cell r="C3241"/>
          <cell r="D3241"/>
        </row>
        <row r="3242">
          <cell r="C3242"/>
          <cell r="D3242"/>
        </row>
        <row r="3243">
          <cell r="C3243"/>
          <cell r="D3243"/>
        </row>
        <row r="3244">
          <cell r="C3244"/>
          <cell r="D3244"/>
        </row>
        <row r="3245">
          <cell r="C3245"/>
          <cell r="D3245"/>
        </row>
        <row r="3246">
          <cell r="C3246"/>
          <cell r="D3246"/>
        </row>
        <row r="3247">
          <cell r="C3247"/>
          <cell r="D3247"/>
        </row>
        <row r="3248">
          <cell r="C3248"/>
          <cell r="D3248"/>
        </row>
        <row r="3249">
          <cell r="C3249"/>
          <cell r="D3249"/>
        </row>
        <row r="3250">
          <cell r="C3250"/>
          <cell r="D3250"/>
        </row>
        <row r="3251">
          <cell r="C3251"/>
          <cell r="D3251"/>
        </row>
        <row r="3252">
          <cell r="C3252"/>
          <cell r="D3252"/>
        </row>
        <row r="3253">
          <cell r="C3253"/>
          <cell r="D3253"/>
        </row>
        <row r="3254">
          <cell r="C3254"/>
          <cell r="D3254"/>
        </row>
        <row r="3255">
          <cell r="C3255"/>
          <cell r="D3255"/>
        </row>
        <row r="3256">
          <cell r="C3256"/>
          <cell r="D3256"/>
        </row>
        <row r="3257">
          <cell r="C3257"/>
          <cell r="D3257"/>
        </row>
        <row r="3258">
          <cell r="C3258"/>
          <cell r="D3258"/>
        </row>
        <row r="3259">
          <cell r="C3259"/>
          <cell r="D3259"/>
        </row>
        <row r="3260">
          <cell r="C3260"/>
          <cell r="D3260"/>
        </row>
        <row r="3261">
          <cell r="C3261"/>
          <cell r="D3261"/>
        </row>
        <row r="3262">
          <cell r="C3262"/>
          <cell r="D3262"/>
        </row>
        <row r="3263">
          <cell r="C3263"/>
          <cell r="D3263"/>
        </row>
        <row r="3264">
          <cell r="C3264"/>
          <cell r="D3264"/>
        </row>
        <row r="3265">
          <cell r="C3265"/>
          <cell r="D3265"/>
        </row>
        <row r="3266">
          <cell r="C3266"/>
          <cell r="D3266"/>
        </row>
        <row r="3267">
          <cell r="C3267"/>
          <cell r="D3267"/>
        </row>
        <row r="3268">
          <cell r="C3268"/>
          <cell r="D3268"/>
        </row>
        <row r="3269">
          <cell r="C3269"/>
          <cell r="D3269"/>
        </row>
        <row r="3270">
          <cell r="C3270"/>
          <cell r="D3270"/>
        </row>
        <row r="3271">
          <cell r="C3271"/>
          <cell r="D3271"/>
        </row>
        <row r="3272">
          <cell r="C3272"/>
          <cell r="D3272"/>
        </row>
        <row r="3273">
          <cell r="C3273"/>
          <cell r="D3273"/>
        </row>
        <row r="3274">
          <cell r="C3274"/>
          <cell r="D3274"/>
        </row>
        <row r="3275">
          <cell r="C3275"/>
          <cell r="D3275"/>
        </row>
        <row r="3276">
          <cell r="C3276"/>
          <cell r="D3276"/>
        </row>
        <row r="3277">
          <cell r="C3277"/>
          <cell r="D3277"/>
        </row>
        <row r="3278">
          <cell r="C3278"/>
          <cell r="D3278"/>
        </row>
        <row r="3279">
          <cell r="C3279"/>
          <cell r="D3279"/>
        </row>
        <row r="3280">
          <cell r="C3280"/>
          <cell r="D3280"/>
        </row>
        <row r="3281">
          <cell r="C3281"/>
          <cell r="D3281"/>
        </row>
        <row r="3282">
          <cell r="C3282"/>
          <cell r="D3282"/>
        </row>
        <row r="3283">
          <cell r="C3283"/>
          <cell r="D3283"/>
        </row>
        <row r="3284">
          <cell r="C3284"/>
          <cell r="D3284"/>
        </row>
        <row r="3285">
          <cell r="C3285"/>
          <cell r="D3285"/>
        </row>
        <row r="3286">
          <cell r="C3286"/>
          <cell r="D3286"/>
        </row>
        <row r="3287">
          <cell r="C3287"/>
          <cell r="D3287"/>
        </row>
        <row r="3288">
          <cell r="C3288"/>
          <cell r="D3288"/>
        </row>
        <row r="3289">
          <cell r="C3289"/>
          <cell r="D3289"/>
        </row>
        <row r="3290">
          <cell r="C3290"/>
          <cell r="D3290"/>
        </row>
        <row r="3291">
          <cell r="C3291"/>
          <cell r="D3291"/>
        </row>
        <row r="3292">
          <cell r="C3292"/>
          <cell r="D3292"/>
        </row>
        <row r="3293">
          <cell r="C3293"/>
          <cell r="D3293"/>
        </row>
        <row r="3294">
          <cell r="C3294"/>
          <cell r="D3294"/>
        </row>
        <row r="3295">
          <cell r="C3295"/>
          <cell r="D3295"/>
        </row>
        <row r="3296">
          <cell r="C3296"/>
          <cell r="D3296"/>
        </row>
        <row r="3297">
          <cell r="C3297"/>
          <cell r="D3297"/>
        </row>
        <row r="3298">
          <cell r="C3298"/>
          <cell r="D3298"/>
        </row>
        <row r="3299">
          <cell r="C3299"/>
          <cell r="D3299"/>
        </row>
        <row r="3300">
          <cell r="C3300"/>
          <cell r="D3300"/>
        </row>
        <row r="3301">
          <cell r="C3301"/>
          <cell r="D3301"/>
        </row>
        <row r="3302">
          <cell r="C3302"/>
          <cell r="D3302"/>
        </row>
        <row r="3303">
          <cell r="C3303"/>
          <cell r="D3303"/>
        </row>
        <row r="3304">
          <cell r="C3304"/>
          <cell r="D3304"/>
        </row>
        <row r="3305">
          <cell r="C3305"/>
          <cell r="D3305"/>
        </row>
        <row r="3306">
          <cell r="C3306"/>
          <cell r="D3306"/>
        </row>
        <row r="3307">
          <cell r="C3307"/>
          <cell r="D3307"/>
        </row>
        <row r="3308">
          <cell r="C3308"/>
          <cell r="D3308"/>
        </row>
        <row r="3309">
          <cell r="C3309"/>
          <cell r="D3309"/>
        </row>
        <row r="3310">
          <cell r="C3310"/>
          <cell r="D3310"/>
        </row>
        <row r="3311">
          <cell r="C3311"/>
          <cell r="D3311"/>
        </row>
        <row r="3312">
          <cell r="C3312"/>
          <cell r="D3312"/>
        </row>
        <row r="3313">
          <cell r="C3313"/>
          <cell r="D3313"/>
        </row>
        <row r="3314">
          <cell r="C3314"/>
          <cell r="D3314"/>
        </row>
        <row r="3315">
          <cell r="C3315"/>
          <cell r="D3315"/>
        </row>
        <row r="3316">
          <cell r="C3316"/>
          <cell r="D3316"/>
        </row>
        <row r="3317">
          <cell r="C3317"/>
          <cell r="D3317"/>
        </row>
        <row r="3318">
          <cell r="C3318"/>
          <cell r="D3318"/>
        </row>
        <row r="3319">
          <cell r="C3319"/>
          <cell r="D3319"/>
        </row>
        <row r="3320">
          <cell r="C3320"/>
          <cell r="D3320"/>
        </row>
        <row r="3321">
          <cell r="C3321"/>
          <cell r="D3321"/>
        </row>
        <row r="3322">
          <cell r="C3322"/>
          <cell r="D3322"/>
        </row>
        <row r="3323">
          <cell r="C3323"/>
          <cell r="D3323"/>
        </row>
        <row r="3324">
          <cell r="C3324"/>
          <cell r="D3324"/>
        </row>
        <row r="3325">
          <cell r="C3325"/>
          <cell r="D3325"/>
        </row>
        <row r="3326">
          <cell r="C3326"/>
          <cell r="D3326"/>
        </row>
        <row r="3327">
          <cell r="C3327"/>
          <cell r="D3327"/>
        </row>
        <row r="3328">
          <cell r="C3328"/>
          <cell r="D3328"/>
        </row>
        <row r="3329">
          <cell r="C3329"/>
          <cell r="D3329"/>
        </row>
        <row r="3330">
          <cell r="C3330"/>
          <cell r="D3330"/>
        </row>
        <row r="3331">
          <cell r="C3331"/>
          <cell r="D3331"/>
        </row>
        <row r="3332">
          <cell r="C3332"/>
          <cell r="D3332"/>
        </row>
        <row r="3333">
          <cell r="C3333"/>
          <cell r="D3333"/>
        </row>
        <row r="3334">
          <cell r="C3334"/>
          <cell r="D3334"/>
        </row>
        <row r="3335">
          <cell r="C3335"/>
          <cell r="D3335"/>
        </row>
        <row r="3336">
          <cell r="C3336"/>
          <cell r="D3336"/>
        </row>
        <row r="3337">
          <cell r="C3337"/>
          <cell r="D3337"/>
        </row>
        <row r="3338">
          <cell r="C3338"/>
          <cell r="D3338"/>
        </row>
        <row r="3339">
          <cell r="C3339"/>
          <cell r="D3339"/>
        </row>
        <row r="3340">
          <cell r="C3340"/>
          <cell r="D3340"/>
        </row>
        <row r="3341">
          <cell r="C3341"/>
          <cell r="D3341"/>
        </row>
        <row r="3342">
          <cell r="C3342"/>
          <cell r="D3342"/>
        </row>
        <row r="3343">
          <cell r="C3343"/>
          <cell r="D3343"/>
        </row>
        <row r="3344">
          <cell r="C3344"/>
          <cell r="D3344"/>
        </row>
        <row r="3345">
          <cell r="C3345"/>
          <cell r="D3345"/>
        </row>
        <row r="3346">
          <cell r="C3346"/>
          <cell r="D3346"/>
        </row>
        <row r="3347">
          <cell r="C3347"/>
          <cell r="D3347"/>
        </row>
        <row r="3348">
          <cell r="C3348"/>
          <cell r="D3348"/>
        </row>
        <row r="3349">
          <cell r="C3349"/>
          <cell r="D3349"/>
        </row>
        <row r="3350">
          <cell r="C3350"/>
          <cell r="D3350"/>
        </row>
        <row r="3351">
          <cell r="C3351"/>
          <cell r="D3351"/>
        </row>
        <row r="3352">
          <cell r="C3352"/>
          <cell r="D3352"/>
        </row>
        <row r="3353">
          <cell r="C3353"/>
          <cell r="D3353"/>
        </row>
        <row r="3354">
          <cell r="C3354"/>
          <cell r="D3354"/>
        </row>
        <row r="3355">
          <cell r="C3355"/>
          <cell r="D3355"/>
        </row>
        <row r="3356">
          <cell r="C3356"/>
          <cell r="D3356"/>
        </row>
        <row r="3357">
          <cell r="C3357"/>
          <cell r="D3357"/>
        </row>
        <row r="3358">
          <cell r="C3358"/>
          <cell r="D3358"/>
        </row>
        <row r="3359">
          <cell r="C3359"/>
          <cell r="D3359"/>
        </row>
        <row r="3360">
          <cell r="C3360"/>
          <cell r="D3360"/>
        </row>
        <row r="3361">
          <cell r="C3361"/>
          <cell r="D3361"/>
        </row>
        <row r="3362">
          <cell r="C3362"/>
          <cell r="D3362"/>
        </row>
        <row r="3363">
          <cell r="C3363"/>
          <cell r="D3363"/>
        </row>
        <row r="3364">
          <cell r="C3364"/>
          <cell r="D3364"/>
        </row>
        <row r="3365">
          <cell r="C3365"/>
          <cell r="D3365"/>
        </row>
        <row r="3366">
          <cell r="C3366"/>
          <cell r="D3366"/>
        </row>
        <row r="3367">
          <cell r="C3367"/>
          <cell r="D3367"/>
        </row>
        <row r="3368">
          <cell r="C3368"/>
          <cell r="D3368"/>
        </row>
        <row r="3369">
          <cell r="C3369"/>
          <cell r="D3369"/>
        </row>
        <row r="3370">
          <cell r="C3370"/>
          <cell r="D3370"/>
        </row>
        <row r="3371">
          <cell r="C3371"/>
          <cell r="D3371"/>
        </row>
        <row r="3372">
          <cell r="C3372"/>
          <cell r="D3372"/>
        </row>
        <row r="3373">
          <cell r="C3373"/>
          <cell r="D3373"/>
        </row>
        <row r="3374">
          <cell r="C3374"/>
          <cell r="D3374"/>
        </row>
        <row r="3375">
          <cell r="C3375"/>
          <cell r="D3375"/>
        </row>
        <row r="3376">
          <cell r="C3376"/>
          <cell r="D3376"/>
        </row>
        <row r="3377">
          <cell r="C3377"/>
          <cell r="D3377"/>
        </row>
        <row r="3378">
          <cell r="C3378"/>
          <cell r="D3378"/>
        </row>
        <row r="3379">
          <cell r="C3379"/>
          <cell r="D3379"/>
        </row>
        <row r="3380">
          <cell r="C3380"/>
          <cell r="D3380"/>
        </row>
        <row r="3381">
          <cell r="C3381"/>
          <cell r="D3381"/>
        </row>
        <row r="3382">
          <cell r="C3382"/>
          <cell r="D3382"/>
        </row>
        <row r="3383">
          <cell r="C3383"/>
          <cell r="D3383"/>
        </row>
        <row r="3384">
          <cell r="C3384"/>
          <cell r="D3384"/>
        </row>
        <row r="3385">
          <cell r="C3385"/>
          <cell r="D3385"/>
        </row>
        <row r="3386">
          <cell r="C3386"/>
          <cell r="D3386"/>
        </row>
        <row r="3387">
          <cell r="C3387"/>
          <cell r="D3387"/>
        </row>
        <row r="3388">
          <cell r="C3388"/>
          <cell r="D3388"/>
        </row>
        <row r="3389">
          <cell r="C3389"/>
          <cell r="D3389"/>
        </row>
        <row r="3390">
          <cell r="C3390"/>
          <cell r="D3390"/>
        </row>
        <row r="3391">
          <cell r="C3391"/>
          <cell r="D3391"/>
        </row>
        <row r="3392">
          <cell r="C3392"/>
          <cell r="D3392"/>
        </row>
        <row r="3393">
          <cell r="C3393"/>
          <cell r="D3393"/>
        </row>
        <row r="3394">
          <cell r="C3394"/>
          <cell r="D3394"/>
        </row>
        <row r="3395">
          <cell r="C3395"/>
          <cell r="D3395"/>
        </row>
        <row r="3396">
          <cell r="C3396"/>
          <cell r="D3396"/>
        </row>
        <row r="3397">
          <cell r="C3397"/>
          <cell r="D3397"/>
        </row>
        <row r="3398">
          <cell r="C3398"/>
          <cell r="D3398"/>
        </row>
        <row r="3399">
          <cell r="C3399"/>
          <cell r="D3399"/>
        </row>
        <row r="3400">
          <cell r="C3400"/>
          <cell r="D3400"/>
        </row>
        <row r="3401">
          <cell r="C3401"/>
          <cell r="D3401"/>
        </row>
        <row r="3402">
          <cell r="C3402"/>
          <cell r="D3402"/>
        </row>
        <row r="3403">
          <cell r="C3403"/>
          <cell r="D3403"/>
        </row>
        <row r="3404">
          <cell r="C3404"/>
          <cell r="D3404"/>
        </row>
        <row r="3405">
          <cell r="C3405"/>
          <cell r="D3405"/>
        </row>
        <row r="3406">
          <cell r="C3406"/>
          <cell r="D3406"/>
        </row>
        <row r="3407">
          <cell r="C3407"/>
          <cell r="D3407"/>
        </row>
        <row r="3408">
          <cell r="C3408"/>
          <cell r="D3408"/>
        </row>
        <row r="3409">
          <cell r="C3409"/>
          <cell r="D3409"/>
        </row>
        <row r="3410">
          <cell r="C3410"/>
          <cell r="D3410"/>
        </row>
        <row r="3411">
          <cell r="C3411"/>
          <cell r="D3411"/>
        </row>
        <row r="3412">
          <cell r="C3412"/>
          <cell r="D3412"/>
        </row>
        <row r="3413">
          <cell r="C3413"/>
          <cell r="D3413"/>
        </row>
        <row r="3414">
          <cell r="C3414"/>
          <cell r="D3414"/>
        </row>
        <row r="3415">
          <cell r="C3415"/>
          <cell r="D3415"/>
        </row>
        <row r="3416">
          <cell r="C3416"/>
          <cell r="D3416"/>
        </row>
        <row r="3417">
          <cell r="C3417"/>
          <cell r="D3417"/>
        </row>
        <row r="3418">
          <cell r="C3418"/>
          <cell r="D3418"/>
        </row>
        <row r="3419">
          <cell r="C3419"/>
          <cell r="D3419"/>
        </row>
        <row r="3420">
          <cell r="C3420"/>
          <cell r="D3420"/>
        </row>
        <row r="3421">
          <cell r="C3421"/>
          <cell r="D3421"/>
        </row>
        <row r="3422">
          <cell r="C3422"/>
          <cell r="D3422"/>
        </row>
        <row r="3423">
          <cell r="C3423"/>
          <cell r="D3423"/>
        </row>
        <row r="3424">
          <cell r="C3424"/>
          <cell r="D3424"/>
        </row>
        <row r="3425">
          <cell r="C3425"/>
          <cell r="D3425"/>
        </row>
        <row r="3426">
          <cell r="C3426"/>
          <cell r="D3426"/>
        </row>
        <row r="3427">
          <cell r="C3427"/>
          <cell r="D3427"/>
        </row>
        <row r="3428">
          <cell r="C3428"/>
          <cell r="D3428"/>
        </row>
        <row r="3429">
          <cell r="C3429"/>
          <cell r="D3429"/>
        </row>
        <row r="3430">
          <cell r="C3430"/>
          <cell r="D3430"/>
        </row>
        <row r="3431">
          <cell r="C3431"/>
          <cell r="D3431"/>
        </row>
        <row r="3432">
          <cell r="C3432"/>
          <cell r="D3432"/>
        </row>
        <row r="3433">
          <cell r="C3433"/>
          <cell r="D3433"/>
        </row>
        <row r="3434">
          <cell r="C3434"/>
          <cell r="D3434"/>
        </row>
        <row r="3435">
          <cell r="C3435"/>
          <cell r="D3435"/>
        </row>
        <row r="3436">
          <cell r="C3436"/>
          <cell r="D3436"/>
        </row>
        <row r="3437">
          <cell r="C3437"/>
          <cell r="D3437"/>
        </row>
        <row r="3438">
          <cell r="C3438"/>
          <cell r="D3438"/>
        </row>
        <row r="3439">
          <cell r="C3439"/>
          <cell r="D3439"/>
        </row>
        <row r="3440">
          <cell r="C3440"/>
          <cell r="D3440"/>
        </row>
        <row r="3441">
          <cell r="C3441"/>
          <cell r="D3441"/>
        </row>
        <row r="3442">
          <cell r="C3442"/>
          <cell r="D3442"/>
        </row>
        <row r="3443">
          <cell r="C3443"/>
          <cell r="D3443"/>
        </row>
        <row r="3444">
          <cell r="C3444"/>
          <cell r="D3444"/>
        </row>
        <row r="3445">
          <cell r="C3445"/>
          <cell r="D3445"/>
        </row>
        <row r="3446">
          <cell r="C3446"/>
          <cell r="D3446"/>
        </row>
        <row r="3447">
          <cell r="C3447"/>
          <cell r="D3447"/>
        </row>
        <row r="3448">
          <cell r="C3448"/>
          <cell r="D3448"/>
        </row>
        <row r="3449">
          <cell r="C3449"/>
          <cell r="D3449"/>
        </row>
        <row r="3450">
          <cell r="C3450"/>
          <cell r="D3450"/>
        </row>
        <row r="3451">
          <cell r="C3451"/>
          <cell r="D3451"/>
        </row>
        <row r="3452">
          <cell r="C3452"/>
          <cell r="D3452"/>
        </row>
        <row r="3453">
          <cell r="C3453"/>
          <cell r="D3453"/>
        </row>
        <row r="3454">
          <cell r="C3454"/>
          <cell r="D3454"/>
        </row>
        <row r="3455">
          <cell r="C3455"/>
          <cell r="D3455"/>
        </row>
        <row r="3456">
          <cell r="C3456"/>
          <cell r="D3456"/>
        </row>
        <row r="3457">
          <cell r="C3457"/>
          <cell r="D3457"/>
        </row>
        <row r="3458">
          <cell r="C3458"/>
          <cell r="D3458"/>
        </row>
        <row r="3459">
          <cell r="C3459"/>
          <cell r="D3459"/>
        </row>
        <row r="3460">
          <cell r="C3460"/>
          <cell r="D3460"/>
        </row>
        <row r="3461">
          <cell r="C3461"/>
          <cell r="D3461"/>
        </row>
        <row r="3462">
          <cell r="C3462"/>
          <cell r="D3462"/>
        </row>
        <row r="3463">
          <cell r="C3463"/>
          <cell r="D3463"/>
        </row>
        <row r="3464">
          <cell r="C3464"/>
          <cell r="D3464"/>
        </row>
        <row r="3465">
          <cell r="C3465"/>
          <cell r="D3465"/>
        </row>
        <row r="3466">
          <cell r="C3466"/>
          <cell r="D3466"/>
        </row>
        <row r="3467">
          <cell r="C3467"/>
          <cell r="D3467"/>
        </row>
        <row r="3468">
          <cell r="C3468"/>
          <cell r="D3468"/>
        </row>
        <row r="3469">
          <cell r="C3469"/>
          <cell r="D3469"/>
        </row>
        <row r="3470">
          <cell r="C3470"/>
          <cell r="D3470"/>
        </row>
        <row r="3471">
          <cell r="C3471"/>
          <cell r="D3471"/>
        </row>
        <row r="3472">
          <cell r="C3472"/>
          <cell r="D3472"/>
        </row>
        <row r="3473">
          <cell r="C3473"/>
          <cell r="D3473"/>
        </row>
        <row r="3474">
          <cell r="C3474"/>
          <cell r="D3474"/>
        </row>
        <row r="3475">
          <cell r="C3475"/>
          <cell r="D3475"/>
        </row>
        <row r="3476">
          <cell r="C3476"/>
          <cell r="D3476"/>
        </row>
        <row r="3477">
          <cell r="C3477"/>
          <cell r="D3477"/>
        </row>
        <row r="3478">
          <cell r="C3478"/>
          <cell r="D3478"/>
        </row>
        <row r="3479">
          <cell r="C3479"/>
          <cell r="D3479"/>
        </row>
        <row r="3480">
          <cell r="C3480"/>
          <cell r="D3480"/>
        </row>
        <row r="3481">
          <cell r="C3481"/>
          <cell r="D3481"/>
        </row>
        <row r="3482">
          <cell r="C3482"/>
          <cell r="D3482"/>
        </row>
        <row r="3483">
          <cell r="C3483"/>
          <cell r="D3483"/>
        </row>
        <row r="3484">
          <cell r="C3484"/>
          <cell r="D3484"/>
        </row>
        <row r="3485">
          <cell r="C3485"/>
          <cell r="D3485"/>
        </row>
        <row r="3486">
          <cell r="C3486"/>
          <cell r="D3486"/>
        </row>
        <row r="3487">
          <cell r="C3487"/>
          <cell r="D3487"/>
        </row>
        <row r="3488">
          <cell r="C3488"/>
          <cell r="D3488"/>
        </row>
        <row r="3489">
          <cell r="C3489"/>
          <cell r="D3489"/>
        </row>
        <row r="3490">
          <cell r="C3490"/>
          <cell r="D3490"/>
        </row>
        <row r="3491">
          <cell r="C3491"/>
          <cell r="D3491"/>
        </row>
        <row r="3492">
          <cell r="C3492"/>
          <cell r="D3492"/>
        </row>
        <row r="3493">
          <cell r="C3493"/>
          <cell r="D3493"/>
        </row>
        <row r="3494">
          <cell r="C3494"/>
          <cell r="D3494"/>
        </row>
        <row r="3495">
          <cell r="C3495"/>
          <cell r="D3495"/>
        </row>
        <row r="3496">
          <cell r="C3496"/>
          <cell r="D3496"/>
        </row>
        <row r="3497">
          <cell r="C3497"/>
          <cell r="D3497"/>
        </row>
        <row r="3498">
          <cell r="C3498"/>
          <cell r="D3498"/>
        </row>
        <row r="3499">
          <cell r="C3499"/>
          <cell r="D3499"/>
        </row>
        <row r="3500">
          <cell r="C3500"/>
          <cell r="D3500"/>
        </row>
        <row r="3501">
          <cell r="C3501"/>
          <cell r="D3501"/>
        </row>
        <row r="3502">
          <cell r="C3502"/>
          <cell r="D3502"/>
        </row>
        <row r="3503">
          <cell r="C3503"/>
          <cell r="D3503"/>
        </row>
        <row r="3504">
          <cell r="C3504"/>
          <cell r="D3504"/>
        </row>
        <row r="3505">
          <cell r="C3505"/>
          <cell r="D3505"/>
        </row>
        <row r="3506">
          <cell r="C3506"/>
          <cell r="D3506"/>
        </row>
        <row r="3507">
          <cell r="C3507"/>
          <cell r="D3507"/>
        </row>
        <row r="3508">
          <cell r="C3508"/>
          <cell r="D3508"/>
        </row>
        <row r="3509">
          <cell r="C3509"/>
          <cell r="D3509"/>
        </row>
        <row r="3510">
          <cell r="C3510"/>
          <cell r="D3510"/>
        </row>
        <row r="3511">
          <cell r="C3511"/>
          <cell r="D3511"/>
        </row>
        <row r="3512">
          <cell r="C3512"/>
          <cell r="D3512"/>
        </row>
        <row r="3513">
          <cell r="C3513"/>
          <cell r="D3513"/>
        </row>
        <row r="3514">
          <cell r="C3514"/>
          <cell r="D3514"/>
        </row>
        <row r="3515">
          <cell r="C3515"/>
          <cell r="D3515"/>
        </row>
        <row r="3516">
          <cell r="C3516"/>
          <cell r="D3516"/>
        </row>
        <row r="3517">
          <cell r="C3517"/>
          <cell r="D3517"/>
        </row>
        <row r="3518">
          <cell r="C3518"/>
          <cell r="D3518"/>
        </row>
        <row r="3519">
          <cell r="C3519"/>
          <cell r="D3519"/>
        </row>
        <row r="3520">
          <cell r="C3520"/>
          <cell r="D3520"/>
        </row>
        <row r="3521">
          <cell r="C3521"/>
          <cell r="D3521"/>
        </row>
        <row r="3522">
          <cell r="C3522"/>
          <cell r="D3522"/>
        </row>
        <row r="3523">
          <cell r="C3523"/>
          <cell r="D3523"/>
        </row>
        <row r="3524">
          <cell r="C3524"/>
          <cell r="D3524"/>
        </row>
        <row r="3525">
          <cell r="C3525"/>
          <cell r="D3525"/>
        </row>
        <row r="3526">
          <cell r="C3526"/>
          <cell r="D3526"/>
        </row>
        <row r="3527">
          <cell r="C3527"/>
          <cell r="D3527"/>
        </row>
        <row r="3528">
          <cell r="C3528"/>
          <cell r="D3528"/>
        </row>
        <row r="3529">
          <cell r="C3529"/>
          <cell r="D3529"/>
        </row>
        <row r="3530">
          <cell r="C3530"/>
          <cell r="D3530"/>
        </row>
        <row r="3531">
          <cell r="C3531"/>
          <cell r="D3531"/>
        </row>
        <row r="3532">
          <cell r="C3532"/>
          <cell r="D3532"/>
        </row>
        <row r="3533">
          <cell r="C3533"/>
          <cell r="D3533"/>
        </row>
        <row r="3534">
          <cell r="C3534"/>
          <cell r="D3534"/>
        </row>
        <row r="3535">
          <cell r="C3535"/>
          <cell r="D3535"/>
        </row>
        <row r="3536">
          <cell r="C3536"/>
          <cell r="D3536"/>
        </row>
        <row r="3537">
          <cell r="C3537"/>
          <cell r="D3537"/>
        </row>
        <row r="3538">
          <cell r="C3538"/>
          <cell r="D3538"/>
        </row>
        <row r="3539">
          <cell r="C3539"/>
          <cell r="D3539"/>
        </row>
        <row r="3540">
          <cell r="C3540"/>
          <cell r="D3540"/>
        </row>
        <row r="3541">
          <cell r="C3541"/>
          <cell r="D3541"/>
        </row>
        <row r="3542">
          <cell r="C3542"/>
          <cell r="D3542"/>
        </row>
        <row r="3543">
          <cell r="C3543"/>
          <cell r="D3543"/>
        </row>
        <row r="3544">
          <cell r="C3544"/>
          <cell r="D3544"/>
        </row>
        <row r="3545">
          <cell r="C3545"/>
          <cell r="D3545"/>
        </row>
        <row r="3546">
          <cell r="C3546"/>
          <cell r="D3546"/>
        </row>
        <row r="3547">
          <cell r="C3547"/>
          <cell r="D3547"/>
        </row>
        <row r="3548">
          <cell r="C3548"/>
          <cell r="D3548"/>
        </row>
        <row r="3549">
          <cell r="C3549"/>
          <cell r="D3549"/>
        </row>
        <row r="3550">
          <cell r="C3550"/>
          <cell r="D3550"/>
        </row>
        <row r="3551">
          <cell r="C3551"/>
          <cell r="D3551"/>
        </row>
        <row r="3552">
          <cell r="C3552"/>
          <cell r="D3552"/>
        </row>
        <row r="3553">
          <cell r="C3553"/>
          <cell r="D3553"/>
        </row>
        <row r="3554">
          <cell r="C3554"/>
          <cell r="D3554"/>
        </row>
        <row r="3555">
          <cell r="C3555"/>
          <cell r="D3555"/>
        </row>
        <row r="3556">
          <cell r="C3556"/>
          <cell r="D3556"/>
        </row>
        <row r="3557">
          <cell r="C3557"/>
          <cell r="D3557"/>
        </row>
        <row r="3558">
          <cell r="C3558"/>
          <cell r="D3558"/>
        </row>
        <row r="3559">
          <cell r="C3559"/>
          <cell r="D3559"/>
        </row>
        <row r="3560">
          <cell r="C3560"/>
          <cell r="D3560"/>
        </row>
        <row r="3561">
          <cell r="C3561"/>
          <cell r="D3561"/>
        </row>
        <row r="3562">
          <cell r="C3562"/>
          <cell r="D3562"/>
        </row>
        <row r="3563">
          <cell r="C3563"/>
          <cell r="D3563"/>
        </row>
        <row r="3564">
          <cell r="C3564"/>
          <cell r="D3564"/>
        </row>
        <row r="3565">
          <cell r="C3565"/>
          <cell r="D3565"/>
        </row>
        <row r="3566">
          <cell r="C3566"/>
          <cell r="D3566"/>
        </row>
        <row r="3567">
          <cell r="C3567"/>
          <cell r="D3567"/>
        </row>
        <row r="3568">
          <cell r="C3568"/>
          <cell r="D3568"/>
        </row>
        <row r="3569">
          <cell r="C3569"/>
          <cell r="D3569"/>
        </row>
        <row r="3570">
          <cell r="C3570"/>
          <cell r="D3570"/>
        </row>
        <row r="3571">
          <cell r="C3571"/>
          <cell r="D3571"/>
        </row>
        <row r="3572">
          <cell r="C3572"/>
          <cell r="D3572"/>
        </row>
        <row r="3573">
          <cell r="C3573"/>
          <cell r="D3573"/>
        </row>
        <row r="3574">
          <cell r="C3574"/>
          <cell r="D3574"/>
        </row>
        <row r="3575">
          <cell r="C3575"/>
          <cell r="D3575"/>
        </row>
        <row r="3576">
          <cell r="C3576"/>
          <cell r="D3576"/>
        </row>
        <row r="3577">
          <cell r="C3577"/>
          <cell r="D3577"/>
        </row>
        <row r="3578">
          <cell r="C3578"/>
          <cell r="D3578"/>
        </row>
        <row r="3579">
          <cell r="C3579"/>
          <cell r="D3579"/>
        </row>
        <row r="3580">
          <cell r="C3580"/>
          <cell r="D3580"/>
        </row>
        <row r="3581">
          <cell r="C3581"/>
          <cell r="D3581"/>
        </row>
        <row r="3582">
          <cell r="C3582"/>
          <cell r="D3582"/>
        </row>
        <row r="3583">
          <cell r="C3583"/>
          <cell r="D3583"/>
        </row>
        <row r="3585">
          <cell r="C3585"/>
          <cell r="D3585"/>
        </row>
        <row r="3586">
          <cell r="C3586"/>
          <cell r="D3586"/>
        </row>
        <row r="3587">
          <cell r="C3587"/>
          <cell r="D3587"/>
        </row>
        <row r="3588">
          <cell r="C3588"/>
          <cell r="D3588"/>
        </row>
        <row r="3589">
          <cell r="C3589"/>
          <cell r="D3589"/>
        </row>
        <row r="3590">
          <cell r="C3590"/>
          <cell r="D3590"/>
        </row>
        <row r="3591">
          <cell r="C3591"/>
          <cell r="D3591"/>
        </row>
        <row r="3592">
          <cell r="C3592"/>
          <cell r="D3592"/>
        </row>
        <row r="3593">
          <cell r="C3593"/>
          <cell r="D3593"/>
        </row>
        <row r="3594">
          <cell r="C3594"/>
          <cell r="D3594"/>
        </row>
        <row r="3595">
          <cell r="C3595"/>
          <cell r="D3595"/>
        </row>
        <row r="3596">
          <cell r="C3596"/>
          <cell r="D3596"/>
        </row>
        <row r="3597">
          <cell r="C3597"/>
          <cell r="D3597"/>
        </row>
        <row r="3598">
          <cell r="C3598"/>
          <cell r="D3598"/>
        </row>
        <row r="3599">
          <cell r="C3599"/>
          <cell r="D3599"/>
        </row>
        <row r="3600">
          <cell r="C3600"/>
          <cell r="D3600"/>
        </row>
        <row r="3601">
          <cell r="C3601"/>
          <cell r="D3601"/>
        </row>
        <row r="3602">
          <cell r="C3602"/>
          <cell r="D3602"/>
        </row>
        <row r="3603">
          <cell r="C3603"/>
          <cell r="D3603"/>
        </row>
        <row r="3604">
          <cell r="C3604"/>
          <cell r="D3604"/>
        </row>
        <row r="3605">
          <cell r="C3605"/>
          <cell r="D3605"/>
        </row>
        <row r="3606">
          <cell r="C3606"/>
          <cell r="D3606"/>
        </row>
        <row r="3607">
          <cell r="C3607"/>
          <cell r="D3607"/>
        </row>
        <row r="3608">
          <cell r="C3608"/>
          <cell r="D3608"/>
        </row>
        <row r="3609">
          <cell r="C3609"/>
          <cell r="D3609"/>
        </row>
        <row r="3610">
          <cell r="C3610"/>
          <cell r="D3610"/>
        </row>
        <row r="3611">
          <cell r="C3611"/>
          <cell r="D3611"/>
        </row>
        <row r="3612">
          <cell r="C3612"/>
          <cell r="D3612"/>
        </row>
        <row r="3613">
          <cell r="C3613"/>
          <cell r="D3613"/>
        </row>
        <row r="3614">
          <cell r="C3614"/>
          <cell r="D3614"/>
        </row>
        <row r="3615">
          <cell r="C3615"/>
          <cell r="D3615"/>
        </row>
        <row r="3616">
          <cell r="C3616"/>
          <cell r="D3616"/>
        </row>
        <row r="3617">
          <cell r="C3617"/>
          <cell r="D3617"/>
        </row>
        <row r="3618">
          <cell r="C3618"/>
          <cell r="D3618"/>
        </row>
        <row r="3619">
          <cell r="C3619"/>
          <cell r="D3619"/>
        </row>
        <row r="3620">
          <cell r="C3620"/>
          <cell r="D3620"/>
        </row>
        <row r="3621">
          <cell r="C3621"/>
          <cell r="D3621"/>
        </row>
        <row r="3622">
          <cell r="C3622"/>
          <cell r="D3622"/>
        </row>
        <row r="3623">
          <cell r="C3623"/>
          <cell r="D3623"/>
        </row>
        <row r="3624">
          <cell r="C3624"/>
          <cell r="D3624"/>
        </row>
        <row r="3625">
          <cell r="C3625"/>
          <cell r="D3625"/>
        </row>
        <row r="3626">
          <cell r="C3626"/>
          <cell r="D3626"/>
        </row>
        <row r="3627">
          <cell r="C3627"/>
          <cell r="D3627"/>
        </row>
        <row r="3628">
          <cell r="C3628"/>
          <cell r="D3628"/>
        </row>
        <row r="3629">
          <cell r="C3629"/>
          <cell r="D3629"/>
        </row>
        <row r="3630">
          <cell r="C3630"/>
          <cell r="D3630"/>
        </row>
        <row r="3631">
          <cell r="C3631"/>
          <cell r="D3631"/>
        </row>
        <row r="3632">
          <cell r="C3632"/>
          <cell r="D3632"/>
        </row>
        <row r="3633">
          <cell r="C3633"/>
          <cell r="D3633"/>
        </row>
        <row r="3634">
          <cell r="C3634"/>
          <cell r="D3634"/>
        </row>
        <row r="3635">
          <cell r="C3635"/>
          <cell r="D3635"/>
        </row>
        <row r="3636">
          <cell r="C3636"/>
          <cell r="D3636"/>
        </row>
        <row r="3637">
          <cell r="C3637"/>
          <cell r="D3637"/>
        </row>
        <row r="3638">
          <cell r="C3638"/>
          <cell r="D3638"/>
        </row>
        <row r="3639">
          <cell r="C3639"/>
          <cell r="D3639"/>
        </row>
        <row r="3640">
          <cell r="C3640"/>
          <cell r="D3640"/>
        </row>
        <row r="3641">
          <cell r="C3641"/>
          <cell r="D3641"/>
        </row>
        <row r="3642">
          <cell r="C3642"/>
          <cell r="D3642"/>
        </row>
        <row r="3643">
          <cell r="C3643"/>
          <cell r="D3643"/>
        </row>
        <row r="3644">
          <cell r="C3644"/>
          <cell r="D3644"/>
        </row>
        <row r="3645">
          <cell r="C3645"/>
          <cell r="D3645"/>
        </row>
        <row r="3646">
          <cell r="C3646"/>
          <cell r="D3646"/>
        </row>
        <row r="3647">
          <cell r="C3647"/>
          <cell r="D3647"/>
        </row>
        <row r="3648">
          <cell r="C3648"/>
          <cell r="D3648"/>
        </row>
        <row r="3649">
          <cell r="C3649"/>
          <cell r="D3649"/>
        </row>
        <row r="3650">
          <cell r="C3650"/>
          <cell r="D3650"/>
        </row>
        <row r="3651">
          <cell r="C3651"/>
          <cell r="D3651"/>
        </row>
        <row r="3652">
          <cell r="C3652"/>
          <cell r="D3652"/>
        </row>
        <row r="3653">
          <cell r="C3653"/>
          <cell r="D3653"/>
        </row>
        <row r="3654">
          <cell r="C3654"/>
          <cell r="D3654"/>
        </row>
        <row r="3655">
          <cell r="C3655"/>
          <cell r="D3655"/>
        </row>
        <row r="3656">
          <cell r="C3656"/>
          <cell r="D3656"/>
        </row>
        <row r="3657">
          <cell r="C3657"/>
          <cell r="D3657"/>
        </row>
        <row r="3658">
          <cell r="C3658"/>
          <cell r="D3658"/>
        </row>
        <row r="3659">
          <cell r="C3659"/>
          <cell r="D3659"/>
        </row>
        <row r="3660">
          <cell r="C3660"/>
          <cell r="D3660"/>
        </row>
        <row r="3661">
          <cell r="C3661"/>
          <cell r="D3661"/>
        </row>
        <row r="3662">
          <cell r="C3662"/>
          <cell r="D3662"/>
        </row>
        <row r="3663">
          <cell r="C3663"/>
          <cell r="D3663"/>
        </row>
        <row r="3664">
          <cell r="C3664"/>
          <cell r="D3664"/>
        </row>
        <row r="3665">
          <cell r="C3665"/>
          <cell r="D3665"/>
        </row>
        <row r="3666">
          <cell r="C3666"/>
          <cell r="D3666"/>
        </row>
        <row r="3667">
          <cell r="C3667"/>
          <cell r="D3667"/>
        </row>
        <row r="3668">
          <cell r="C3668"/>
          <cell r="D3668"/>
        </row>
        <row r="3669">
          <cell r="C3669"/>
          <cell r="D3669"/>
        </row>
        <row r="3670">
          <cell r="C3670"/>
          <cell r="D3670"/>
        </row>
        <row r="3671">
          <cell r="C3671"/>
          <cell r="D3671"/>
        </row>
        <row r="3672">
          <cell r="C3672"/>
          <cell r="D3672"/>
        </row>
        <row r="3673">
          <cell r="C3673"/>
          <cell r="D3673"/>
        </row>
        <row r="3674">
          <cell r="C3674"/>
          <cell r="D3674"/>
        </row>
        <row r="3675">
          <cell r="C3675"/>
          <cell r="D3675"/>
        </row>
        <row r="3676">
          <cell r="C3676"/>
          <cell r="D3676"/>
        </row>
        <row r="3677">
          <cell r="C3677"/>
          <cell r="D3677"/>
        </row>
        <row r="3678">
          <cell r="C3678"/>
          <cell r="D3678"/>
        </row>
        <row r="3679">
          <cell r="C3679"/>
          <cell r="D3679"/>
        </row>
        <row r="3680">
          <cell r="C3680"/>
          <cell r="D3680"/>
        </row>
        <row r="3681">
          <cell r="C3681"/>
          <cell r="D3681"/>
        </row>
        <row r="3682">
          <cell r="C3682"/>
          <cell r="D3682"/>
        </row>
        <row r="3683">
          <cell r="C3683"/>
          <cell r="D3683"/>
        </row>
        <row r="3684">
          <cell r="C3684"/>
          <cell r="D3684"/>
        </row>
        <row r="3685">
          <cell r="C3685"/>
          <cell r="D3685"/>
        </row>
        <row r="3686">
          <cell r="C3686"/>
          <cell r="D3686"/>
        </row>
        <row r="3687">
          <cell r="C3687"/>
          <cell r="D3687"/>
        </row>
        <row r="3688">
          <cell r="C3688"/>
          <cell r="D3688"/>
        </row>
        <row r="3689">
          <cell r="C3689"/>
          <cell r="D3689"/>
        </row>
        <row r="3690">
          <cell r="C3690"/>
          <cell r="D3690"/>
        </row>
        <row r="3691">
          <cell r="C3691"/>
          <cell r="D3691"/>
        </row>
        <row r="3692">
          <cell r="C3692"/>
          <cell r="D3692"/>
        </row>
        <row r="3693">
          <cell r="C3693"/>
          <cell r="D3693"/>
        </row>
        <row r="3694">
          <cell r="C3694"/>
          <cell r="D3694"/>
        </row>
        <row r="3695">
          <cell r="C3695"/>
          <cell r="D3695"/>
        </row>
        <row r="3696">
          <cell r="C3696"/>
          <cell r="D3696"/>
        </row>
        <row r="3697">
          <cell r="C3697"/>
          <cell r="D3697"/>
        </row>
        <row r="3698">
          <cell r="C3698"/>
          <cell r="D3698"/>
        </row>
        <row r="3699">
          <cell r="C3699"/>
          <cell r="D3699"/>
        </row>
        <row r="3700">
          <cell r="C3700"/>
          <cell r="D3700"/>
        </row>
        <row r="3701">
          <cell r="C3701"/>
          <cell r="D3701"/>
        </row>
        <row r="3702">
          <cell r="C3702"/>
          <cell r="D3702"/>
        </row>
        <row r="3703">
          <cell r="C3703"/>
          <cell r="D3703"/>
        </row>
        <row r="3704">
          <cell r="C3704"/>
          <cell r="D3704"/>
        </row>
        <row r="3705">
          <cell r="C3705"/>
          <cell r="D3705"/>
        </row>
        <row r="3706">
          <cell r="C3706"/>
          <cell r="D3706"/>
        </row>
        <row r="3707">
          <cell r="C3707"/>
          <cell r="D3707"/>
        </row>
        <row r="3708">
          <cell r="C3708"/>
          <cell r="D3708"/>
        </row>
        <row r="3709">
          <cell r="C3709"/>
          <cell r="D3709"/>
        </row>
        <row r="3710">
          <cell r="C3710"/>
          <cell r="D3710"/>
        </row>
        <row r="3711">
          <cell r="C3711"/>
          <cell r="D3711"/>
        </row>
        <row r="3712">
          <cell r="C3712"/>
          <cell r="D3712"/>
        </row>
        <row r="3713">
          <cell r="C3713"/>
          <cell r="D3713"/>
        </row>
        <row r="3714">
          <cell r="C3714"/>
          <cell r="D3714"/>
        </row>
        <row r="3715">
          <cell r="C3715"/>
          <cell r="D3715"/>
        </row>
        <row r="3716">
          <cell r="C3716"/>
          <cell r="D3716"/>
        </row>
        <row r="3717">
          <cell r="C3717"/>
          <cell r="D3717"/>
        </row>
        <row r="3718">
          <cell r="C3718"/>
          <cell r="D3718"/>
        </row>
        <row r="3719">
          <cell r="C3719"/>
          <cell r="D3719"/>
        </row>
        <row r="3720">
          <cell r="C3720"/>
          <cell r="D3720"/>
        </row>
        <row r="3721">
          <cell r="C3721"/>
          <cell r="D3721"/>
        </row>
        <row r="3722">
          <cell r="C3722"/>
          <cell r="D3722"/>
        </row>
        <row r="3723">
          <cell r="C3723"/>
          <cell r="D3723"/>
        </row>
        <row r="3724">
          <cell r="C3724"/>
          <cell r="D3724"/>
        </row>
        <row r="3725">
          <cell r="C3725"/>
          <cell r="D3725"/>
        </row>
        <row r="3726">
          <cell r="C3726"/>
          <cell r="D3726"/>
        </row>
        <row r="3727">
          <cell r="C3727"/>
          <cell r="D3727"/>
        </row>
        <row r="3728">
          <cell r="C3728"/>
          <cell r="D3728"/>
        </row>
        <row r="3729">
          <cell r="C3729"/>
          <cell r="D3729"/>
        </row>
        <row r="3730">
          <cell r="C3730"/>
          <cell r="D3730"/>
        </row>
        <row r="3731">
          <cell r="C3731"/>
          <cell r="D3731"/>
        </row>
        <row r="3732">
          <cell r="C3732"/>
          <cell r="D3732"/>
        </row>
        <row r="3733">
          <cell r="C3733"/>
          <cell r="D3733"/>
        </row>
        <row r="3734">
          <cell r="C3734"/>
          <cell r="D3734"/>
        </row>
        <row r="3735">
          <cell r="C3735"/>
          <cell r="D3735"/>
        </row>
        <row r="3736">
          <cell r="C3736"/>
          <cell r="D3736"/>
        </row>
        <row r="3737">
          <cell r="C3737"/>
          <cell r="D3737"/>
        </row>
        <row r="3738">
          <cell r="C3738"/>
          <cell r="D3738"/>
        </row>
        <row r="3739">
          <cell r="C3739"/>
          <cell r="D3739"/>
        </row>
        <row r="3740">
          <cell r="C3740"/>
          <cell r="D3740"/>
        </row>
        <row r="3741">
          <cell r="C3741"/>
          <cell r="D3741"/>
        </row>
        <row r="3742">
          <cell r="C3742"/>
          <cell r="D3742"/>
        </row>
        <row r="3743">
          <cell r="C3743"/>
          <cell r="D3743"/>
        </row>
        <row r="3744">
          <cell r="C3744"/>
          <cell r="D3744"/>
        </row>
        <row r="3745">
          <cell r="C3745"/>
          <cell r="D3745"/>
        </row>
        <row r="3746">
          <cell r="C3746"/>
          <cell r="D3746"/>
        </row>
        <row r="3747">
          <cell r="C3747"/>
          <cell r="D3747"/>
        </row>
        <row r="3748">
          <cell r="C3748"/>
          <cell r="D3748"/>
        </row>
        <row r="3749">
          <cell r="C3749"/>
          <cell r="D3749"/>
        </row>
        <row r="3750">
          <cell r="C3750"/>
          <cell r="D3750"/>
        </row>
        <row r="3751">
          <cell r="C3751"/>
          <cell r="D3751"/>
        </row>
        <row r="3752">
          <cell r="C3752"/>
          <cell r="D3752"/>
        </row>
        <row r="3753">
          <cell r="C3753"/>
          <cell r="D3753"/>
        </row>
        <row r="3754">
          <cell r="C3754"/>
          <cell r="D3754"/>
        </row>
        <row r="3755">
          <cell r="C3755"/>
          <cell r="D3755"/>
        </row>
        <row r="3756">
          <cell r="C3756"/>
          <cell r="D3756"/>
        </row>
        <row r="3757">
          <cell r="C3757"/>
          <cell r="D3757"/>
        </row>
        <row r="3758">
          <cell r="C3758"/>
          <cell r="D3758"/>
        </row>
        <row r="3759">
          <cell r="C3759"/>
          <cell r="D3759"/>
        </row>
        <row r="3760">
          <cell r="C3760"/>
          <cell r="D3760"/>
        </row>
        <row r="3761">
          <cell r="C3761"/>
          <cell r="D3761"/>
        </row>
        <row r="3762">
          <cell r="C3762"/>
          <cell r="D3762"/>
        </row>
        <row r="3763">
          <cell r="C3763"/>
          <cell r="D3763"/>
        </row>
        <row r="3764">
          <cell r="C3764"/>
          <cell r="D3764"/>
        </row>
        <row r="3765">
          <cell r="C3765"/>
          <cell r="D3765"/>
        </row>
        <row r="3766">
          <cell r="C3766"/>
          <cell r="D3766"/>
        </row>
        <row r="3767">
          <cell r="C3767"/>
          <cell r="D3767"/>
        </row>
        <row r="3768">
          <cell r="C3768"/>
          <cell r="D3768"/>
        </row>
        <row r="3769">
          <cell r="C3769"/>
          <cell r="D3769"/>
        </row>
        <row r="3770">
          <cell r="C3770"/>
          <cell r="D3770"/>
        </row>
        <row r="3771">
          <cell r="C3771"/>
          <cell r="D3771"/>
        </row>
        <row r="3772">
          <cell r="C3772"/>
          <cell r="D3772"/>
        </row>
        <row r="3773">
          <cell r="C3773"/>
          <cell r="D3773"/>
        </row>
        <row r="3774">
          <cell r="C3774"/>
          <cell r="D3774"/>
        </row>
        <row r="3775">
          <cell r="C3775"/>
          <cell r="D3775"/>
        </row>
        <row r="3776">
          <cell r="C3776"/>
          <cell r="D3776"/>
        </row>
        <row r="3777">
          <cell r="C3777"/>
          <cell r="D3777"/>
        </row>
        <row r="3778">
          <cell r="C3778"/>
          <cell r="D3778"/>
        </row>
        <row r="3779">
          <cell r="C3779"/>
          <cell r="D3779"/>
        </row>
        <row r="3780">
          <cell r="C3780"/>
          <cell r="D3780"/>
        </row>
        <row r="3781">
          <cell r="C3781"/>
          <cell r="D3781"/>
        </row>
        <row r="3782">
          <cell r="C3782"/>
          <cell r="D3782"/>
        </row>
        <row r="3783">
          <cell r="C3783"/>
          <cell r="D3783"/>
        </row>
        <row r="3784">
          <cell r="C3784"/>
          <cell r="D3784"/>
        </row>
        <row r="3785">
          <cell r="C3785"/>
          <cell r="D3785"/>
        </row>
        <row r="3786">
          <cell r="C3786"/>
          <cell r="D3786"/>
        </row>
        <row r="3787">
          <cell r="C3787"/>
          <cell r="D3787"/>
        </row>
        <row r="3788">
          <cell r="C3788"/>
          <cell r="D3788"/>
        </row>
        <row r="3789">
          <cell r="C3789"/>
          <cell r="D3789"/>
        </row>
        <row r="3790">
          <cell r="C3790"/>
          <cell r="D3790"/>
        </row>
        <row r="3791">
          <cell r="C3791"/>
          <cell r="D3791"/>
        </row>
        <row r="3792">
          <cell r="C3792"/>
          <cell r="D3792"/>
        </row>
        <row r="3793">
          <cell r="C3793"/>
          <cell r="D3793"/>
        </row>
        <row r="3794">
          <cell r="C3794"/>
          <cell r="D3794"/>
        </row>
        <row r="3795">
          <cell r="C3795"/>
          <cell r="D3795"/>
        </row>
        <row r="3796">
          <cell r="C3796"/>
          <cell r="D3796"/>
        </row>
        <row r="3797">
          <cell r="C3797"/>
          <cell r="D3797"/>
        </row>
        <row r="3798">
          <cell r="C3798"/>
          <cell r="D3798"/>
        </row>
        <row r="3799">
          <cell r="C3799"/>
          <cell r="D3799"/>
        </row>
        <row r="3800">
          <cell r="C3800"/>
          <cell r="D3800"/>
        </row>
        <row r="3801">
          <cell r="C3801"/>
          <cell r="D3801"/>
        </row>
        <row r="3802">
          <cell r="C3802"/>
          <cell r="D3802"/>
        </row>
        <row r="3803">
          <cell r="C3803"/>
          <cell r="D3803"/>
        </row>
        <row r="3804">
          <cell r="C3804"/>
          <cell r="D3804"/>
        </row>
        <row r="3805">
          <cell r="C3805"/>
          <cell r="D3805"/>
        </row>
        <row r="3806">
          <cell r="C3806"/>
          <cell r="D3806"/>
        </row>
        <row r="3807">
          <cell r="C3807"/>
          <cell r="D3807"/>
        </row>
        <row r="3808">
          <cell r="C3808"/>
          <cell r="D3808"/>
        </row>
        <row r="3809">
          <cell r="C3809"/>
          <cell r="D3809"/>
        </row>
        <row r="3810">
          <cell r="C3810"/>
          <cell r="D3810"/>
        </row>
        <row r="3811">
          <cell r="C3811"/>
          <cell r="D3811"/>
        </row>
        <row r="3812">
          <cell r="C3812"/>
          <cell r="D3812"/>
        </row>
        <row r="3813">
          <cell r="C3813"/>
          <cell r="D3813"/>
        </row>
        <row r="3814">
          <cell r="C3814"/>
          <cell r="D3814"/>
        </row>
        <row r="3815">
          <cell r="C3815"/>
          <cell r="D3815"/>
        </row>
        <row r="3816">
          <cell r="C3816"/>
          <cell r="D3816"/>
        </row>
        <row r="3817">
          <cell r="C3817"/>
          <cell r="D3817"/>
        </row>
        <row r="3818">
          <cell r="C3818"/>
          <cell r="D3818"/>
        </row>
        <row r="3819">
          <cell r="C3819"/>
          <cell r="D3819"/>
        </row>
        <row r="3820">
          <cell r="C3820"/>
          <cell r="D3820"/>
        </row>
        <row r="3821">
          <cell r="C3821"/>
          <cell r="D3821"/>
        </row>
        <row r="3822">
          <cell r="C3822"/>
          <cell r="D3822"/>
        </row>
        <row r="3823">
          <cell r="C3823"/>
          <cell r="D3823"/>
        </row>
        <row r="3824">
          <cell r="C3824"/>
          <cell r="D3824"/>
        </row>
        <row r="3825">
          <cell r="C3825"/>
          <cell r="D3825"/>
        </row>
        <row r="3826">
          <cell r="C3826"/>
          <cell r="D3826"/>
        </row>
        <row r="3827">
          <cell r="C3827"/>
          <cell r="D3827"/>
        </row>
        <row r="3828">
          <cell r="C3828"/>
          <cell r="D3828"/>
        </row>
        <row r="3829">
          <cell r="C3829"/>
          <cell r="D3829"/>
        </row>
        <row r="3830">
          <cell r="C3830"/>
          <cell r="D3830"/>
        </row>
        <row r="3831">
          <cell r="C3831"/>
          <cell r="D3831"/>
        </row>
        <row r="3832">
          <cell r="C3832"/>
          <cell r="D3832"/>
        </row>
        <row r="3833">
          <cell r="C3833"/>
          <cell r="D3833"/>
        </row>
        <row r="3834">
          <cell r="C3834"/>
          <cell r="D3834"/>
        </row>
        <row r="3835">
          <cell r="C3835"/>
          <cell r="D3835"/>
        </row>
        <row r="3836">
          <cell r="C3836"/>
          <cell r="D3836"/>
        </row>
        <row r="3837">
          <cell r="C3837"/>
          <cell r="D3837"/>
        </row>
        <row r="3838">
          <cell r="C3838"/>
          <cell r="D3838"/>
        </row>
        <row r="3839">
          <cell r="C3839"/>
          <cell r="D3839"/>
        </row>
        <row r="3840">
          <cell r="C3840"/>
          <cell r="D3840"/>
        </row>
        <row r="3841">
          <cell r="C3841"/>
          <cell r="D3841"/>
        </row>
        <row r="3842">
          <cell r="C3842"/>
          <cell r="D3842"/>
        </row>
        <row r="3843">
          <cell r="C3843"/>
          <cell r="D3843"/>
        </row>
        <row r="3844">
          <cell r="C3844"/>
          <cell r="D3844"/>
        </row>
        <row r="3845">
          <cell r="C3845"/>
          <cell r="D3845"/>
        </row>
        <row r="3846">
          <cell r="C3846"/>
          <cell r="D3846"/>
        </row>
        <row r="3847">
          <cell r="C3847"/>
          <cell r="D3847"/>
        </row>
        <row r="3848">
          <cell r="C3848"/>
          <cell r="D3848"/>
        </row>
        <row r="3849">
          <cell r="C3849"/>
          <cell r="D3849"/>
        </row>
        <row r="3850">
          <cell r="C3850"/>
          <cell r="D3850"/>
        </row>
        <row r="3851">
          <cell r="C3851"/>
          <cell r="D3851"/>
        </row>
        <row r="3852">
          <cell r="C3852"/>
          <cell r="D3852"/>
        </row>
        <row r="3853">
          <cell r="C3853"/>
          <cell r="D3853"/>
        </row>
        <row r="3854">
          <cell r="C3854"/>
          <cell r="D3854"/>
        </row>
        <row r="3855">
          <cell r="C3855"/>
          <cell r="D3855"/>
        </row>
        <row r="3856">
          <cell r="C3856"/>
          <cell r="D3856"/>
        </row>
        <row r="3857">
          <cell r="C3857"/>
          <cell r="D3857"/>
        </row>
        <row r="3858">
          <cell r="C3858"/>
          <cell r="D3858"/>
        </row>
        <row r="3859">
          <cell r="C3859"/>
          <cell r="D3859"/>
        </row>
        <row r="3860">
          <cell r="C3860"/>
          <cell r="D3860"/>
        </row>
        <row r="3861">
          <cell r="C3861"/>
          <cell r="D3861"/>
        </row>
        <row r="3862">
          <cell r="C3862"/>
          <cell r="D3862"/>
        </row>
        <row r="3863">
          <cell r="C3863"/>
          <cell r="D3863"/>
        </row>
        <row r="3864">
          <cell r="C3864"/>
          <cell r="D3864"/>
        </row>
        <row r="3865">
          <cell r="C3865"/>
          <cell r="D3865"/>
        </row>
        <row r="3866">
          <cell r="C3866"/>
          <cell r="D3866"/>
        </row>
        <row r="3867">
          <cell r="C3867"/>
          <cell r="D3867"/>
        </row>
        <row r="3868">
          <cell r="C3868"/>
          <cell r="D3868"/>
        </row>
        <row r="3869">
          <cell r="C3869"/>
          <cell r="D3869"/>
        </row>
        <row r="3870">
          <cell r="C3870"/>
          <cell r="D3870"/>
        </row>
        <row r="3871">
          <cell r="C3871"/>
          <cell r="D3871"/>
        </row>
        <row r="3872">
          <cell r="C3872"/>
          <cell r="D3872"/>
        </row>
        <row r="3873">
          <cell r="C3873"/>
          <cell r="D3873"/>
        </row>
        <row r="3874">
          <cell r="C3874"/>
          <cell r="D3874"/>
        </row>
        <row r="3875">
          <cell r="C3875"/>
          <cell r="D3875"/>
        </row>
        <row r="3876">
          <cell r="C3876"/>
          <cell r="D3876"/>
        </row>
        <row r="3877">
          <cell r="C3877"/>
          <cell r="D3877"/>
        </row>
        <row r="3878">
          <cell r="C3878"/>
          <cell r="D3878"/>
        </row>
        <row r="3879">
          <cell r="C3879"/>
          <cell r="D3879"/>
        </row>
        <row r="3880">
          <cell r="C3880"/>
          <cell r="D3880"/>
        </row>
        <row r="3881">
          <cell r="C3881"/>
          <cell r="D3881"/>
        </row>
        <row r="3882">
          <cell r="C3882"/>
          <cell r="D3882"/>
        </row>
        <row r="3883">
          <cell r="C3883"/>
          <cell r="D3883"/>
        </row>
        <row r="3884">
          <cell r="C3884"/>
          <cell r="D3884"/>
        </row>
        <row r="3885">
          <cell r="C3885"/>
          <cell r="D3885"/>
        </row>
        <row r="3886">
          <cell r="C3886"/>
          <cell r="D3886"/>
        </row>
        <row r="3887">
          <cell r="C3887"/>
          <cell r="D3887"/>
        </row>
        <row r="3888">
          <cell r="C3888"/>
          <cell r="D3888"/>
        </row>
        <row r="3889">
          <cell r="C3889"/>
          <cell r="D3889"/>
        </row>
        <row r="3890">
          <cell r="C3890"/>
          <cell r="D3890"/>
        </row>
        <row r="3891">
          <cell r="C3891"/>
          <cell r="D3891"/>
        </row>
        <row r="3892">
          <cell r="C3892"/>
          <cell r="D3892"/>
        </row>
        <row r="3893">
          <cell r="C3893"/>
          <cell r="D3893"/>
        </row>
        <row r="3894">
          <cell r="C3894"/>
          <cell r="D3894"/>
        </row>
        <row r="3895">
          <cell r="C3895"/>
          <cell r="D3895"/>
        </row>
        <row r="3896">
          <cell r="C3896"/>
          <cell r="D3896"/>
        </row>
        <row r="3897">
          <cell r="C3897"/>
          <cell r="D3897"/>
        </row>
        <row r="3898">
          <cell r="C3898"/>
          <cell r="D3898"/>
        </row>
        <row r="3899">
          <cell r="C3899"/>
          <cell r="D3899"/>
        </row>
        <row r="3900">
          <cell r="C3900"/>
          <cell r="D3900"/>
        </row>
        <row r="3901">
          <cell r="C3901"/>
          <cell r="D3901"/>
        </row>
        <row r="3902">
          <cell r="C3902"/>
          <cell r="D3902"/>
        </row>
        <row r="3903">
          <cell r="C3903"/>
          <cell r="D3903"/>
        </row>
        <row r="3904">
          <cell r="C3904"/>
          <cell r="D3904"/>
        </row>
        <row r="3905">
          <cell r="C3905"/>
          <cell r="D3905"/>
        </row>
        <row r="3906">
          <cell r="C3906"/>
          <cell r="D3906"/>
        </row>
        <row r="3907">
          <cell r="C3907"/>
          <cell r="D3907"/>
        </row>
        <row r="3908">
          <cell r="C3908"/>
          <cell r="D3908"/>
        </row>
        <row r="3909">
          <cell r="C3909"/>
          <cell r="D3909"/>
        </row>
        <row r="3910">
          <cell r="C3910"/>
          <cell r="D3910"/>
        </row>
        <row r="3911">
          <cell r="C3911"/>
          <cell r="D3911"/>
        </row>
        <row r="3912">
          <cell r="C3912"/>
          <cell r="D3912"/>
        </row>
        <row r="3913">
          <cell r="C3913"/>
          <cell r="D3913"/>
        </row>
        <row r="3914">
          <cell r="C3914"/>
          <cell r="D3914"/>
        </row>
        <row r="3915">
          <cell r="C3915"/>
          <cell r="D3915"/>
        </row>
        <row r="3916">
          <cell r="C3916"/>
          <cell r="D3916"/>
        </row>
        <row r="3917">
          <cell r="C3917"/>
          <cell r="D3917"/>
        </row>
        <row r="3918">
          <cell r="C3918"/>
          <cell r="D3918"/>
        </row>
        <row r="3919">
          <cell r="C3919"/>
          <cell r="D3919"/>
        </row>
        <row r="3920">
          <cell r="C3920"/>
          <cell r="D3920"/>
        </row>
        <row r="3921">
          <cell r="C3921"/>
          <cell r="D3921"/>
        </row>
        <row r="3922">
          <cell r="C3922"/>
          <cell r="D3922"/>
        </row>
        <row r="3923">
          <cell r="C3923"/>
          <cell r="D3923"/>
        </row>
        <row r="3924">
          <cell r="C3924"/>
          <cell r="D3924"/>
        </row>
        <row r="3925">
          <cell r="C3925"/>
          <cell r="D3925"/>
        </row>
        <row r="3926">
          <cell r="C3926"/>
          <cell r="D3926"/>
        </row>
        <row r="3927">
          <cell r="C3927"/>
          <cell r="D3927"/>
        </row>
        <row r="3928">
          <cell r="C3928"/>
          <cell r="D3928"/>
        </row>
        <row r="3929">
          <cell r="C3929"/>
          <cell r="D3929"/>
        </row>
        <row r="3930">
          <cell r="C3930"/>
          <cell r="D3930"/>
        </row>
        <row r="3931">
          <cell r="C3931"/>
          <cell r="D3931"/>
        </row>
        <row r="3932">
          <cell r="C3932"/>
          <cell r="D3932"/>
        </row>
        <row r="3933">
          <cell r="C3933"/>
          <cell r="D3933"/>
        </row>
        <row r="3934">
          <cell r="C3934"/>
          <cell r="D3934"/>
        </row>
        <row r="3935">
          <cell r="C3935"/>
          <cell r="D3935"/>
        </row>
        <row r="3936">
          <cell r="C3936"/>
          <cell r="D3936"/>
        </row>
        <row r="3937">
          <cell r="C3937"/>
          <cell r="D3937"/>
        </row>
        <row r="3938">
          <cell r="C3938"/>
          <cell r="D3938"/>
        </row>
        <row r="3939">
          <cell r="C3939"/>
          <cell r="D3939"/>
        </row>
        <row r="3940">
          <cell r="C3940"/>
          <cell r="D3940"/>
        </row>
        <row r="3941">
          <cell r="C3941"/>
          <cell r="D3941"/>
        </row>
        <row r="3942">
          <cell r="C3942"/>
          <cell r="D3942"/>
        </row>
        <row r="3943">
          <cell r="C3943"/>
          <cell r="D3943"/>
        </row>
        <row r="3944">
          <cell r="C3944"/>
          <cell r="D3944"/>
        </row>
        <row r="3945">
          <cell r="C3945"/>
          <cell r="D3945"/>
        </row>
        <row r="3946">
          <cell r="C3946"/>
          <cell r="D3946"/>
        </row>
        <row r="3947">
          <cell r="C3947"/>
          <cell r="D3947"/>
        </row>
        <row r="3948">
          <cell r="C3948"/>
          <cell r="D3948"/>
        </row>
        <row r="3949">
          <cell r="C3949"/>
          <cell r="D3949"/>
        </row>
        <row r="3950">
          <cell r="C3950"/>
          <cell r="D3950"/>
        </row>
        <row r="3951">
          <cell r="C3951"/>
          <cell r="D3951"/>
        </row>
        <row r="3952">
          <cell r="C3952"/>
          <cell r="D3952"/>
        </row>
        <row r="3953">
          <cell r="C3953"/>
          <cell r="D3953"/>
        </row>
        <row r="3954">
          <cell r="C3954"/>
          <cell r="D3954"/>
        </row>
        <row r="3955">
          <cell r="C3955"/>
          <cell r="D3955"/>
        </row>
        <row r="3956">
          <cell r="C3956"/>
          <cell r="D3956"/>
        </row>
        <row r="3957">
          <cell r="C3957"/>
          <cell r="D3957"/>
        </row>
        <row r="3958">
          <cell r="C3958"/>
          <cell r="D3958"/>
        </row>
        <row r="3959">
          <cell r="C3959"/>
          <cell r="D3959"/>
        </row>
        <row r="3960">
          <cell r="C3960"/>
          <cell r="D3960"/>
        </row>
        <row r="3961">
          <cell r="C3961"/>
          <cell r="D3961"/>
        </row>
        <row r="3962">
          <cell r="C3962"/>
          <cell r="D3962"/>
        </row>
        <row r="3963">
          <cell r="C3963"/>
          <cell r="D3963"/>
        </row>
        <row r="3964">
          <cell r="C3964"/>
          <cell r="D3964"/>
        </row>
        <row r="3965">
          <cell r="C3965"/>
          <cell r="D3965"/>
        </row>
        <row r="3966">
          <cell r="C3966"/>
          <cell r="D3966"/>
        </row>
        <row r="3967">
          <cell r="C3967"/>
          <cell r="D3967"/>
        </row>
        <row r="3968">
          <cell r="C3968"/>
          <cell r="D3968"/>
        </row>
        <row r="3969">
          <cell r="C3969"/>
          <cell r="D3969"/>
        </row>
        <row r="3970">
          <cell r="C3970"/>
          <cell r="D3970"/>
        </row>
        <row r="3971">
          <cell r="C3971"/>
          <cell r="D3971"/>
        </row>
        <row r="3972">
          <cell r="C3972"/>
          <cell r="D3972"/>
        </row>
        <row r="3973">
          <cell r="C3973"/>
          <cell r="D3973"/>
        </row>
        <row r="3974">
          <cell r="C3974"/>
          <cell r="D3974"/>
        </row>
        <row r="3975">
          <cell r="C3975"/>
          <cell r="D3975"/>
        </row>
        <row r="3976">
          <cell r="C3976"/>
          <cell r="D3976"/>
        </row>
        <row r="3977">
          <cell r="C3977"/>
          <cell r="D3977"/>
        </row>
        <row r="3978">
          <cell r="C3978"/>
          <cell r="D3978"/>
        </row>
        <row r="3979">
          <cell r="C3979"/>
          <cell r="D3979"/>
        </row>
        <row r="3980">
          <cell r="C3980"/>
          <cell r="D3980"/>
        </row>
        <row r="3981">
          <cell r="C3981"/>
          <cell r="D3981"/>
        </row>
        <row r="3982">
          <cell r="C3982"/>
          <cell r="D3982"/>
        </row>
        <row r="3983">
          <cell r="C3983"/>
          <cell r="D3983"/>
        </row>
        <row r="3984">
          <cell r="C3984"/>
          <cell r="D3984"/>
        </row>
        <row r="3985">
          <cell r="C3985"/>
          <cell r="D3985"/>
        </row>
        <row r="3986">
          <cell r="C3986"/>
          <cell r="D3986"/>
        </row>
        <row r="3987">
          <cell r="C3987"/>
          <cell r="D3987"/>
        </row>
        <row r="3988">
          <cell r="C3988"/>
          <cell r="D3988"/>
        </row>
        <row r="3989">
          <cell r="C3989"/>
          <cell r="D3989"/>
        </row>
        <row r="3990">
          <cell r="C3990"/>
          <cell r="D3990"/>
        </row>
        <row r="3991">
          <cell r="C3991"/>
          <cell r="D3991"/>
        </row>
        <row r="3992">
          <cell r="C3992"/>
          <cell r="D3992"/>
        </row>
        <row r="3993">
          <cell r="C3993"/>
          <cell r="D3993"/>
        </row>
        <row r="3994">
          <cell r="C3994"/>
          <cell r="D3994"/>
        </row>
        <row r="3995">
          <cell r="C3995"/>
          <cell r="D3995"/>
        </row>
        <row r="3996">
          <cell r="C3996"/>
          <cell r="D3996"/>
        </row>
        <row r="3997">
          <cell r="C3997"/>
          <cell r="D3997"/>
        </row>
        <row r="3998">
          <cell r="C3998"/>
          <cell r="D3998"/>
        </row>
        <row r="3999">
          <cell r="C3999"/>
          <cell r="D3999"/>
        </row>
        <row r="4000">
          <cell r="C4000"/>
          <cell r="D4000"/>
        </row>
        <row r="4001">
          <cell r="C4001"/>
          <cell r="D4001"/>
        </row>
        <row r="4002">
          <cell r="C4002"/>
          <cell r="D4002"/>
        </row>
        <row r="4003">
          <cell r="C4003"/>
          <cell r="D4003"/>
        </row>
        <row r="4004">
          <cell r="C4004"/>
          <cell r="D4004"/>
        </row>
        <row r="4005">
          <cell r="C4005"/>
          <cell r="D4005"/>
        </row>
        <row r="4006">
          <cell r="C4006"/>
          <cell r="D4006"/>
        </row>
        <row r="4007">
          <cell r="C4007"/>
          <cell r="D4007"/>
        </row>
        <row r="4008">
          <cell r="C4008"/>
          <cell r="D4008"/>
        </row>
        <row r="4009">
          <cell r="C4009"/>
          <cell r="D4009"/>
        </row>
        <row r="4010">
          <cell r="C4010"/>
          <cell r="D4010"/>
        </row>
        <row r="4011">
          <cell r="C4011"/>
          <cell r="D4011"/>
        </row>
        <row r="4012">
          <cell r="C4012"/>
          <cell r="D4012"/>
        </row>
        <row r="4013">
          <cell r="C4013"/>
          <cell r="D4013"/>
        </row>
        <row r="4014">
          <cell r="C4014"/>
          <cell r="D4014"/>
        </row>
        <row r="4015">
          <cell r="C4015"/>
          <cell r="D4015"/>
        </row>
        <row r="4016">
          <cell r="C4016"/>
          <cell r="D4016"/>
        </row>
        <row r="4017">
          <cell r="C4017"/>
          <cell r="D4017"/>
        </row>
        <row r="4018">
          <cell r="C4018"/>
          <cell r="D4018"/>
        </row>
        <row r="4019">
          <cell r="C4019"/>
          <cell r="D4019"/>
        </row>
        <row r="4020">
          <cell r="C4020"/>
          <cell r="D4020"/>
        </row>
        <row r="4021">
          <cell r="C4021"/>
          <cell r="D4021"/>
        </row>
        <row r="4022">
          <cell r="C4022"/>
          <cell r="D4022"/>
        </row>
        <row r="4023">
          <cell r="C4023"/>
          <cell r="D4023"/>
        </row>
        <row r="4024">
          <cell r="C4024"/>
          <cell r="D4024"/>
        </row>
        <row r="4025">
          <cell r="C4025"/>
          <cell r="D4025"/>
        </row>
        <row r="4026">
          <cell r="C4026"/>
          <cell r="D4026"/>
        </row>
        <row r="4027">
          <cell r="C4027"/>
          <cell r="D4027"/>
        </row>
        <row r="4028">
          <cell r="C4028"/>
          <cell r="D4028"/>
        </row>
        <row r="4029">
          <cell r="C4029"/>
          <cell r="D4029"/>
        </row>
        <row r="4030">
          <cell r="C4030"/>
          <cell r="D4030"/>
        </row>
        <row r="4031">
          <cell r="C4031"/>
          <cell r="D4031"/>
        </row>
        <row r="4032">
          <cell r="C4032"/>
          <cell r="D4032"/>
        </row>
        <row r="4033">
          <cell r="C4033"/>
          <cell r="D4033"/>
        </row>
        <row r="4034">
          <cell r="C4034"/>
          <cell r="D4034"/>
        </row>
        <row r="4035">
          <cell r="C4035"/>
          <cell r="D4035"/>
        </row>
        <row r="4036">
          <cell r="C4036"/>
          <cell r="D4036"/>
        </row>
        <row r="4037">
          <cell r="C4037"/>
          <cell r="D4037"/>
        </row>
        <row r="4038">
          <cell r="C4038"/>
          <cell r="D4038"/>
        </row>
        <row r="4039">
          <cell r="C4039"/>
          <cell r="D4039"/>
        </row>
        <row r="4040">
          <cell r="C4040"/>
          <cell r="D4040"/>
        </row>
        <row r="4041">
          <cell r="C4041"/>
          <cell r="D4041"/>
        </row>
        <row r="4042">
          <cell r="C4042"/>
          <cell r="D4042"/>
        </row>
        <row r="4043">
          <cell r="C4043"/>
          <cell r="D4043"/>
        </row>
        <row r="4044">
          <cell r="C4044"/>
          <cell r="D4044"/>
        </row>
        <row r="4045">
          <cell r="C4045"/>
          <cell r="D4045"/>
        </row>
        <row r="4046">
          <cell r="C4046"/>
          <cell r="D4046"/>
        </row>
        <row r="4047">
          <cell r="C4047"/>
          <cell r="D4047"/>
        </row>
        <row r="4048">
          <cell r="C4048"/>
          <cell r="D4048"/>
        </row>
        <row r="4049">
          <cell r="C4049"/>
          <cell r="D4049"/>
        </row>
        <row r="4050">
          <cell r="C4050"/>
          <cell r="D4050"/>
        </row>
        <row r="4051">
          <cell r="C4051"/>
          <cell r="D4051"/>
        </row>
        <row r="4052">
          <cell r="C4052"/>
          <cell r="D4052"/>
        </row>
        <row r="4053">
          <cell r="C4053"/>
          <cell r="D4053"/>
        </row>
        <row r="4054">
          <cell r="C4054"/>
          <cell r="D4054"/>
        </row>
        <row r="4055">
          <cell r="C4055"/>
          <cell r="D4055"/>
        </row>
        <row r="4056">
          <cell r="C4056"/>
          <cell r="D4056"/>
        </row>
        <row r="4057">
          <cell r="C4057"/>
          <cell r="D4057"/>
        </row>
        <row r="4058">
          <cell r="C4058"/>
          <cell r="D4058"/>
        </row>
        <row r="4059">
          <cell r="C4059"/>
          <cell r="D4059"/>
        </row>
        <row r="4060">
          <cell r="C4060"/>
          <cell r="D4060"/>
        </row>
        <row r="4061">
          <cell r="C4061"/>
          <cell r="D4061"/>
        </row>
        <row r="4062">
          <cell r="C4062"/>
          <cell r="D4062"/>
        </row>
        <row r="4063">
          <cell r="C4063"/>
          <cell r="D4063"/>
        </row>
        <row r="4064">
          <cell r="C4064"/>
          <cell r="D4064"/>
        </row>
        <row r="4065">
          <cell r="C4065"/>
          <cell r="D4065"/>
        </row>
        <row r="4066">
          <cell r="C4066"/>
          <cell r="D4066"/>
        </row>
        <row r="4067">
          <cell r="C4067"/>
          <cell r="D4067"/>
        </row>
        <row r="4068">
          <cell r="C4068"/>
          <cell r="D4068"/>
        </row>
        <row r="4069">
          <cell r="C4069"/>
          <cell r="D4069"/>
        </row>
        <row r="4070">
          <cell r="C4070"/>
          <cell r="D4070"/>
        </row>
        <row r="4071">
          <cell r="C4071"/>
          <cell r="D4071"/>
        </row>
        <row r="4072">
          <cell r="C4072"/>
          <cell r="D4072"/>
        </row>
        <row r="4073">
          <cell r="C4073"/>
          <cell r="D4073"/>
        </row>
        <row r="4074">
          <cell r="C4074"/>
          <cell r="D4074"/>
        </row>
        <row r="4075">
          <cell r="C4075"/>
          <cell r="D4075"/>
        </row>
        <row r="4076">
          <cell r="C4076"/>
          <cell r="D4076"/>
        </row>
        <row r="4077">
          <cell r="C4077"/>
          <cell r="D4077"/>
        </row>
        <row r="4078">
          <cell r="C4078"/>
          <cell r="D4078"/>
        </row>
        <row r="4079">
          <cell r="C4079"/>
          <cell r="D4079"/>
        </row>
        <row r="4080">
          <cell r="C4080"/>
          <cell r="D4080"/>
        </row>
        <row r="4081">
          <cell r="C4081"/>
          <cell r="D4081"/>
        </row>
        <row r="4082">
          <cell r="C4082"/>
          <cell r="D4082"/>
        </row>
        <row r="4083">
          <cell r="C4083"/>
          <cell r="D4083"/>
        </row>
        <row r="4084">
          <cell r="C4084"/>
          <cell r="D4084"/>
        </row>
        <row r="4085">
          <cell r="C4085"/>
          <cell r="D4085"/>
        </row>
        <row r="4086">
          <cell r="C4086"/>
          <cell r="D4086"/>
        </row>
        <row r="4087">
          <cell r="C4087"/>
          <cell r="D4087"/>
        </row>
        <row r="4088">
          <cell r="C4088"/>
          <cell r="D4088"/>
        </row>
        <row r="4089">
          <cell r="C4089"/>
          <cell r="D4089"/>
        </row>
        <row r="4090">
          <cell r="C4090"/>
          <cell r="D4090"/>
        </row>
        <row r="4091">
          <cell r="C4091"/>
          <cell r="D4091"/>
        </row>
        <row r="4092">
          <cell r="C4092"/>
          <cell r="D4092"/>
        </row>
        <row r="4093">
          <cell r="C4093"/>
          <cell r="D4093"/>
        </row>
        <row r="4094">
          <cell r="C4094"/>
          <cell r="D4094"/>
        </row>
        <row r="4095">
          <cell r="C4095"/>
          <cell r="D4095"/>
        </row>
        <row r="4096">
          <cell r="C4096"/>
          <cell r="D4096"/>
        </row>
        <row r="4097">
          <cell r="C4097"/>
          <cell r="D4097"/>
        </row>
        <row r="4098">
          <cell r="C4098"/>
          <cell r="D4098"/>
        </row>
        <row r="4099">
          <cell r="C4099"/>
          <cell r="D4099"/>
        </row>
        <row r="4100">
          <cell r="C4100"/>
          <cell r="D4100"/>
        </row>
        <row r="4101">
          <cell r="C4101"/>
          <cell r="D4101"/>
        </row>
        <row r="4102">
          <cell r="C4102"/>
          <cell r="D4102"/>
        </row>
        <row r="4103">
          <cell r="C4103"/>
          <cell r="D4103"/>
        </row>
        <row r="4104">
          <cell r="C4104"/>
          <cell r="D4104"/>
        </row>
        <row r="4105">
          <cell r="C4105"/>
          <cell r="D4105"/>
        </row>
        <row r="4106">
          <cell r="C4106"/>
          <cell r="D4106"/>
        </row>
        <row r="4107">
          <cell r="C4107"/>
          <cell r="D4107"/>
        </row>
        <row r="4108">
          <cell r="C4108"/>
          <cell r="D4108"/>
        </row>
        <row r="4109">
          <cell r="C4109"/>
          <cell r="D4109"/>
        </row>
        <row r="4110">
          <cell r="C4110"/>
          <cell r="D4110"/>
        </row>
        <row r="4111">
          <cell r="C4111"/>
          <cell r="D4111"/>
        </row>
        <row r="4112">
          <cell r="C4112"/>
          <cell r="D4112"/>
        </row>
        <row r="4113">
          <cell r="C4113"/>
          <cell r="D4113"/>
        </row>
        <row r="4114">
          <cell r="C4114"/>
          <cell r="D4114"/>
        </row>
        <row r="4115">
          <cell r="C4115"/>
          <cell r="D4115"/>
        </row>
        <row r="4116">
          <cell r="C4116"/>
          <cell r="D4116"/>
        </row>
        <row r="4117">
          <cell r="C4117"/>
          <cell r="D4117"/>
        </row>
        <row r="4118">
          <cell r="C4118"/>
          <cell r="D4118"/>
        </row>
        <row r="4119">
          <cell r="C4119"/>
          <cell r="D4119"/>
        </row>
        <row r="4120">
          <cell r="C4120"/>
          <cell r="D4120"/>
        </row>
        <row r="4121">
          <cell r="C4121"/>
          <cell r="D4121"/>
        </row>
        <row r="4122">
          <cell r="C4122"/>
          <cell r="D4122"/>
        </row>
        <row r="4123">
          <cell r="C4123"/>
          <cell r="D4123"/>
        </row>
        <row r="4124">
          <cell r="C4124"/>
          <cell r="D4124"/>
        </row>
        <row r="4125">
          <cell r="C4125"/>
          <cell r="D4125"/>
        </row>
        <row r="4126">
          <cell r="C4126"/>
          <cell r="D4126"/>
        </row>
        <row r="4127">
          <cell r="C4127"/>
          <cell r="D4127"/>
        </row>
        <row r="4128">
          <cell r="C4128"/>
          <cell r="D4128"/>
        </row>
        <row r="4129">
          <cell r="C4129"/>
          <cell r="D4129"/>
        </row>
        <row r="4130">
          <cell r="C4130"/>
          <cell r="D4130"/>
        </row>
        <row r="4131">
          <cell r="C4131"/>
          <cell r="D4131"/>
        </row>
        <row r="4132">
          <cell r="C4132"/>
          <cell r="D4132"/>
        </row>
        <row r="4133">
          <cell r="C4133"/>
          <cell r="D4133"/>
        </row>
        <row r="4134">
          <cell r="C4134"/>
          <cell r="D4134"/>
        </row>
        <row r="4135">
          <cell r="C4135"/>
          <cell r="D4135"/>
        </row>
        <row r="4136">
          <cell r="C4136"/>
          <cell r="D4136"/>
        </row>
        <row r="4137">
          <cell r="C4137"/>
          <cell r="D4137"/>
        </row>
        <row r="4138">
          <cell r="C4138"/>
          <cell r="D4138"/>
        </row>
        <row r="4139">
          <cell r="C4139"/>
          <cell r="D4139"/>
        </row>
        <row r="4140">
          <cell r="C4140"/>
          <cell r="D4140"/>
        </row>
        <row r="4141">
          <cell r="C4141"/>
          <cell r="D4141"/>
        </row>
        <row r="4142">
          <cell r="C4142"/>
          <cell r="D4142"/>
        </row>
        <row r="4143">
          <cell r="C4143"/>
          <cell r="D4143"/>
        </row>
        <row r="4144">
          <cell r="C4144"/>
          <cell r="D4144"/>
        </row>
        <row r="4145">
          <cell r="C4145"/>
          <cell r="D4145"/>
        </row>
        <row r="4146">
          <cell r="C4146"/>
          <cell r="D4146"/>
        </row>
        <row r="4147">
          <cell r="C4147"/>
          <cell r="D4147"/>
        </row>
        <row r="4148">
          <cell r="C4148"/>
          <cell r="D4148"/>
        </row>
        <row r="4149">
          <cell r="C4149"/>
          <cell r="D4149"/>
        </row>
        <row r="4150">
          <cell r="C4150"/>
          <cell r="D4150"/>
        </row>
        <row r="4151">
          <cell r="C4151"/>
          <cell r="D4151"/>
        </row>
        <row r="4152">
          <cell r="C4152"/>
          <cell r="D4152"/>
        </row>
        <row r="4153">
          <cell r="C4153"/>
          <cell r="D4153"/>
        </row>
        <row r="4154">
          <cell r="C4154"/>
          <cell r="D4154"/>
        </row>
        <row r="4155">
          <cell r="C4155"/>
          <cell r="D4155"/>
        </row>
        <row r="4156">
          <cell r="C4156"/>
          <cell r="D4156"/>
        </row>
        <row r="4157">
          <cell r="C4157"/>
          <cell r="D4157"/>
        </row>
        <row r="4158">
          <cell r="C4158"/>
          <cell r="D4158"/>
        </row>
        <row r="4159">
          <cell r="C4159"/>
          <cell r="D4159"/>
        </row>
        <row r="4160">
          <cell r="C4160"/>
          <cell r="D4160"/>
        </row>
        <row r="4161">
          <cell r="C4161"/>
          <cell r="D4161"/>
        </row>
        <row r="4162">
          <cell r="C4162"/>
          <cell r="D4162"/>
        </row>
        <row r="4163">
          <cell r="C4163"/>
          <cell r="D4163"/>
        </row>
        <row r="4164">
          <cell r="C4164"/>
          <cell r="D4164"/>
        </row>
        <row r="4165">
          <cell r="C4165"/>
          <cell r="D4165"/>
        </row>
        <row r="4166">
          <cell r="C4166"/>
          <cell r="D4166"/>
        </row>
        <row r="4167">
          <cell r="C4167"/>
          <cell r="D4167"/>
        </row>
        <row r="4168">
          <cell r="C4168"/>
          <cell r="D4168"/>
        </row>
        <row r="4169">
          <cell r="C4169"/>
          <cell r="D4169"/>
        </row>
        <row r="4170">
          <cell r="C4170"/>
          <cell r="D4170"/>
        </row>
        <row r="4171">
          <cell r="C4171"/>
          <cell r="D4171"/>
        </row>
        <row r="4172">
          <cell r="C4172"/>
          <cell r="D4172"/>
        </row>
        <row r="4173">
          <cell r="C4173"/>
          <cell r="D4173"/>
        </row>
        <row r="4174">
          <cell r="C4174"/>
          <cell r="D4174"/>
        </row>
        <row r="4175">
          <cell r="C4175"/>
          <cell r="D4175"/>
        </row>
        <row r="4176">
          <cell r="C4176"/>
          <cell r="D4176"/>
        </row>
        <row r="4177">
          <cell r="C4177"/>
          <cell r="D4177"/>
        </row>
        <row r="4178">
          <cell r="C4178"/>
          <cell r="D4178"/>
        </row>
        <row r="4179">
          <cell r="C4179"/>
          <cell r="D4179"/>
        </row>
        <row r="4180">
          <cell r="C4180"/>
          <cell r="D4180"/>
        </row>
        <row r="4181">
          <cell r="C4181"/>
          <cell r="D4181"/>
        </row>
        <row r="4182">
          <cell r="C4182"/>
          <cell r="D4182"/>
        </row>
        <row r="4183">
          <cell r="C4183"/>
          <cell r="D4183"/>
        </row>
        <row r="4184">
          <cell r="C4184"/>
          <cell r="D4184"/>
        </row>
        <row r="4185">
          <cell r="C4185"/>
          <cell r="D4185"/>
        </row>
        <row r="4186">
          <cell r="C4186"/>
          <cell r="D4186"/>
        </row>
        <row r="4187">
          <cell r="C4187"/>
          <cell r="D4187"/>
        </row>
        <row r="4188">
          <cell r="C4188"/>
          <cell r="D4188"/>
        </row>
        <row r="4189">
          <cell r="C4189"/>
          <cell r="D4189"/>
        </row>
        <row r="4190">
          <cell r="C4190"/>
          <cell r="D4190"/>
        </row>
        <row r="4191">
          <cell r="C4191"/>
          <cell r="D4191"/>
        </row>
        <row r="4192">
          <cell r="C4192"/>
          <cell r="D4192"/>
        </row>
        <row r="4193">
          <cell r="C4193"/>
          <cell r="D4193"/>
        </row>
        <row r="4194">
          <cell r="C4194"/>
          <cell r="D4194"/>
        </row>
        <row r="4195">
          <cell r="C4195"/>
          <cell r="D4195"/>
        </row>
        <row r="4196">
          <cell r="C4196"/>
          <cell r="D4196"/>
        </row>
        <row r="4197">
          <cell r="C4197"/>
          <cell r="D4197"/>
        </row>
        <row r="4198">
          <cell r="C4198"/>
          <cell r="D4198"/>
        </row>
        <row r="4199">
          <cell r="C4199"/>
          <cell r="D4199"/>
        </row>
        <row r="4200">
          <cell r="C4200"/>
          <cell r="D4200"/>
        </row>
        <row r="4201">
          <cell r="C4201"/>
          <cell r="D4201"/>
        </row>
        <row r="4202">
          <cell r="C4202"/>
          <cell r="D4202"/>
        </row>
        <row r="4203">
          <cell r="C4203"/>
          <cell r="D4203"/>
        </row>
        <row r="4204">
          <cell r="C4204"/>
          <cell r="D4204"/>
        </row>
        <row r="4205">
          <cell r="C4205"/>
          <cell r="D4205"/>
        </row>
        <row r="4206">
          <cell r="C4206"/>
          <cell r="D4206"/>
        </row>
        <row r="4207">
          <cell r="C4207"/>
          <cell r="D4207"/>
        </row>
        <row r="4208">
          <cell r="C4208"/>
          <cell r="D4208"/>
        </row>
        <row r="4209">
          <cell r="C4209"/>
          <cell r="D4209"/>
        </row>
        <row r="4210">
          <cell r="C4210"/>
          <cell r="D4210"/>
        </row>
        <row r="4211">
          <cell r="C4211"/>
          <cell r="D4211"/>
        </row>
        <row r="4212">
          <cell r="C4212"/>
          <cell r="D4212"/>
        </row>
        <row r="4213">
          <cell r="C4213"/>
          <cell r="D4213"/>
        </row>
        <row r="4214">
          <cell r="C4214"/>
          <cell r="D4214"/>
        </row>
        <row r="4215">
          <cell r="C4215"/>
          <cell r="D4215"/>
        </row>
        <row r="4216">
          <cell r="C4216"/>
          <cell r="D4216"/>
        </row>
        <row r="4217">
          <cell r="C4217"/>
          <cell r="D4217"/>
        </row>
        <row r="4218">
          <cell r="C4218"/>
          <cell r="D4218"/>
        </row>
        <row r="4219">
          <cell r="C4219"/>
          <cell r="D4219"/>
        </row>
        <row r="4220">
          <cell r="C4220"/>
          <cell r="D4220"/>
        </row>
        <row r="4221">
          <cell r="C4221"/>
          <cell r="D4221"/>
        </row>
        <row r="4222">
          <cell r="C4222"/>
          <cell r="D4222"/>
        </row>
        <row r="4223">
          <cell r="C4223"/>
          <cell r="D4223"/>
        </row>
        <row r="4224">
          <cell r="C4224"/>
          <cell r="D4224"/>
        </row>
        <row r="4225">
          <cell r="C4225"/>
          <cell r="D4225"/>
        </row>
        <row r="4226">
          <cell r="C4226"/>
          <cell r="D4226"/>
        </row>
        <row r="4227">
          <cell r="C4227"/>
          <cell r="D4227"/>
        </row>
        <row r="4228">
          <cell r="C4228"/>
          <cell r="D4228"/>
        </row>
        <row r="4229">
          <cell r="C4229"/>
          <cell r="D4229"/>
        </row>
        <row r="4230">
          <cell r="C4230"/>
          <cell r="D4230"/>
        </row>
        <row r="4231">
          <cell r="C4231"/>
          <cell r="D4231"/>
        </row>
        <row r="4232">
          <cell r="C4232"/>
          <cell r="D4232"/>
        </row>
        <row r="4233">
          <cell r="C4233"/>
          <cell r="D4233"/>
        </row>
        <row r="4234">
          <cell r="C4234"/>
          <cell r="D4234"/>
        </row>
        <row r="4235">
          <cell r="C4235"/>
          <cell r="D4235"/>
        </row>
        <row r="4236">
          <cell r="C4236"/>
          <cell r="D4236"/>
        </row>
        <row r="4237">
          <cell r="C4237"/>
          <cell r="D4237"/>
        </row>
        <row r="4238">
          <cell r="C4238"/>
          <cell r="D4238"/>
        </row>
        <row r="4365">
          <cell r="A4365"/>
        </row>
        <row r="4366">
          <cell r="A4366"/>
        </row>
        <row r="4367">
          <cell r="A4367"/>
        </row>
        <row r="4368">
          <cell r="A4368"/>
        </row>
        <row r="4369">
          <cell r="A4369"/>
        </row>
        <row r="4370">
          <cell r="A4370"/>
        </row>
        <row r="4371">
          <cell r="A4371"/>
        </row>
        <row r="4372">
          <cell r="A4372"/>
        </row>
        <row r="4373">
          <cell r="A4373"/>
        </row>
        <row r="4374">
          <cell r="A4374"/>
        </row>
        <row r="4375">
          <cell r="A4375"/>
        </row>
        <row r="4376">
          <cell r="A4376"/>
        </row>
        <row r="4377">
          <cell r="A4377"/>
        </row>
        <row r="4378">
          <cell r="A4378"/>
        </row>
        <row r="4379">
          <cell r="A4379"/>
          <cell r="B4379"/>
          <cell r="C4379"/>
          <cell r="D4379"/>
        </row>
        <row r="4380">
          <cell r="A4380"/>
          <cell r="B4380"/>
          <cell r="C4380"/>
          <cell r="D4380"/>
        </row>
        <row r="4381">
          <cell r="A4381"/>
          <cell r="B4381"/>
          <cell r="C4381"/>
          <cell r="D4381"/>
        </row>
        <row r="4382">
          <cell r="A4382"/>
          <cell r="B4382"/>
          <cell r="C4382"/>
          <cell r="D4382"/>
        </row>
        <row r="4383">
          <cell r="B4383"/>
          <cell r="C4383"/>
          <cell r="D4383"/>
        </row>
        <row r="4384">
          <cell r="B4384"/>
          <cell r="C4384"/>
          <cell r="D4384"/>
        </row>
        <row r="4385">
          <cell r="B4385"/>
          <cell r="C4385"/>
          <cell r="D4385"/>
        </row>
        <row r="4386">
          <cell r="B4386"/>
          <cell r="C4386"/>
          <cell r="D4386"/>
        </row>
        <row r="4387">
          <cell r="B4387"/>
          <cell r="C4387"/>
          <cell r="D4387"/>
        </row>
        <row r="4388">
          <cell r="B4388"/>
          <cell r="C4388"/>
          <cell r="D4388"/>
        </row>
        <row r="4389">
          <cell r="B4389"/>
          <cell r="C4389"/>
          <cell r="D4389"/>
        </row>
        <row r="4390">
          <cell r="B4390"/>
          <cell r="C4390"/>
          <cell r="D4390"/>
        </row>
        <row r="4391">
          <cell r="B4391"/>
          <cell r="C4391"/>
          <cell r="D4391"/>
        </row>
        <row r="4392">
          <cell r="B4392"/>
          <cell r="C4392"/>
          <cell r="D4392"/>
        </row>
        <row r="4393">
          <cell r="B4393"/>
          <cell r="C4393"/>
          <cell r="D4393"/>
        </row>
        <row r="4394">
          <cell r="B4394"/>
          <cell r="C4394"/>
          <cell r="D4394"/>
        </row>
        <row r="4395">
          <cell r="B4395"/>
          <cell r="C4395"/>
          <cell r="D4395"/>
        </row>
        <row r="4396">
          <cell r="B4396"/>
          <cell r="C4396"/>
          <cell r="D4396"/>
        </row>
        <row r="4745">
          <cell r="A4745"/>
        </row>
        <row r="4746">
          <cell r="A4746"/>
        </row>
        <row r="4747">
          <cell r="A4747"/>
        </row>
        <row r="4748">
          <cell r="A4748"/>
        </row>
        <row r="4749">
          <cell r="A4749"/>
        </row>
        <row r="4750">
          <cell r="A4750"/>
        </row>
        <row r="4751">
          <cell r="A4751"/>
        </row>
        <row r="4752">
          <cell r="A4752"/>
        </row>
        <row r="4753">
          <cell r="A4753"/>
        </row>
        <row r="4754">
          <cell r="A4754"/>
        </row>
        <row r="4755">
          <cell r="A4755"/>
        </row>
        <row r="4756">
          <cell r="A4756"/>
        </row>
        <row r="4757">
          <cell r="A4757"/>
        </row>
        <row r="4758">
          <cell r="A4758"/>
        </row>
        <row r="4759">
          <cell r="C4759"/>
          <cell r="D4759"/>
        </row>
        <row r="4760">
          <cell r="B4760"/>
          <cell r="C4760"/>
          <cell r="D4760"/>
        </row>
        <row r="4761">
          <cell r="B4761"/>
          <cell r="C4761"/>
          <cell r="D4761"/>
        </row>
        <row r="4762">
          <cell r="B4762"/>
          <cell r="C4762"/>
          <cell r="D4762"/>
        </row>
        <row r="4763">
          <cell r="B4763"/>
          <cell r="C4763"/>
          <cell r="D4763"/>
        </row>
        <row r="4764">
          <cell r="B4764"/>
          <cell r="C4764"/>
          <cell r="D4764"/>
        </row>
        <row r="4765">
          <cell r="B4765"/>
          <cell r="C4765"/>
          <cell r="D4765"/>
        </row>
        <row r="4766">
          <cell r="B4766"/>
          <cell r="C4766"/>
          <cell r="D4766"/>
        </row>
        <row r="4767">
          <cell r="B4767"/>
          <cell r="C4767"/>
          <cell r="D4767"/>
        </row>
        <row r="4768">
          <cell r="B4768"/>
          <cell r="C4768"/>
          <cell r="D4768"/>
        </row>
        <row r="4769">
          <cell r="C4769"/>
          <cell r="D4769"/>
        </row>
        <row r="4770">
          <cell r="C4770"/>
          <cell r="D4770"/>
        </row>
        <row r="4771">
          <cell r="C4771"/>
          <cell r="D4771"/>
        </row>
        <row r="4772">
          <cell r="C4772"/>
          <cell r="D4772"/>
        </row>
        <row r="4773">
          <cell r="C4773"/>
          <cell r="D4773"/>
        </row>
        <row r="5297">
          <cell r="A5297"/>
        </row>
        <row r="5311">
          <cell r="B5311"/>
        </row>
        <row r="5313">
          <cell r="A5313"/>
        </row>
        <row r="5327">
          <cell r="B5327"/>
        </row>
        <row r="5365">
          <cell r="A5365"/>
        </row>
        <row r="5378">
          <cell r="A5378"/>
        </row>
        <row r="5379">
          <cell r="B5379"/>
        </row>
        <row r="5392">
          <cell r="B5392"/>
        </row>
        <row r="5405">
          <cell r="B5405"/>
        </row>
        <row r="5406">
          <cell r="B5406"/>
        </row>
        <row r="5407">
          <cell r="B5407"/>
        </row>
        <row r="5408">
          <cell r="B5408"/>
        </row>
        <row r="5409">
          <cell r="B5409"/>
        </row>
        <row r="5410">
          <cell r="B5410"/>
        </row>
        <row r="5411">
          <cell r="B5411"/>
        </row>
        <row r="5412">
          <cell r="B5412"/>
        </row>
        <row r="5413">
          <cell r="B5413"/>
        </row>
        <row r="5414">
          <cell r="B5414"/>
        </row>
        <row r="5415">
          <cell r="B5415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-w\&#20493;&#27138;&#29983;&#31038;&#21729;&#20849;&#29992;&#36039;&#26009;&#22846;\&#9734;&#21608;&#37002;&#38598;&#35336;\2026&#24180;&#24230;\&#34662;&#30382;\&#9734;&#34662;&#30382;_&#24050;&#20837;&#37329;&#22871;&#25976;&#32113;&#35336;_2604&#26376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-w\&#20493;&#27138;&#29983;&#31038;&#21729;&#20849;&#29992;&#36039;&#26009;&#22846;\&#9734;&#21608;&#37002;&#38598;&#35336;\2026&#24180;&#24230;\shopline\Shopline&#35330;&#21934;&#32113;&#35336;_2604.xlsm" TargetMode="External"/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-w\&#20493;&#27138;&#29983;&#31038;&#21729;&#20849;&#29992;&#36039;&#26009;&#22846;\&#9734;&#21608;&#37002;&#38598;&#35336;\2026&#24180;&#24230;\&#34662;&#30382;\&#9734;&#34662;&#30382;_&#24050;&#20837;&#37329;&#22871;&#25976;&#32113;&#35336;_2605&#26376;.xlsx" TargetMode="External"/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-w\&#20493;&#27138;&#29983;&#31038;&#21729;&#20849;&#29992;&#36039;&#26009;&#22846;\&#9734;&#21608;&#37002;&#38598;&#35336;\2026&#24180;&#24230;\shopline\Shopline&#35330;&#21934;&#32113;&#35336;_2605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詩雅" refreshedDate="46146.395922222226" createdVersion="8" refreshedVersion="8" minRefreshableVersion="3" recordCount="4208" xr:uid="{8EB563E2-1CC1-41CC-863A-B5562054CA52}">
  <cacheSource type="worksheet">
    <worksheetSource ref="A1:BF4209" sheet="比對檔" r:id="rId2"/>
  </cacheSource>
  <cacheFields count="60">
    <cacheField name="訂單編號" numFmtId="0">
      <sharedItems/>
    </cacheField>
    <cacheField name="訂單狀態" numFmtId="0">
      <sharedItems count="38">
        <s v="已完成"/>
        <s v="不成立"/>
        <s v="已完成(鑑賞期內)，但買家仍可在鑑賞期2026-05-04前申請退貨/退款。"/>
        <s v="運送中"/>
        <s v="已完成(鑑賞期內)，但買家仍可在鑑賞期2026-05-05前申請退貨/退款。"/>
        <s v="已完成(鑑賞期內)，但買家仍可在鑑賞期2026-05-06前申請退貨/退款。"/>
        <s v="已完成(鑑賞期內)，但買家仍可在鑑賞期2026-05-07前申請退貨/退款。"/>
        <s v="已完成(鑑賞期內)，但買家仍可在鑑賞期2026-05-11前申請退貨/退款。"/>
        <s v="已完成(鑑賞期內)，但買家仍可在鑑賞期2026-05-12前申請退貨/退款。"/>
        <s v="已完成(鑑賞期內)，但買家仍可在鑑賞期2026-05-13前申請退貨/退款。"/>
        <s v="已完成(鑑賞期內)，但買家仍可在鑑賞期2026-05-14前申請退貨/退款。"/>
        <s v="已完成(鑑賞期內)，但買家仍可在鑑賞期2026-05-15前申請退貨/退款。"/>
        <s v="已完成(鑑賞期內)，但買家仍可在鑑賞期2026-05-18前申請退貨/退款。"/>
        <s v="已完成(鑑賞期內)，但買家仍可在鑑賞期2026-05-19前申請退貨/退款。"/>
        <s v="已完成(鑑賞期內)，但買家仍可在鑑賞期2026-05-20前申請退貨/退款。"/>
        <s v="已完成(鑑賞期內)，但買家仍可在鑑賞期2026-05-21前申請退貨/退款。"/>
        <s v="待出貨"/>
        <s v=""/>
        <s v="已完成(鑑賞期內)，但買家仍可在鑑賞期2026-04-29前申請退貨/退款。" u="1"/>
        <s v="已完成(鑑賞期內)，但買家仍可在鑑賞期2026-04-30前申請退貨/退款。" u="1"/>
        <s v="已完成(鑑賞期內)，但買家仍可在鑑賞期2026-05-01前申請退貨/退款。" u="1"/>
        <s v="已完成(鑑賞期內)，但買家仍可在鑑賞期2026-04-28前申請退貨/退款。" u="1"/>
        <s v="已完成(鑑賞期內)，但買家仍可在鑑賞期2026-04-23前申請退貨/退款。" u="1"/>
        <s v="買家取消訂單" u="1"/>
        <s v="已完成(鑑賞期內)，但買家仍可在鑑賞期2026-03-27前申請退貨/退款。" u="1"/>
        <s v="已完成(鑑賞期內)，但買家仍可在鑑賞期2026-03-30前申請退貨/退款。" u="1"/>
        <s v="已完成(鑑賞期內)，但買家仍可在鑑賞期2026-03-31前申請退貨/退款。" u="1"/>
        <s v="已完成(鑑賞期內)，但買家仍可在鑑賞期2026-04-01前申請退貨/退款。" u="1"/>
        <s v="已完成(鑑賞期內)，但買家仍可在鑑賞期2026-04-02前申請退貨/退款。" u="1"/>
        <s v="已完成(鑑賞期內)，但買家仍可在鑑賞期2026-04-03前申請退貨/退款。" u="1"/>
        <s v="已完成(鑑賞期內)，但買家仍可在鑑賞期2026-04-06前申請退貨/退款。" u="1"/>
        <s v="已完成(鑑賞期內)，但買家仍可在鑑賞期2026-04-07前申請退貨/退款。" u="1"/>
        <s v="已完成(鑑賞期內)，但買家仍可在鑑賞期2026-04-08前申請退貨/退款。" u="1"/>
        <s v="已完成(鑑賞期內)，但買家仍可在鑑賞期2026-04-09前申請退貨/退款。" u="1"/>
        <s v="已完成(鑑賞期內)，但買家仍可在鑑賞期2026-04-10前申請退貨/退款。" u="1"/>
        <s v="已完成(鑑賞期內)，但買家仍可在鑑賞期2026-04-13前申請退貨/退款。" u="1"/>
        <s v="已完成(鑑賞期內)，但買家仍可在鑑賞期2026-04-14前申請退貨/退款。" u="1"/>
        <s v="已完成(鑑賞期內)，但買家仍可在鑑賞期2026-04-15前申請退貨/退款。" u="1"/>
      </sharedItems>
    </cacheField>
    <cacheField name="不成立原因" numFmtId="0">
      <sharedItems/>
    </cacheField>
    <cacheField name="退貨 / 退款狀態" numFmtId="0">
      <sharedItems/>
    </cacheField>
    <cacheField name="買家帳號" numFmtId="179">
      <sharedItems/>
    </cacheField>
    <cacheField name="訂單成立日期" numFmtId="179">
      <sharedItems count="57">
        <s v="2026/4/1"/>
        <s v="2026/4/2"/>
        <s v="2026/4/3"/>
        <s v="2026/4/4"/>
        <s v="2026/4/5"/>
        <s v="2026/4/6"/>
        <s v="2026/4/7"/>
        <s v="2026/4/8"/>
        <s v="2026/4/9"/>
        <s v="2026/4/10"/>
        <s v="2026/4/11"/>
        <s v="2026/4/12"/>
        <s v="2026/4/13"/>
        <s v="2026/4/14"/>
        <s v="2026/4/15"/>
        <s v="2026/4/16"/>
        <s v="2026/4/17"/>
        <s v="2026/4/18"/>
        <s v="2026/4/19"/>
        <s v="2026/4/20"/>
        <s v="2026/4/21"/>
        <s v="2026/4/22"/>
        <s v="2026/4/23"/>
        <s v="2026/4/24"/>
        <s v="2026/4/25"/>
        <s v="2026/4/26"/>
        <s v="2026/4/27"/>
        <s v="2026/4/28"/>
        <s v="2026/4/29"/>
        <s v="2026/4/30"/>
        <s v=""/>
        <s v="2026/3/1" u="1"/>
        <s v="2026/3/2" u="1"/>
        <s v="2026/3/3" u="1"/>
        <s v="2026/3/4" u="1"/>
        <s v="2026/3/5" u="1"/>
        <s v="2026/3/6" u="1"/>
        <s v="2026/3/7" u="1"/>
        <s v="2026/3/8" u="1"/>
        <s v="2026/3/9" u="1"/>
        <s v="2026/3/10" u="1"/>
        <s v="2026/3/11" u="1"/>
        <s v="2026/3/12" u="1"/>
        <s v="2026/3/13" u="1"/>
        <s v="2026/3/14" u="1"/>
        <s v="2026/3/15" u="1"/>
        <s v="2026/3/16" u="1"/>
        <s v="2026/3/17" u="1"/>
        <s v="2026/3/18" u="1"/>
        <s v="2026/3/19" u="1"/>
        <s v="2026/3/20" u="1"/>
        <s v="2026/3/21" u="1"/>
        <s v="2026/3/22" u="1"/>
        <s v="2026/3/23" u="1"/>
        <s v="2026/3/24" u="1"/>
        <s v="2026/3/25" u="1"/>
        <s v="2026/3/26" u="1"/>
      </sharedItems>
    </cacheField>
    <cacheField name="商品總價" numFmtId="0">
      <sharedItems/>
    </cacheField>
    <cacheField name="買家支付運費" numFmtId="0">
      <sharedItems/>
    </cacheField>
    <cacheField name="蝦皮補助運費" numFmtId="0">
      <sharedItems/>
    </cacheField>
    <cacheField name="退貨運費" numFmtId="0">
      <sharedItems/>
    </cacheField>
    <cacheField name="買家總支付金額" numFmtId="0">
      <sharedItems/>
    </cacheField>
    <cacheField name="蝦皮補貼金額" numFmtId="0">
      <sharedItems/>
    </cacheField>
    <cacheField name="蝦幣折抵" numFmtId="0">
      <sharedItems/>
    </cacheField>
    <cacheField name="銀行信用卡活動折抵" numFmtId="0">
      <sharedItems/>
    </cacheField>
    <cacheField name="優惠代碼" numFmtId="0">
      <sharedItems/>
    </cacheField>
    <cacheField name="賣家負擔優惠券" numFmtId="0">
      <sharedItems/>
    </cacheField>
    <cacheField name="賣家負擔蝦幣回饋券" numFmtId="0">
      <sharedItems/>
    </cacheField>
    <cacheField name="蝦皮負擔優惠券" numFmtId="0">
      <sharedItems/>
    </cacheField>
    <cacheField name="成交手續費" numFmtId="0">
      <sharedItems/>
    </cacheField>
    <cacheField name="其他服務費" numFmtId="0">
      <sharedItems/>
    </cacheField>
    <cacheField name="金流與系統處理費" numFmtId="0">
      <sharedItems/>
    </cacheField>
    <cacheField name="分期付款期數" numFmtId="0">
      <sharedItems/>
    </cacheField>
    <cacheField name="金流與系統處理費率" numFmtId="0">
      <sharedItems/>
    </cacheField>
    <cacheField name="成交手續費規則名稱" numFmtId="0">
      <sharedItems/>
    </cacheField>
    <cacheField name="商品名稱" numFmtId="0">
      <sharedItems count="104">
        <s v="【巧連智】巧虎雙語點讀圖鑑｜4.4 限定 免運 點讀 兒童 早教 啟蒙｜巧虎品牌旗艦店"/>
        <s v="【巧連智】和巧虎一起學 注音拼音套組｜限定 4.4 免運 學習教具 拼音 國語 兒童玩具｜鉛筆盒 寶可夢｜巧虎旗艦店"/>
        <s v="【巧連智】巧連智家家酒扮演組｜限定 4.4 免運｜廚房玩具 寶寶禮物 兒童玩具 ｜巧虎旗艦店"/>
        <s v="【巧連智】專心吃飯音樂立體書套組｜限定 4.4 免運｜1歲寶寶 兒童玩具｜巧虎手偶+音樂立體書 寶寶禮物｜巧虎旗艦"/>
        <s v="【巧連智】寶寶顏色娃娃扮演遊戲組｜限定 4.4 宅配490免運｜寶寶 禮物 洗澡玩具 兒童玩具｜巧虎官方旗艦店"/>
        <s v="【巧連智】語彙表達．智育學習套組｜4.4 免運 限定 顏色娃娃 寶寶版 巧虎收納袋 學習 兒童 玩具｜巧虎旗艦店"/>
        <s v="【巧連智】巧虎手偶｜禮物 抓周 生日 限定 4.4｜jelly cat 娃娃 threads 兒童 脆｜巧虎旗艦店"/>
        <s v="【巧連智】巧虎手偶｜禮物 抓周 生日 限定 4.4  免運｜巧虎脆 娃娃 兒童玩具｜巧虎旗艦"/>
        <s v="【巧連智】交通工具拼圖書｜限定 4.4 宅配490免運｜寶寶 車車 隨身車車 繪本｜巧虎旗艦店"/>
        <s v="【巧連智】寶寶IC語彙農場小火車｜限定4.4 免運｜獅兔象款 寶寶禮物 兒童玩具｜動物玩具｜巧虎旗艦店"/>
        <s v="【巧連智】寶寶生活語彙認知圖鑑｜限定 4.4 宅配490免運｜寶寶禮物 玩具 圖鑑 語彙表達｜巧虎旗艦店"/>
        <s v="【巧連智】聰明左右腦 點讀大冒險套組｜新品 免運 4.4  限定｜點讀筆 閱讀筆 蛋黃筆 成長版 快樂版｜巧虎官方旗艦店"/>
        <s v="【巧連智】和巧虎一起學數學套組｜新品 免運 4.4 限定｜練習本 兒童時鐘 算數 遊戲 益智玩具｜巧虎官方旗艦店"/>
        <s v="【巧連智】琪琪包 隨身小包包｜限定 4.4  免運｜超人氣商品｜巧虎旗艦店"/>
        <s v="【巧連智】音樂拖把小精靈套組｜限定 4.4 免運 兒童教具 認知書 有聲書 玩具 拖把｜巧虎旗艦店"/>
        <s v="【巧連智】巧虎玩沙組｜日本原裝進口 夏天海邊必備單品｜限定 4.4 免運｜巧虎旗艦店"/>
        <s v="【巧連智】寶寶生活好習慣套組｜ 限定 4.4 免運｜生日禮物 寶寶玩具｜ 姓名貼 點讀書 繪本 貼紙 ｜巧虎官方"/>
        <s v="【巧連智】巧虎數獨組｜限定 4.4 宅配490免運｜兒童 禮物 學習玩具｜巧虎官方旗艦店"/>
        <s v="【巧連智】好情緒EQ X 品格人際套組｜4.4 免運 限量 入學準備 團體生活｜學習 玩具 兒童 有聲書 姓名貼｜巧"/>
        <s v="【巧連智】小一新生入學準備教材 ｜4.4 限定 最後數量 大班生必備｜小書 兒童 小一｜巧虎官方旗艦店"/>
        <s v="【巧連智】座標轉轉機+奇幻王國挑戰書｜限定 4.4 滿490宅配免運｜認識座標 兒童玩具｜巧虎官方旗艦店"/>
        <s v="【巧連智】潛能大挑戰｜成長版經典 最後出清 4.4 宅配490免運｜思考力 數學力 注音力｜巧虎品牌旗艦店"/>
        <s v="【巧連智】漫畫成語組｜限定 4.4  宅配490免運｜打好閱讀基礎 人氣商品｜巧虎旗艦店"/>
        <s v="【巧連智】九九乘法組｜限定 3.3 宅配490免運｜變變變魔術組加購｜小學生 玩具 書籍 數學｜巧虎官方旗艦店"/>
        <s v="【巧連智】腦力開發系列 觀察 記憶｜成長版 最後出清 宅配490免運｜思考力 數學力 注音力｜巧虎旗艦店"/>
        <s v="【巧連智】拼音語詞書+益智挑戰書｜絕版出清 注音 小一 先修 數學 邏輯 教科書 4.4 宅配490免運｜巧虎官方旗艦店"/>
        <s v="【巧連智】十分鐘閱讀理解祕笈｜增加閱讀理解力｜巧虎旗艦店"/>
        <s v="【巧連智】閱讀橋梁書套組｜限定 4.4 免運｜買就送 學習 書籍 閱讀｜小學生 作文 注音｜巧虎官方旗艦店"/>
        <s v="【巧連智】IC動物百科探索組｜限定 4.4 滿490免運｜巧連智快樂 學習玩具 動物有聲｜巧虎旗艦店"/>
        <s v="【巧連智】小學生知識口袋書｜限定 4.4 宅配490免運｜兒童 書籍 注音｜巧虎官方旗艦店"/>
        <s v="【巧連智】巧虎手偶｜禮物 抓周 生日 限定 4.4｜巧虎脆 娃娃 threads 兒童 脆｜巧虎旗艦店"/>
        <s v="【巧連智】和巧虎一起說英語 進階版｜買就送好禮 限定 4.4 免運｜禮物 英語玩具 幼兒故事書 認知書｜巧虎官方旗艦"/>
        <s v="*【巧連智】巧虎雙語點讀圖鑑｜團購限定 點讀 兒童 早教 啟蒙｜巧虎品牌旗艦店"/>
        <s v="【巧連智】Pixsee Wonders巧虎生活探索套組｜故事機 隨身聽 巧虎故事｜巧虎官方旗艦店"/>
        <s v="【巧連智】寶寶動物親子拼圖組(附遊戲圖)｜限定 4.4 宅配490免運｜觀察思考 扮演表達｜巧虎旗艦店"/>
        <s v="【巧連智】百變巧虎公仔｜限定 3.3 宅配490免運｜４款隨機出貨盲盒｜巧虎旗艦店"/>
        <s v="【巧連智】點點火箭車 點讀系列 3.3｜最後庫存 點讀筆 表達力餐廳 分類超市遊戲組｜巧虎官方"/>
        <s v="【巧連智】白沙屯媽祖祈福禮盒｜4.4  免運 限定 聯名 學習 新生禮 抓周禮 媽祖 台灣｜巧虎旗艦店"/>
        <s v="【巧連智】桃樂比抱抱｜限定 4.4 免運｜超人氣 55公分娃娃｜巧虎旗艦店"/>
        <s v="【巧連智】和巧虎一起說英語 PLUS+初階版｜限定 4.4 免運 巧虎 兒童英語 有聲書 繪本｜巧虎官方旗艦店"/>
        <s v="【巧連智】巧虎YUMMY商店｜收銀機 玩具 微波爐 老闆 開店玩具 廚房玩具｜巧虎 官方旗艦店"/>
        <s v="【巧連智】巧虎歡樂軌道樂園｜電動 小火車 玩具 軌道 拼圖 車車｜巧虎 官方旗艦店"/>
        <s v="【巧連智】巧虎神奇果汁店（感溫變色）｜扮家家酒 可變色 可轉 聲光 玩具 ｜巧虎 官方旗艦店"/>
        <s v="【巧連智】巧虎耶誕斗篷｜限定 4.4  免運｜角色扮演 聖誕節必備｜巧虎旗艦店"/>
        <s v="【巧連智】琪琪造型圓領衫｜限定 4.4 宅配490免運｜幼兒洋裝｜巧虎旗艦店 (尺寸：90cm/110cm）"/>
        <s v="【巧連智】巧虎成長積木｜限定 4.4 免運｜日本原裝進口 木頭製｜品牌旗艦店"/>
        <s v="【巧連智】數字小企鵝｜限定 4.4  滿490宅配免運｜數字學習 幼幼版｜巧虎官方旗艦店"/>
        <s v="【巧連智】寶寶IC語彙農場小火車｜限定5.5 免運｜獅兔象款 寶寶禮物 兒童玩具｜動物玩具｜巧虎旗艦店"/>
        <s v="【巧連智】音樂拖把小精靈套組｜限定 5.5 免運 兒童教具 認知書 有聲書 玩具 拖把｜巧虎旗艦店"/>
        <s v="【巧連智】巧虎雙語點讀圖鑑｜5.5 限定 免運 點讀 兒童 早教 啟蒙｜巧虎品牌旗艦店"/>
        <s v="【巧連智】交通工具拼圖書｜限定 5.5 宅配490免運｜寶寶 車車 隨身車車 繪本｜巧虎旗艦店"/>
        <s v="【巧連智】寶寶生活語彙認知圖鑑｜限定 5.5 宅配490免運｜寶寶禮物 玩具 圖鑑 語彙表達｜巧虎旗艦店"/>
        <s v="【巧連智】漫畫成語組｜限定 5.5  宅配490免運｜打好閱讀基礎 人氣商品｜巧虎旗艦店"/>
        <s v=""/>
        <s v="【巧連智】巧虎雙語點讀圖鑑｜2.2 限定 免運 點讀 兒童 早教 啟蒙｜巧虎品牌旗艦店" u="1"/>
        <s v="【巧連智】巧虎手偶｜禮物 抓周 生日 限定 3.3 免運｜jelly cat 娃娃 兒童玩具｜巧虎旗艦" u="1"/>
        <s v="【巧連智】專心吃飯音樂立體書套組｜限定 3.3 免運｜1歲寶寶 兒童玩具｜巧虎手偶+音樂立體書 寶寶禮物｜巧虎旗艦" u="1"/>
        <s v="【巧連智】巧虎鐵琴音樂玩具｜限定 3.3 宅配490免運｜日本原裝進口｜巧虎旗艦店" u="1"/>
        <s v="【巧連智】巧虎手偶｜禮物 抓周 生日 限定 3.3｜jelly cat 娃娃 threads 兒童 脆｜巧虎旗艦店" u="1"/>
        <s v="【巧連智】寶寶動物親子拼圖組(附遊戲圖)｜限定 3.3 宅配490免運｜觀察思考 扮演表達｜巧虎旗艦店" u="1"/>
        <s v="【巧連智】寶寶生活語彙認知圖鑑｜限定 3.3 宅配490免運｜寶寶禮物 玩具 圖鑑 語彙表達｜巧虎旗艦店" u="1"/>
        <s v="【巧連智】寶寶顏色娃娃扮演遊戲組｜限定 3.3 宅配490免運｜寶寶 禮物 洗澡玩具 兒童玩具｜巧虎官方旗艦店" u="1"/>
        <s v="【巧連智】寶寶IC語彙農場小火車｜限定 3.3 免運｜獅兔象款 寶寶禮物 兒童玩具｜動物玩具｜巧虎旗艦店" u="1"/>
        <s v="【巧連智】巧連智家家酒扮演組｜限定 3.3 免運｜廚房玩具 寶寶禮物 兒童玩具 ｜巧虎旗艦店" u="1"/>
        <s v="【巧連智】巧虎雙語點讀圖鑑｜3.3 限定 免運 點讀 兒童 早教 啟蒙｜巧虎品牌旗艦店" u="1"/>
        <s v="【巧連智】百變圖形疊疊樂(含解答)｜限定 3.3  宅配490免運｜邏輯推理 圖形組合 透明遊戲片｜巧虎旗艦店" u="1"/>
        <s v="【巧連智】小一新生入學準備教材｜3.3 限定 最後數量 大班生必備｜小書 兒童 小一｜巧虎官方旗艦店" u="1"/>
        <s v="【巧連智】拼音語詞書+益智挑戰書｜絕版出清 注音 小一 先修 數學 邏輯 教科書 3.3 宅配490免運｜巧虎官方旗艦店" u="1"/>
        <s v="【巧連智】漫畫成語組｜限定 3.3 宅配490免運｜打好閱讀基礎 人氣商品｜巧虎旗艦店" u="1"/>
        <s v="【巧連智】小學生知識口袋書｜限定 3.3 宅配490免運｜兒童 書籍 注音｜巧虎官方旗艦店" u="1"/>
        <s v="【巧連智】巧虎數獨組｜限定 3.3 宅配490免運｜兒童 禮物 學習玩具｜巧虎官方旗艦店" u="1"/>
        <s v="【巧連智】座標轉轉機+奇幻王國挑戰書｜限定 3.3 滿490宅配免運｜認識座標 兒童玩具｜巧虎官方旗艦店" u="1"/>
        <s v="【巧連智】好情緒EQ X 品格人際套組｜3.3 免運 限量 入學準備 團體生活｜學習 玩具 兒童 有聲書 姓名貼｜巧" u="1"/>
        <s v="【巧連智】classic world幾何積木（滿額贈品）｜請勿下單｜巧虎旗艦店" u="1"/>
        <s v="【巧連智】手提式可水洗絲滑蠟筆（滿額贈品）｜請勿下單｜巧虎旗艦店" u="1"/>
        <s v="【巧連智】潛能大挑戰｜成長版經典 最後出清 3.3 宅配490免運｜思考力 數學力 注音力｜巧虎品牌旗艦店" u="1"/>
        <s v="【巧連智】IC動物百科探索組｜限定 3.3 滿490免運｜巧連智快樂 學習玩具 動物有聲｜巧虎旗艦店" u="1"/>
        <s v="【巧連智】交通工具拼圖書｜限定 3.3 宅配490免運｜寶寶 車車 隨身車車 繪本｜巧虎旗艦店" u="1"/>
        <s v="*【巧連智】寶寶動物親子拼圖組(附遊戲圖)｜集點活動｜觀察思考 扮演表達｜巧虎旗艦店" u="1"/>
        <s v="【巧連智】和巧虎一起學 注音拼音套組｜限定 3.3 免運 學習教具 拼音 國語 兒童玩具｜鉛筆盒 寶可夢｜巧虎旗艦店" u="1"/>
        <s v="【巧連智】巧虎包裝紙｜限定 3.3 宅配490免運｜禮物送禮節慶必備｜巧虎旗艦店" u="1"/>
        <s v="【巧連智】音樂拖把小精靈套組｜限定 3.3 免運 兒童教具 認知書 有聲書 玩具 拖把｜巧虎旗艦店" u="1"/>
        <s v="【巧連智】聰明左右腦 點讀大冒險套組｜新品 免運 3.3 限定｜點讀筆 閱讀筆 蛋黃筆 成長版 快樂版｜巧虎官方旗艦店" u="1"/>
        <s v="【巧連智】和巧虎一起學數學套組｜新品 免運 3.3 限定｜練習本 兒童時鐘 算數 遊戲 益智玩具｜巧虎官方旗艦店" u="1"/>
        <s v="【巧連智】世界名著 單本出清｜亞森羅蘋 靈犬萊西 馬可波羅遊記 辛巴達歷險記 3.3 宅配490免運 特惠｜巧虎" u="1"/>
        <s v="【巧連智】和巧虎一起說英語 PLUS+初階版｜限定 3.3 免運 巧虎 兒童英語 有聲書 繪本｜巧虎官方旗艦店" u="1"/>
        <s v="【巧連智】鹽水動力車（滿額贈禮）｜請勿下單｜巧虎旗艦店" u="1"/>
        <s v="【巧連智】數字學習鐘（滿額贈禮）｜請勿下單｜巧虎旗艦店" u="1"/>
        <s v="【巧連智】精選世界名著組 3本 (滿額贈品)｜買 贈送｜請勿下單｜巧虎旗艦店" u="1"/>
        <s v="【巧連智】巧虎3-6歲幼兒 學習套組 禮物推薦｜3.3 免運｜學習教具 故事書 注音學習 兒童 學習｜巧虎官方旗艦店" u="1"/>
        <s v="【巧連智】巧虎四色運筆塗鴉組｜限定 3.3 滿490宅配免運｜握筆運筆練習 靈活手指肌肉｜巧虎旗艦店" u="1"/>
        <s v="【巧連智】巧虎城市交通安全組｜限定 3.3 免運｜人氣IC教具｜親子互動 扮演遊戲｜巧虎旗艦店" u="1"/>
        <s v="【巧連智】桃樂比抱抱｜限定 3.3 免運｜超人氣 55公分娃娃｜巧虎旗艦店" u="1"/>
        <s v="【巧連智】巧虎玩沙組｜日本原裝進口 夏天海邊必備單品｜限定 3.3 免運｜巧虎旗艦店" u="1"/>
        <s v="【巧連智】琪琪包 隨身小包包｜限定 3.3 免運｜超人氣商品｜巧虎旗艦店" u="1"/>
        <s v="【巧連智】寶寶生活好習慣套組｜ 限定 3.3 免運｜生日禮物 寶寶玩具｜ 姓名貼 點讀書 繪本 貼紙 ｜巧虎官方" u="1"/>
        <s v="【巧連智】和巧虎一起說英語 進階版｜買就送好禮 限定 3.3 免運｜禮物 英語玩具 幼兒故事書 認知書｜巧虎官方旗艦" u="1"/>
        <s v="【巧連智】巧虎吉他手玩具｜限定 3.3 免運｜兒童音樂玩具｜巧虎旗艦店" u="1"/>
        <s v="【巧連智】巧虎成長積木｜限定 3.3 免運｜日本原裝進口 木頭製｜品牌旗艦店" u="1"/>
        <s v="【巧連智】巧虎用餐好朋友｜skater巧虎便當盒 湯匙 兒童｜巧虎旗艦店" u="1"/>
        <s v="【巧連智】西班牙靜電貼紙-都市款｜滿額贈品｜請勿下單｜巧虎旗艦店" u="1"/>
        <s v="【巧連智】桃樂比妙妙抱枕(活動贈品)｜親子互動 扮演遊戲｜巧虎旗艦店" u="1"/>
        <s v="【巧連智】語彙表達．智育學習套組｜3.3 免運 限定 顏色娃娃 寶寶版 巧虎收納袋 學習 兒童 玩具｜巧虎旗艦店" u="1"/>
        <s v="【巧連智】可愛巧虎變身毯｜限定 3.3 免運｜幼兒保暖毯 頭套兩用｜巧虎旗艦店" u="1"/>
      </sharedItems>
    </cacheField>
    <cacheField name="商品ID" numFmtId="0">
      <sharedItems/>
    </cacheField>
    <cacheField name="商品選項名稱" numFmtId="0">
      <sharedItems/>
    </cacheField>
    <cacheField name="規格ID" numFmtId="0">
      <sharedItems/>
    </cacheField>
    <cacheField name="蝦皮商品編碼 (商品ID_規格ID)" numFmtId="0">
      <sharedItems/>
    </cacheField>
    <cacheField name="商品原價" numFmtId="0">
      <sharedItems containsMixedTypes="1" containsNumber="1" containsInteger="1" minValue="250" maxValue="7020"/>
    </cacheField>
    <cacheField name="商品活動價格" numFmtId="0">
      <sharedItems containsMixedTypes="1" containsNumber="1" minValue="0" maxValue="5299" count="59">
        <n v="2399"/>
        <n v="3200"/>
        <n v="1099"/>
        <n v="699"/>
        <n v="200"/>
        <n v="5099"/>
        <n v="299"/>
        <n v="210"/>
        <n v="599"/>
        <n v="2598"/>
        <n v="199"/>
        <n v="2999"/>
        <n v="2998"/>
        <n v="799"/>
        <n v="999"/>
        <n v="2798"/>
        <n v="4998"/>
        <n v="4900"/>
        <n v="450"/>
        <n v="2199"/>
        <n v="113"/>
        <n v="285"/>
        <n v="90"/>
        <n v="105"/>
        <n v="234"/>
        <n v="150"/>
        <n v="120"/>
        <n v="140"/>
        <n v="2400"/>
        <n v="5299"/>
        <n v="375"/>
        <n v="690"/>
        <n v="4498"/>
        <n v="4500"/>
        <n v="5199"/>
        <n v="350"/>
        <n v="4299"/>
        <n v="1198"/>
        <n v="2398"/>
        <n v="399"/>
        <n v="899"/>
        <n v="300"/>
        <n v="4800"/>
        <n v="1199"/>
        <n v="5298"/>
        <n v="1399"/>
        <n v="790"/>
        <n v="520"/>
        <s v=""/>
        <n v="400" u="1"/>
        <n v="0" u="1"/>
        <n v="540" u="1"/>
        <n v="20" u="1"/>
        <n v="114" u="1"/>
        <n v="710" u="1"/>
        <n v="499" u="1"/>
        <n v="4999" u="1"/>
        <n v="112.5" u="1"/>
        <n v="2800" u="1"/>
      </sharedItems>
    </cacheField>
    <cacheField name="主商品貨號" numFmtId="0">
      <sharedItems count="86">
        <s v="20250FE00"/>
        <s v="20240FM00"/>
        <s v="20240H023"/>
        <s v="20240H022"/>
        <s v="20211C608"/>
        <s v="20250FD00"/>
        <s v="20250FXAM"/>
        <s v="20191C710"/>
        <s v="20221C6B6"/>
        <s v="20250FXBH"/>
        <s v="20221C611"/>
        <s v="20250FF00"/>
        <s v="20250FG00"/>
        <s v="20250FXCH"/>
        <s v="20220KG00"/>
        <s v="20240FB00"/>
        <s v="20230H008"/>
        <s v="20250FXBT"/>
        <s v="20250FXAJ"/>
        <s v="20235C603"/>
        <s v="20250FA00"/>
        <s v="20245C905"/>
        <s v="20255CXAC"/>
        <s v="20255CXAA"/>
        <s v="20254CXAG"/>
        <s v="20254CXAM"/>
        <s v="20255CXAB"/>
        <s v="20235C903"/>
        <s v="2022FC801"/>
        <s v="20256CXAA"/>
        <s v="20244C911"/>
        <s v="20255CXBD"/>
        <s v="2023FC809"/>
        <s v="20255CXBE"/>
        <s v="20255CXBF"/>
        <s v="20255CXBB"/>
        <s v="20255CXBC"/>
        <s v="20250FXAC"/>
        <s v="20203C601"/>
        <s v="2022FCV11"/>
        <s v="2020FC801"/>
        <s v="2021FCV02"/>
        <s v="20250FXAP"/>
        <s v="20220MY00"/>
        <s v="20250FXBC"/>
        <s v="20241CXAA"/>
        <s v="2020FC803"/>
        <s v="20240FA00"/>
        <s v="20230H003"/>
        <s v="20252CXAC"/>
        <s v="20250FXAN"/>
        <s v="20252FA00"/>
        <s v="20220H002"/>
        <s v="20230MY00"/>
        <s v="20260H001"/>
        <s v="20260H002"/>
        <s v="20250H002"/>
        <s v="20230EA00"/>
        <s v="20220KA01"/>
        <s v="20250FXAK"/>
        <s v="20240H007"/>
        <s v="20252CXAD"/>
        <s v=""/>
        <s v="20230H010" u="1"/>
        <s v="20245CXAB" u="1"/>
        <s v="20220PP01" u="1"/>
        <s v="20224PB02" u="1"/>
        <s v="20244C910" u="1"/>
        <s v="20220EA00" u="1"/>
        <s v="20250FXCB" u="1"/>
        <s v="20250FXCC" u="1"/>
        <s v="2023FC908" u="1"/>
        <s v="2023FC912" u="1"/>
        <s v="2020FPB02" u="1"/>
        <s v="20220PP02" u="1"/>
        <s v="20210PM02" u="1"/>
        <s v="2023FCV02" u="1"/>
        <s v="20240H021" u="1"/>
        <s v="20212C603" u="1"/>
        <s v="20232C612" u="1"/>
        <s v="20220EB00" u="1"/>
        <s v="20230H009" u="1"/>
        <s v="20250H014" u="1"/>
        <s v="20210PP12" u="1"/>
        <s v="20200PP02" u="1"/>
        <s v="20210H014" u="1"/>
      </sharedItems>
    </cacheField>
    <cacheField name="商品選項貨號" numFmtId="0">
      <sharedItems/>
    </cacheField>
    <cacheField name="數量" numFmtId="0">
      <sharedItems containsMixedTypes="1" containsNumber="1" containsInteger="1" minValue="1" maxValue="3"/>
    </cacheField>
    <cacheField name="退貨數量" numFmtId="0">
      <sharedItems/>
    </cacheField>
    <cacheField name="促銷組合指標" numFmtId="0">
      <sharedItems/>
    </cacheField>
    <cacheField name="蝦皮促銷組合折扣:促銷組合標籤" numFmtId="0">
      <sharedItems/>
    </cacheField>
    <cacheField name="收件地址" numFmtId="0">
      <sharedItems/>
    </cacheField>
    <cacheField name="收件者電話_x000a_(若您是自行配送請使用後方蝦皮專線和包裹查詢碼聯繫買家)" numFmtId="0">
      <sharedItems/>
    </cacheField>
    <cacheField name="蝦皮專線和包裹查詢碼 _x000a_(請複製下方完整編號提供給您配合的物流商當做聯絡電話)" numFmtId="0">
      <sharedItems/>
    </cacheField>
    <cacheField name="取件門市店號" numFmtId="0">
      <sharedItems/>
    </cacheField>
    <cacheField name="城市" numFmtId="0">
      <sharedItems/>
    </cacheField>
    <cacheField name="行政區" numFmtId="0">
      <sharedItems/>
    </cacheField>
    <cacheField name="郵遞區號" numFmtId="0">
      <sharedItems/>
    </cacheField>
    <cacheField name="收件者姓名" numFmtId="0">
      <sharedItems/>
    </cacheField>
    <cacheField name="寄送方式" numFmtId="0">
      <sharedItems/>
    </cacheField>
    <cacheField name="出貨方式" numFmtId="0">
      <sharedItems/>
    </cacheField>
    <cacheField name="備貨時間" numFmtId="0">
      <sharedItems/>
    </cacheField>
    <cacheField name="付款方式" numFmtId="0">
      <sharedItems/>
    </cacheField>
    <cacheField name="最晚出貨日期" numFmtId="0">
      <sharedItems/>
    </cacheField>
    <cacheField name="包裹查詢號碼" numFmtId="0">
      <sharedItems/>
    </cacheField>
    <cacheField name="買家付款時間" numFmtId="0">
      <sharedItems/>
    </cacheField>
    <cacheField name="實際出貨時間" numFmtId="0">
      <sharedItems containsBlank="1"/>
    </cacheField>
    <cacheField name="訂單完成時間" numFmtId="0">
      <sharedItems/>
    </cacheField>
    <cacheField name="買家備註" numFmtId="0">
      <sharedItems containsBlank="1"/>
    </cacheField>
    <cacheField name="備註" numFmtId="0">
      <sharedItems containsBlank="1"/>
    </cacheField>
    <cacheField name="分類" numFmtId="0">
      <sharedItems/>
    </cacheField>
    <cacheField name="管道" numFmtId="0">
      <sharedItems/>
    </cacheField>
    <cacheField name="商品未稅價" numFmtId="0" formula="商品活動價格/1.05" databaseField="0"/>
    <cacheField name="未稅價格" numFmtId="0" formula="商品活動價格/1.0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詩雅" refreshedDate="46146.756752777779" createdVersion="8" refreshedVersion="8" minRefreshableVersion="3" recordCount="15000" xr:uid="{E1E6BABA-B3BD-474F-86BF-2FFF143F8E51}">
  <cacheSource type="worksheet">
    <worksheetSource ref="A1:T15001" sheet="比對檔" r:id="rId2"/>
  </cacheSource>
  <cacheFields count="21">
    <cacheField name="訂單號碼" numFmtId="0">
      <sharedItems containsBlank="1"/>
    </cacheField>
    <cacheField name="訂單日期" numFmtId="0">
      <sharedItems containsBlank="1" count="32">
        <s v="2026/4/1"/>
        <s v="2026/4/2"/>
        <s v="2026/4/3"/>
        <s v="2026/4/4"/>
        <s v="2026/4/5"/>
        <s v="2026/4/6"/>
        <s v="2026/4/7"/>
        <s v="2026/4/8"/>
        <s v="2026/4/9"/>
        <s v="2026/4/10"/>
        <s v="2026/4/11"/>
        <s v="2026/4/12"/>
        <s v="2026/4/13"/>
        <s v="2026/4/14"/>
        <s v="2026/4/15"/>
        <s v="2026/4/16"/>
        <s v="2026/4/17"/>
        <s v="2026/4/18"/>
        <s v="2026/4/19"/>
        <s v="2026/4/20"/>
        <s v="2026/4/21"/>
        <s v="2026/4/22"/>
        <s v="2026/4/23"/>
        <s v="2026/4/24"/>
        <s v="2026/4/25"/>
        <s v="2026/4/26"/>
        <s v="2026/4/27"/>
        <s v="2026/4/28"/>
        <s v="2026/4/29"/>
        <s v="2026/4/30"/>
        <s v=""/>
        <m/>
      </sharedItems>
    </cacheField>
    <cacheField name="付款狀態" numFmtId="0">
      <sharedItems containsBlank="1" count="3">
        <s v="已付款"/>
        <s v=""/>
        <m/>
      </sharedItems>
    </cacheField>
    <cacheField name="商品貨號" numFmtId="0">
      <sharedItems containsBlank="1" count="168">
        <s v="20250FE00"/>
        <s v="20250FD00"/>
        <s v="20230PM04"/>
        <s v="20204PB01"/>
        <s v="20250FF00"/>
        <s v="20240FB00"/>
        <s v="20240H031"/>
        <s v="20250FG00"/>
        <s v="20250FXBC"/>
        <s v="2020FPB01"/>
        <s v="20210PP08"/>
        <s v="20215C611"/>
        <s v="20250EA03"/>
        <s v="20230MY00"/>
        <s v="20240RYA3"/>
        <s v="20240EA04"/>
        <s v="20230KA00"/>
        <s v="20250FXAM"/>
        <s v="20240H002"/>
        <s v="20250H004"/>
        <s v="2023TPM01"/>
        <s v="20250EA05"/>
        <s v="20250H003"/>
        <s v="2024HPB01"/>
        <s v="20190PP04"/>
        <s v="20240H039"/>
        <s v="20240EA08"/>
        <s v="20250H017"/>
        <s v="20230H032"/>
        <s v="20240H026"/>
        <s v="20240H025"/>
        <s v="20240H029"/>
        <s v="20240H028"/>
        <s v="20240H024"/>
        <s v="20230H001"/>
        <s v="20180PM01"/>
        <s v="20200PM07"/>
        <s v="20240RYA5"/>
        <s v="20250H002"/>
        <s v="20250FA00"/>
        <s v="20220H009"/>
        <s v="20220H010"/>
        <s v="20240H010"/>
        <s v="20240EC04"/>
        <s v="20240H007"/>
        <s v="20230EM00"/>
        <s v="20240FM00"/>
        <s v="20250H018"/>
        <s v="20240H011"/>
        <s v="20252FA00"/>
        <s v="20240RB03"/>
        <s v="20180PP07"/>
        <s v="20230EH00"/>
        <s v="20240EA03"/>
        <s v="20240H027"/>
        <s v="20220KA01"/>
        <s v="20250EA02"/>
        <s v="20240H012"/>
        <s v="20250FC01"/>
        <s v="20240FA00"/>
        <s v="20230EG00"/>
        <s v="20220EA00"/>
        <s v="20220EB00"/>
        <s v="20230EP00"/>
        <s v="20250FXAC"/>
        <s v="20220H007"/>
        <s v="20220EC00"/>
        <s v="20230ET00"/>
        <s v="20250EA06"/>
        <s v="2025GPS01"/>
        <s v="20240H023"/>
        <s v="20240RYA2"/>
        <s v="20230EE00"/>
        <s v="20240RC05"/>
        <s v="20240RC04"/>
        <s v="20240RC02"/>
        <s v="20240RC03"/>
        <s v="20220KF00"/>
        <s v="20211C608"/>
        <s v="20220MY00"/>
        <s v="20240RA04"/>
        <s v="20180PB0H"/>
        <s v="20240EA12"/>
        <s v="20240EA14"/>
        <s v="20240EB02"/>
        <s v="2024GPS05"/>
        <s v="20250H014"/>
        <s v="20240EC01"/>
        <s v="20240H009"/>
        <s v="20200H017"/>
        <s v="20240RA03"/>
        <s v="20200H016"/>
        <s v="20240EA01"/>
        <s v="20200H026"/>
        <s v="20250H001"/>
        <s v="20240H042"/>
        <s v="20221PB03"/>
        <s v="2023MPB03"/>
        <s v="20224PB02"/>
        <s v="20230PM02"/>
        <s v="20223PW01"/>
        <s v="2023MPB01"/>
        <s v="2021KPG03"/>
        <s v="20230H008"/>
        <s v="20210H002"/>
        <s v="20240RYA4"/>
        <s v="20220PQ01"/>
        <s v="20220EM00"/>
        <s v="20250EA07"/>
        <s v="20240H032"/>
        <s v="20240H006"/>
        <s v="20240H022"/>
        <s v="20250H013"/>
        <s v="20250FD01"/>
        <s v="20230H011"/>
        <s v="20220KB00"/>
        <s v="20230H029"/>
        <s v="20260H002"/>
        <s v="20260H003"/>
        <s v="20240EA02"/>
        <s v="20240EB01"/>
        <s v="20240H014"/>
        <s v="20220H002"/>
        <s v="20220EG00"/>
        <s v="20250H020"/>
        <s v="20230ER00"/>
        <s v="20220HXAA"/>
        <s v="20200H003"/>
        <s v="20240RA05"/>
        <s v="20220KA00"/>
        <s v="20250FC03"/>
        <s v="20260H001"/>
        <s v="20230EK00"/>
        <s v="20230H009"/>
        <s v="20250EB01"/>
        <s v="2024GPS01"/>
        <s v="2022MPB11"/>
        <s v="20240EA09"/>
        <s v="20240H013"/>
        <s v="20230EA00"/>
        <s v="20240EC05"/>
        <s v="20230EQ00"/>
        <s v="20170H020"/>
        <s v="20230EJ00"/>
        <s v="20210PQ01"/>
        <s v="20180H041"/>
        <s v="20230H033"/>
        <s v="20251PB02"/>
        <s v="20220PP02"/>
        <s v="2023FPB01"/>
        <s v="20235C603"/>
        <s v="20245C604"/>
        <s v="20215PB01"/>
        <s v="20211PR04"/>
        <s v="20250FB02"/>
        <s v="20230H003"/>
        <s v="20240EA11"/>
        <s v="20240RA02"/>
        <s v="20210KJ00"/>
        <s v="20240RC01"/>
        <s v="20250FXAB"/>
        <s v="20250FB01"/>
        <s v="20240H001"/>
        <s v="20240RB02"/>
        <s v="20250FXAD"/>
        <s v="20250FC02"/>
        <s v=""/>
        <m/>
      </sharedItems>
    </cacheField>
    <cacheField name="商品名稱" numFmtId="0">
      <sharedItems containsBlank="1" count="182">
        <s v="巧虎雙語點讀圖鑑"/>
        <s v="語彙表達．智育學習套組"/>
        <s v="巧虎小小宇宙尋夢燈(商店活動)"/>
        <s v="智高積木-恐龍樂園(商店活動)"/>
        <s v="聰明左右腦 點讀大冒險"/>
        <s v="音樂拖把小精靈套組"/>
        <s v="Skater點心盒3入組－巧虎"/>
        <s v="和巧虎一起學數學套組"/>
        <s v="Pixsee Wonders巧虎生活探索套組"/>
        <s v="智高振翅鳥"/>
        <s v="巧虎外出口袋包"/>
        <s v="會動的變身機器人"/>
        <s v="巧虎睡墊三件組-巧虎好朋友粉色款"/>
        <s v="和巧虎一起說英語 PLUS⁺ 【初階版】"/>
        <s v="Mirafeel整箱 L"/>
        <s v="巧虎好朋友布貼"/>
        <s v="小花抱抱"/>
        <s v="巧虎手偶"/>
        <s v="小花吊飾玩偶"/>
        <s v="可愛好朋友玩偶組"/>
        <s v="巧虎貼紙簿(商店活動)"/>
        <s v="巧虎頭型名牌玩偶"/>
        <s v="巧虎彩色甜甜圈"/>
        <s v="巧虎組裝積木系列-巧虎人偶積木睡衣ver."/>
        <s v="兒童絲滑蠟筆(商店活動)"/>
        <s v="轉吧！巧虎扭蛋機"/>
        <s v="Skater巧虎水龍頭延伸器"/>
        <s v="Skater 圍兜 2 入組（巧虎）"/>
        <s v="巧虎兩用式多功能水壺"/>
        <s v="巧虎組裝積木系列 巧虎甜甜圈商店"/>
        <s v="巧虎組裝積木系列 人物套組"/>
        <s v="巧虎益智黏土系列 冰淇淋商店"/>
        <s v="巧虎益智黏土系列 甜甜圈商店"/>
        <s v="巧虎組裝積木系列 房子收納箱"/>
        <s v="巧虎GoGo野餐墊 (商店活動)"/>
        <s v="巧連智寶貝浴巾"/>
        <s v="巧虎收納墊"/>
        <s v="Mirafeel整箱 XXL"/>
        <s v="巧虎神奇果汁店（感溫變色）"/>
        <s v="好情緒EQ X 品格人際套組"/>
        <s v="TOMICA 巧虎跑車"/>
        <s v="TOMICA 巧虎敞篷車"/>
        <s v="巧虎百變工具箱"/>
        <s v="巧虎隔尿裙"/>
        <s v="巧虎成長積木"/>
        <s v="12吋巧虎頭型後背包"/>
        <s v="和巧虎一起學-注音拼音套組"/>
        <s v="Skater 速乾擦髮帽-巧虎"/>
        <s v="我就是巧虎髮帶"/>
        <s v="白沙屯媽祖祈福禮盒"/>
        <s v="Mirafeel入手包 L"/>
        <s v="智高噗噗車積木組(商店活動)"/>
        <s v="12吋巧虎頭型抱枕"/>
        <s v="Skater巧虎拋棄式圍兜"/>
        <s v="巧虎組裝積木系列 滑梯鞦韆公園套組"/>
        <s v="琪琪造型圓領衫 (尺寸：90cm/110cm）"/>
        <s v="巧虎睡墊三件組-巧虎好朋友黃色款"/>
        <s v="我就是琪琪髮帶"/>
        <s v="精選世界名著(勇氣與挑戰系列-單套5冊)"/>
        <s v="寶寶生活好習慣套組"/>
        <s v="12吋巧虎頭型毯被"/>
        <s v="巧虎包裝紙"/>
        <s v="Skater不鏽鋼巧虎湯匙/叉子"/>
        <s v="閱讀橋梁書套組(全系列 共11冊+1桌遊)"/>
        <s v="巧虎絨毛偶"/>
        <s v="巧虎鋁箔包防壓盒"/>
        <s v="巧虎好朋友塗鴉本"/>
        <s v="琪琪頭型名牌玩偶"/>
        <s v="雙筆彩繪組"/>
        <s v="巧連智家家酒扮演組"/>
        <s v="Mirafeel整箱 M"/>
        <s v="巧虎圓筒便當袋-藍"/>
        <s v="Mirafeel體驗包※須選尺寸※"/>
        <s v="巧虎包"/>
        <s v="顏色娃娃扮演遊戲組"/>
        <s v="和巧虎一起說英語【進階版】"/>
        <s v="Mirafeel單包 XL"/>
        <s v="巧虎琪琪小Q抱枕"/>
        <s v="巧虎午睡保暖枕"/>
        <s v="18吋巧虎繞邊枕"/>
        <s v="巧虎三階段彈力學習筷 左手"/>
        <s v="彈力學習筷環保收納袋"/>
        <s v="巧虎用餐好朋友"/>
        <s v="巧虎束口保溫袋(黃)"/>
        <s v="巧虎聲光廚房遊戲組"/>
        <s v="Skater兒童雨衣－巧虎"/>
        <s v="Mirafeel單包 L"/>
        <s v="Skater兒童雨傘-巧虎"/>
        <s v="Skater巧虎花灑型水瓢"/>
        <s v="Skater巧虎防走失包"/>
        <s v="巧虎方塊活字印刷遊戲組"/>
        <s v="桃樂比醫生遊戲組"/>
        <s v="(團購)巧虎雙語點讀圖鑑"/>
        <s v="(團購)語彙表達．智育學習套組"/>
        <s v="巧虎疊疊杯(團購贈品)"/>
        <s v="巧虎貨船平衡木(團購贈品)"/>
        <s v="手提式水洗絲滑蠟筆(團購贈品)"/>
        <s v="巧虎推推樂大作戰(團購贈品)"/>
        <s v="巧虎一起玩貼紙簿(團購贈品)"/>
        <s v="(團購)寶寶生活好習慣套組"/>
        <s v="巧虎DIY英語城堡(團購贈品)"/>
        <s v="(團購)聰明左右腦 點讀大冒險"/>
        <s v="(團購)好情緒EQ X 品格人際套組"/>
        <s v="(團購)和巧虎一起學數學套組"/>
        <s v="巧虎披巾小抱枕"/>
        <s v="(團購)和巧虎一起說英語 PLUS⁺ 【初階版】"/>
        <s v="巧虎玩沙組"/>
        <s v="巧虎鉛筆盒"/>
        <s v="Mirafeel整箱 XL"/>
        <s v="宇宙小百科"/>
        <s v="(團購)Mirafeel整箱 L"/>
        <s v="18吋巧虎頭型抱枕"/>
        <s v="桃樂比頭型名牌玩偶"/>
        <s v="Skater銀離子三件餐具組－巧虎Friends"/>
        <s v="Skater巧虎3入水杯Friends款"/>
        <s v="(團購)巧連智家家酒扮演組"/>
        <s v="專心吃飯音樂立體書套組"/>
        <s v="(團購)Mirafeel整箱 XL"/>
        <s v="巧虎元氣滿滿抱抱枕"/>
        <s v="巧虎收納袋"/>
        <s v="(團購)專心吃飯音樂立體書套組"/>
        <s v="巧虎二合一音樂玩具"/>
        <s v="巧虎可愛小圓包"/>
        <s v="Skater巧虎不鏽鋼直飲冷水壺"/>
        <s v="巧虎歡樂軌道樂園"/>
        <s v="巧虎歡樂軌道冒險擴充組(網路獨家)"/>
        <s v="Skater巧虎吸管型不鏽鋼兩用杯"/>
        <s v="巧虎多功能訓練便器"/>
        <s v="(團購)Mirafeel單包 XL"/>
        <s v="(團購)白沙屯媽祖祈福禮盒"/>
        <s v="我就是桃樂比髮帶"/>
        <s v="桃樂比抱抱"/>
        <s v="15吋桃樂比雙人枕"/>
        <s v="Skater牛奶杯-巧虎Cheek藍"/>
        <s v="10吋巧虎大頭手提包"/>
        <s v="巧虎雨具組 (雨傘+雨衣)"/>
        <s v="巧虎海報---注音"/>
        <s v="(團購)Mirafeel整箱 M"/>
        <s v="Mirafeel單包 XXL"/>
        <s v="巧虎彩色甜甜圈商店"/>
        <s v="精選世界名著(奇幻與推理系列-單套5冊)"/>
        <s v="巧虎YUMMY商店"/>
        <s v="(團購)和巧虎一起學-注音拼音套組"/>
        <s v="12吋桃樂比頭型抱枕"/>
        <s v="(團購)音樂拖把小精靈套組"/>
        <s v="(團購)Pixsee Wonders巧虎生活探索套組"/>
        <s v="巧虎吉他手玩具"/>
        <s v="PRO360 PLUS 高效消毒烘乾鍋"/>
        <s v="植物性奶瓶蔬果洗潔液300ml"/>
        <s v="巧虎可愛貼紙屋"/>
        <s v="5吋巧虎擦手巾"/>
        <s v="我就是小花髮帶"/>
        <s v="巧虎耶誕斗篷"/>
        <s v="巧虎漁夫帽"/>
        <s v="琪琪寶貝背包"/>
        <s v="12吋琪琪頭型抱枕"/>
        <s v="巧虎英語撲克牌"/>
        <s v="巧虎餐碗"/>
        <s v="巧虎琪琪變變變手錶"/>
        <s v="巧虎小小宇宙尋夢燈(團購贈品)"/>
        <s v="巧虎轉轉遊戲盒"/>
        <s v="巧虎數字學習鐘(團購禮物)"/>
        <s v="機智水果加加樂(團購贈品)"/>
        <s v="(團購)和巧虎一起說英語【進階版】"/>
        <s v="巧虎數獨組"/>
        <s v="百變圖形疊疊樂"/>
        <s v="智高小怪獸機器人(團購贈品)"/>
        <s v="我的巧虎連帽浴巾"/>
        <s v="(團購)閱讀橋梁書(黑腹貓華生-單套4冊)"/>
        <s v="百變巧虎公仔（盲盒）"/>
        <s v="5吋桃樂比擦手巾"/>
        <s v="Mirafeel單包 M"/>
        <s v="巧虎琪琪穿衣練習組"/>
        <s v="精選世界名著套組(全系列 共15冊)"/>
        <s v="Mirafeel入手包 L號(商店活動)"/>
        <s v="閱讀橋梁書(IQ184 偵探團-單套4冊)"/>
        <s v="巧虎吊飾玩偶"/>
        <s v="Mirafeel入手包 M"/>
        <s v="(團購)閱讀橋梁書(卡哩村超能力學園-單套3冊+1桌遊)"/>
        <s v="(團購)精選世界名著(愛與成長系列-單套5冊)"/>
        <s v=""/>
        <m/>
      </sharedItems>
    </cacheField>
    <cacheField name="是否團購" numFmtId="0">
      <sharedItems containsNonDate="0" containsString="0" containsBlank="1"/>
    </cacheField>
    <cacheField name="團購識別碼" numFmtId="0">
      <sharedItems containsNonDate="0" containsString="0" containsBlank="1"/>
    </cacheField>
    <cacheField name="銷貨來源" numFmtId="0">
      <sharedItems containsBlank="1"/>
    </cacheField>
    <cacheField name="銷貨管道" numFmtId="0">
      <sharedItems containsBlank="1" count="4">
        <s v="網站"/>
        <s v="團購"/>
        <s v=""/>
        <m/>
      </sharedItems>
    </cacheField>
    <cacheField name="銷貨通路" numFmtId="0">
      <sharedItems containsBlank="1" count="7">
        <s v="網站"/>
        <s v="Jocelyn"/>
        <s v="我是小棉花"/>
        <s v="熟非"/>
        <s v="倩兒"/>
        <s v=""/>
        <m/>
      </sharedItems>
    </cacheField>
    <cacheField name="銷貨代碼" numFmtId="0">
      <sharedItems containsBlank="1"/>
    </cacheField>
    <cacheField name="商品結帳價" numFmtId="0">
      <sharedItems containsBlank="1" containsMixedTypes="1" containsNumber="1" containsInteger="1" minValue="0" maxValue="5199"/>
    </cacheField>
    <cacheField name="商品類型" numFmtId="0">
      <sharedItems containsBlank="1"/>
    </cacheField>
    <cacheField name="數量" numFmtId="0">
      <sharedItems containsBlank="1" containsMixedTypes="1" containsNumber="1" containsInteger="1" minValue="0" maxValue="6"/>
    </cacheField>
    <cacheField name="贈品量" numFmtId="0">
      <sharedItems containsBlank="1" containsMixedTypes="1" containsNumber="1" containsInteger="1" minValue="0" maxValue="5"/>
    </cacheField>
    <cacheField name="部門代碼" numFmtId="0">
      <sharedItems containsBlank="1"/>
    </cacheField>
    <cacheField name="部門名稱" numFmtId="0">
      <sharedItems containsBlank="1"/>
    </cacheField>
    <cacheField name="銷售額" numFmtId="0">
      <sharedItems containsBlank="1" containsMixedTypes="1" containsNumber="1" containsInteger="1" minValue="0" maxValue="9600"/>
    </cacheField>
    <cacheField name="分類" numFmtId="0">
      <sharedItems containsBlank="1"/>
    </cacheField>
    <cacheField name="UTM 來源/媒介" numFmtId="0">
      <sharedItems containsBlank="1"/>
    </cacheField>
    <cacheField name="未稅價格" numFmtId="0" formula="銷售額/1.0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王詩雅" refreshedDate="46149.409757060188" backgroundQuery="1" createdVersion="7" refreshedVersion="8" minRefreshableVersion="3" recordCount="0" supportSubquery="1" supportAdvancedDrill="1" xr:uid="{DD96C56B-716F-4D4D-B6D8-4DB43B52FE8A}">
  <cacheSource type="external" connectionId="1"/>
  <cacheFields count="13">
    <cacheField name="[維度_契約].[建單年月].[建單年月]" caption="建單年月" numFmtId="0" hierarchy="50" level="1">
      <sharedItems containsSemiMixedTypes="0" containsString="0"/>
    </cacheField>
    <cacheField name="[維度_契約].[債權狀態].[債權狀態]" caption="債權狀態" numFmtId="0" hierarchy="55" level="1">
      <sharedItems containsSemiMixedTypes="0" containsString="0"/>
    </cacheField>
    <cacheField name="[Measures].[商品數量]" caption="商品數量" numFmtId="0" hierarchy="85" level="32767"/>
    <cacheField name="[Measures].[商品小計]" caption="商品小計" numFmtId="0" hierarchy="86" level="32767"/>
    <cacheField name="[維度_出貨].[發貨年月].[發貨年月]" caption="發貨年月" numFmtId="0" hierarchy="8" level="1">
      <sharedItems count="1">
        <s v="[維度_出貨].[發貨年月].&amp;[202603]" c="202603"/>
      </sharedItems>
    </cacheField>
    <cacheField name="[維度_商品].[商品編號].[商品編號]" caption="商品編號" numFmtId="0" hierarchy="59" level="1" mappingCount="3">
      <sharedItems count="65">
        <s v="[維度_商品].[商品編號].&amp;[20201PB0A]" c="20201PB0A"/>
        <s v="[維度_商品].[商品編號].&amp;[20210PP08]" c="20210PP08"/>
        <s v="[維度_商品].[商品編號].&amp;[20220M601]" c="20220M601"/>
        <s v="[維度_商品].[商品編號].&amp;[20220MY00]" c="20220MY00"/>
        <s v="[維度_商品].[商品編號].&amp;[20221C6B6]" c="20221C6B6"/>
        <s v="[維度_商品].[商品編號].&amp;[20224PB02]" c="20224PB02"/>
        <s v="[維度_商品].[商品編號].&amp;[20230MY00]" c="20230MY00"/>
        <s v="[維度_商品].[商品編號].&amp;[20233PB02]" c="20233PB02"/>
        <s v="[維度_商品].[商品編號].&amp;[20234C610]" c="20234C610"/>
        <s v="[維度_商品].[商品編號].&amp;[20234CE10]" c="20234CE10"/>
        <s v="[維度_商品].[商品編號].&amp;[20234CF10]" c="20234CF10"/>
        <s v="[維度_商品].[商品編號].&amp;[2023MPB01]" c="2023MPB01"/>
        <s v="[維度_商品].[商品編號].&amp;[20240FA00]" c="20240FA00"/>
        <s v="[維度_商品].[商品編號].&amp;[20240FB00]" c="20240FB00"/>
        <s v="[維度_商品].[商品編號].&amp;[20240H022]" c="20240H022"/>
        <s v="[維度_商品].[商品編號].&amp;[20240RYA2]" c="20240RYA2"/>
        <s v="[維度_商品].[商品編號].&amp;[20240RYA3]" c="20240RYA3"/>
        <s v="[維度_商品].[商品編號].&amp;[20240RYA5]" c="20240RYA5"/>
        <s v="[維度_商品].[商品編號].&amp;[20250FA00]" c="20250FA00"/>
        <s v="[維度_商品].[商品編號].&amp;[20250FD00]" c="20250FD00"/>
        <s v="[維度_商品].[商品編號].&amp;[20250FE00]" c="20250FE00"/>
        <s v="[維度_商品].[商品編號].&amp;[20250FF00]" c="20250FF00"/>
        <s v="[維度_商品].[商品編號].&amp;[20250FG00]" c="20250FG00"/>
        <s v="[維度_商品].[商品編號].&amp;[20250FXAB]" c="20250FXAB"/>
        <s v="[維度_商品].[商品編號].&amp;[20250FXAC]" c="20250FXAC"/>
        <s v="[維度_商品].[商品編號].&amp;[20250FXAM]" c="20250FXAM"/>
        <s v="[維度_商品].[商品編號].&amp;[20250FXBC]" c="20250FXBC"/>
        <s v="[維度_商品].[商品編號].&amp;[20250H001]" c="20250H001"/>
        <s v="[維度_商品].[商品編號].&amp;[20250WJ12]" c="20250WJ12"/>
        <s v="[維度_商品].[商品編號].&amp;[20252FA00]" c="20252FA00"/>
        <s v="[維度_商品].[商品編號].&amp;[20260FXAA]" c="20260FXAA"/>
        <s v="[維度_商品].[商品編號].&amp;[20260H001]" c="20260H001"/>
        <s v="[維度_商品].[商品編號].&amp;[20260H002]" c="20260H002"/>
        <s v="[維度_商品].[商品編號].&amp;[31250H002]" c="31250H002"/>
        <s v="[維度_商品].[商品編號].&amp;[3125HP009]" c="3125HP009"/>
        <s v="[維度_商品].[商品編號].&amp;[20190PB04]" u="1" c="20190PB04"/>
        <s v="[維度_商品].[商品編號].&amp;[20201M401]" u="1" c="20201M401"/>
        <s v="[維度_商品].[商品編號].&amp;[20210KJ00]" u="1" c="20210KJ00"/>
        <s v="[維度_商品].[商品編號].&amp;[20210PP12]" u="1" c="20210PP12"/>
        <s v="[維度_商品].[商品編號].&amp;[20211C607]" u="1" c="20211C607"/>
        <s v="[維度_商品].[商品編號].&amp;[20212C603]" u="1" c="20212C603"/>
        <s v="[維度_商品].[商品編號].&amp;[20215PB01]" u="1" c="20215PB01"/>
        <s v="[維度_商品].[商品編號].&amp;[20221PB03]" u="1" c="20221PB03"/>
        <s v="[維度_商品].[商品編號].&amp;[20222C606]" u="1" c="20222C606"/>
        <s v="[維度_商品].[商品編號].&amp;[20225PB02]" u="1" c="20225PB02"/>
        <s v="[維度_商品].[商品編號].&amp;[2022MPB04]" u="1" c="2022MPB04"/>
        <s v="[維度_商品].[商品編號].&amp;[20230H010]" u="1" c="20230H010"/>
        <s v="[維度_商品].[商品編號].&amp;[20230M401]" u="1" c="20230M401"/>
        <s v="[維度_商品].[商品編號].&amp;[20230PP02]" u="1" c="20230PP02"/>
        <s v="[維度_商品].[商品編號].&amp;[20233PB0M]" u="1" c="20233PB0M"/>
        <s v="[維度_商品].[商品編號].&amp;[20234C603]" u="1" c="20234C603"/>
        <s v="[維度_商品].[商品編號].&amp;[2023FCV02]" u="1" c="2023FCV02"/>
        <s v="[維度_商品].[商品編號].&amp;[20240FM00]" u="1" c="20240FM00"/>
        <s v="[維度_商品].[商品編號].&amp;[20240H009]" u="1" c="20240H009"/>
        <s v="[維度_商品].[商品編號].&amp;[20240H023]" u="1" c="20240H023"/>
        <s v="[維度_商品].[商品編號].&amp;[20240PP06]" u="1" c="20240PP06"/>
        <s v="[維度_商品].[商品編號].&amp;[20240RA04]" u="1" c="20240RA04"/>
        <s v="[維度_商品].[商品編號].&amp;[20240RYA4]" u="1" c="20240RYA4"/>
        <s v="[維度_商品].[商品編號].&amp;[2024MPB01]" u="1" c="2024MPB01"/>
        <s v="[維度_商品].[商品編號].&amp;[20250FA13]" u="1" c="20250FA13"/>
        <s v="[維度_商品].[商品編號].&amp;[20250FB01]" u="1" c="20250FB01"/>
        <s v="[維度_商品].[商品編號].&amp;[20250H002]" u="1" c="20250H002"/>
        <s v="[維度_商品].[商品編號].&amp;[20250WJ01]" u="1" c="20250WJ01"/>
        <s v="[維度_商品].[商品編號].&amp;[31250H004]" u="1" c="31250H004"/>
        <s v="[維度_商品].[商品編號].&amp;[3125HP011]" u="1" c="3125HP011"/>
      </sharedItems>
      <mpMap v="6"/>
      <mpMap v="7"/>
      <mpMap v="8"/>
    </cacheField>
    <cacheField name="[維度_商品].[商品編號].[商品編號].[商品大類]" caption="商品大類" propertyName="商品大類" numFmtId="0" hierarchy="59" level="1" memberPropertyField="1">
      <sharedItems count="3">
        <s v="禮物商品"/>
        <s v="周邊商品"/>
        <s v="巧連智商品"/>
      </sharedItems>
    </cacheField>
    <cacheField name="[維度_商品].[商品編號].[商品編號].[商品名稱]" caption="商品名稱" propertyName="商品名稱" numFmtId="0" hierarchy="59" level="1" memberPropertyField="1">
      <sharedItems count="35">
        <s v="生活認知語彙圖鑑(寶)"/>
        <s v="巧虎外出口袋包"/>
        <s v="英語點一點遊戲機"/>
        <s v="和巧虎一起說英語 進階版"/>
        <s v="2206月號開始號IC火車語彙學習組"/>
        <s v="手提式水洗絲滑蠟筆"/>
        <s v="和巧虎一起說英語 Plus+"/>
        <s v="智高步行下坡機器人"/>
        <s v="2310成長版空間軌道建築師"/>
        <s v="空間軌道建築師-手冊"/>
        <s v="空間軌道建築師-跑道"/>
        <s v="巧虎DIY英語城堡"/>
        <s v="寶寶生活好習慣套組"/>
        <s v="音樂拖把小精靈套組"/>
        <s v="專心吃飯音樂立體書套組"/>
        <s v="Mirafeel整箱M"/>
        <s v="Mirafeel整箱L"/>
        <s v="Mirafeel整箱XXL"/>
        <s v="好情緒EQX品格人際套組"/>
        <s v="語彙表達-智育學習套組"/>
        <s v="巧虎雙語點讀圖鑑"/>
        <s v="聰明左右腦點讀大冒險套組"/>
        <s v="和巧虎一起學數學套組"/>
        <s v="精選世界名著套組(全系列共15冊)"/>
        <s v="閱讀橋梁書套組(11冊+桌遊+圖卡)"/>
        <s v="巧虎手偶+說明信"/>
        <s v="PixseeWonders巧虎生活探索套組"/>
        <s v="巧虎方塊活字印刷遊戲組"/>
        <s v="數位典藏1年"/>
        <s v="白沙屯媽祖祈福禮盒"/>
        <s v="英語進階版+注音套組"/>
        <s v="巧虎YUMMY商店"/>
        <s v="巧虎歡樂軌道樂園"/>
        <s v="巧虎適克敏兒童益生菌(2入組)"/>
        <s v="巧虎真可愛拼圖"/>
      </sharedItems>
    </cacheField>
    <cacheField name="[維度_商品].[商品編號].[商品編號].[商品狀態]" caption="商品狀態" propertyName="商品狀態" numFmtId="0" hierarchy="59" level="1" memberPropertyField="1">
      <sharedItems count="2">
        <s v="-"/>
        <s v="營業商品"/>
      </sharedItems>
    </cacheField>
    <cacheField name="[維度_契約].[入會管道].[入會管道]" caption="入會管道" numFmtId="0" hierarchy="34" level="2">
      <sharedItems count="2">
        <s v="[維度_契約].[入會管道].&amp;[其它]" c="其它"/>
        <s v="[維度_契約].[入會管道].&amp;[電銷]" c="電銷"/>
      </sharedItems>
    </cacheField>
    <cacheField name="[維度_出貨].[發送狀態].[發送狀態]" caption="發送狀態" numFmtId="0" hierarchy="6" level="1">
      <sharedItems containsSemiMixedTypes="0" containsString="0"/>
    </cacheField>
    <cacheField name="[維度_出貨].[發貨日期].[發貨日期]" caption="發貨日期" numFmtId="0" hierarchy="7" level="1">
      <sharedItems count="4">
        <s v="[維度_出貨].[發貨日期].&amp;[2026-05-01]" c="2026-05-01"/>
        <s v="[維度_出貨].[發貨日期].&amp;[2026-05-04]" c="2026-05-04"/>
        <s v="[維度_出貨].[發貨日期].&amp;[2026-05-06]" c="2026-05-06"/>
        <s v="[維度_出貨].[發貨日期].&amp;[2026-05-05]" c="2026-05-05"/>
      </sharedItems>
    </cacheField>
    <cacheField name="[維度_契約].[入會管道].[入會管道1]" caption="入會管道1" numFmtId="0" hierarchy="34" level="1">
      <sharedItems count="1">
        <s v="[維度_契約].[入會管道].[入會管道1].[GROUPMEMBER.[入會管道Xl_Grp_1]].[維度_契約]].[入會管道]].[All]]]" c="組成群組1"/>
      </sharedItems>
    </cacheField>
  </cacheFields>
  <cacheHierarchies count="90">
    <cacheHierarchy uniqueName="[維度_入會].[入會區分]" caption="入會區分" attribute="1" defaultMemberUniqueName="[維度_入會].[入會區分].[All]" allUniqueName="[維度_入會].[入會區分].[All]" dimensionUniqueName="[維度_入會]" displayFolder="" count="0" unbalancedGroup="0"/>
    <cacheHierarchy uniqueName="[維度_入會].[入會區分 檢驗]" caption="入會區分 檢驗" attribute="1" defaultMemberUniqueName="[維度_入會].[入會區分 檢驗].[All]" allUniqueName="[維度_入會].[入會區分 檢驗].[All]" dimensionUniqueName="[維度_入會]" displayFolder="" count="0" unbalancedGroup="0"/>
    <cacheHierarchy uniqueName="[維度_出貨].[投遞局]" caption="投遞局" attribute="1" defaultMemberUniqueName="[維度_出貨].[投遞局].[All]" allUniqueName="[維度_出貨].[投遞局].[All]" dimensionUniqueName="[維度_出貨]" displayFolder="" count="0" unbalancedGroup="0"/>
    <cacheHierarchy uniqueName="[維度_出貨].[商品小計]" caption="商品小計" attribute="1" defaultMemberUniqueName="[維度_出貨].[商品小計].[All]" allUniqueName="[維度_出貨].[商品小計].[All]" dimensionUniqueName="[維度_出貨]" displayFolder="" count="0" unbalancedGroup="0"/>
    <cacheHierarchy uniqueName="[維度_出貨].[商品單價]" caption="商品單價" attribute="1" defaultMemberUniqueName="[維度_出貨].[商品單價].[All]" allUniqueName="[維度_出貨].[商品單價].[All]" dimensionUniqueName="[維度_出貨]" displayFolder="" count="0" unbalancedGroup="0"/>
    <cacheHierarchy uniqueName="[維度_出貨].[商品數量]" caption="商品數量" attribute="1" defaultMemberUniqueName="[維度_出貨].[商品數量].[All]" allUniqueName="[維度_出貨].[商品數量].[All]" dimensionUniqueName="[維度_出貨]" displayFolder="" count="0" unbalancedGroup="0"/>
    <cacheHierarchy uniqueName="[維度_出貨].[發送狀態]" caption="發送狀態" attribute="1" defaultMemberUniqueName="[維度_出貨].[發送狀態].[All]" allUniqueName="[維度_出貨].[發送狀態].[All]" dimensionUniqueName="[維度_出貨]" displayFolder="" count="2" unbalanced="0" unbalancedGroup="0">
      <fieldsUsage count="2">
        <fieldUsage x="-1"/>
        <fieldUsage x="10"/>
      </fieldsUsage>
    </cacheHierarchy>
    <cacheHierarchy uniqueName="[維度_出貨].[發貨日期]" caption="發貨日期" attribute="1" defaultMemberUniqueName="[維度_出貨].[發貨日期].[All]" allUniqueName="[維度_出貨].[發貨日期].[All]" dimensionUniqueName="[維度_出貨]" displayFolder="" count="2" unbalanced="0" unbalancedGroup="0">
      <fieldsUsage count="2">
        <fieldUsage x="-1"/>
        <fieldUsage x="11"/>
      </fieldsUsage>
    </cacheHierarchy>
    <cacheHierarchy uniqueName="[維度_出貨].[發貨年月]" caption="發貨年月" attribute="1" defaultMemberUniqueName="[維度_出貨].[發貨年月].[All]" allUniqueName="[維度_出貨].[發貨年月].[All]" dimensionUniqueName="[維度_出貨]" displayFolder="" count="2" unbalanced="0" unbalancedGroup="0">
      <fieldsUsage count="2">
        <fieldUsage x="-1"/>
        <fieldUsage x="4"/>
      </fieldsUsage>
    </cacheHierarchy>
    <cacheHierarchy uniqueName="[維度_出貨].[發貨年度]" caption="發貨年度" attribute="1" defaultMemberUniqueName="[維度_出貨].[發貨年度].[All]" allUniqueName="[維度_出貨].[發貨年度].[All]" dimensionUniqueName="[維度_出貨]" displayFolder="" count="0" unbalancedGroup="0"/>
    <cacheHierarchy uniqueName="[維度_巧連智].[巧連智收書月號]" caption="巧連智收書月號" attribute="1" defaultMemberUniqueName="[維度_巧連智].[巧連智收書月號].[All]" allUniqueName="[維度_巧連智].[巧連智收書月號].[All]" dimensionUniqueName="[維度_巧連智]" displayFolder="" count="0" unbalancedGroup="0"/>
    <cacheHierarchy uniqueName="[維度_巧連智].[巧連智收書版本]" caption="巧連智收書版本" attribute="1" defaultMemberUniqueName="[維度_巧連智].[巧連智收書版本].[All]" allUniqueName="[維度_巧連智].[巧連智收書版本].[All]" dimensionUniqueName="[維度_巧連智]" displayFolder="" count="0" unbalancedGroup="0"/>
    <cacheHierarchy uniqueName="[維度_巧連智].[巧連智收書期別]" caption="巧連智收書期別" attribute="1" defaultMemberUniqueName="[維度_巧連智].[巧連智收書期別].[All]" allUniqueName="[維度_巧連智].[巧連智收書期別].[All]" dimensionUniqueName="[維度_巧連智]" displayFolder="" count="0" unbalancedGroup="0"/>
    <cacheHierarchy uniqueName="[維度_巧連智].[巧連智收書間隔天數]" caption="巧連智收書間隔天數" attribute="1" defaultMemberUniqueName="[維度_巧連智].[巧連智收書間隔天數].[All]" allUniqueName="[維度_巧連智].[巧連智收書間隔天數].[All]" dimensionUniqueName="[維度_巧連智]" displayFolder="" count="0" unbalancedGroup="0"/>
    <cacheHierarchy uniqueName="[維度_巧連智].[巧連智到期月號]" caption="巧連智到期月號" attribute="1" defaultMemberUniqueName="[維度_巧連智].[巧連智到期月號].[All]" allUniqueName="[維度_巧連智].[巧連智到期月號].[All]" dimensionUniqueName="[維度_巧連智]" displayFolder="" count="0" unbalancedGroup="0"/>
    <cacheHierarchy uniqueName="[維度_巧連智].[巧連智訂閱類別]" caption="巧連智訂閱類別" attribute="1" defaultMemberUniqueName="[維度_巧連智].[巧連智訂閱類別].[All]" allUniqueName="[維度_巧連智].[巧連智訂閱類別].[All]" dimensionUniqueName="[維度_巧連智]" displayFolder="" count="0" unbalancedGroup="0"/>
    <cacheHierarchy uniqueName="[維度_巧連智].[巧連智起訂月號]" caption="巧連智起訂月號" attribute="1" defaultMemberUniqueName="[維度_巧連智].[巧連智起訂月號].[All]" allUniqueName="[維度_巧連智].[巧連智起訂月號].[All]" dimensionUniqueName="[維度_巧連智]" displayFolder="" count="0" unbalancedGroup="0"/>
    <cacheHierarchy uniqueName="[維度_巧連智].[巧連智續訂狀態]" caption="巧連智續訂狀態" attribute="1" defaultMemberUniqueName="[維度_巧連智].[巧連智續訂狀態].[All]" allUniqueName="[維度_巧連智].[巧連智續訂狀態].[All]" dimensionUniqueName="[維度_巧連智]" displayFolder="" count="0" unbalancedGroup="0"/>
    <cacheHierarchy uniqueName="[維度_名單集].[名單集]" caption="名單集" attribute="1" defaultMemberUniqueName="[維度_名單集].[名單集].[All]" allUniqueName="[維度_名單集].[名單集].[All]" dimensionUniqueName="[維度_名單集]" displayFolder="" count="0" unbalancedGroup="0"/>
    <cacheHierarchy uniqueName="[維度_名單集].[名單集原媒體]" caption="名單集原媒體" attribute="1" defaultMemberUniqueName="[維度_名單集].[名單集原媒體].[All]" allUniqueName="[維度_名單集].[名單集原媒體].[All]" dimensionUniqueName="[維度_名單集]" displayFolder="" count="0" unbalancedGroup="0"/>
    <cacheHierarchy uniqueName="[維度_名單集].[是否名單集]" caption="是否名單集" attribute="1" defaultMemberUniqueName="[維度_名單集].[是否名單集].[All]" allUniqueName="[維度_名單集].[是否名單集].[All]" dimensionUniqueName="[維度_名單集]" displayFolder="" count="0" unbalancedGroup="0"/>
    <cacheHierarchy uniqueName="[維度_名單集].[專員自有名單集]" caption="專員自有名單集" attribute="1" defaultMemberUniqueName="[維度_名單集].[專員自有名單集].[All]" allUniqueName="[維度_名單集].[專員自有名單集].[All]" dimensionUniqueName="[維度_名單集]" displayFolder="" count="0" unbalancedGroup="0"/>
    <cacheHierarchy uniqueName="[維度_周邊].[前次訂購間隔天數]" caption="前次訂購間隔天數" attribute="1" defaultMemberUniqueName="[維度_周邊].[前次訂購間隔天數].[All]" allUniqueName="[維度_周邊].[前次訂購間隔天數].[All]" dimensionUniqueName="[維度_周邊]" displayFolder="" count="0" unbalancedGroup="0"/>
    <cacheHierarchy uniqueName="[維度_周邊].[契約商品組合1]" caption="契約商品組合1" attribute="1" defaultMemberUniqueName="[維度_周邊].[契約商品組合1].[All]" allUniqueName="[維度_周邊].[契約商品組合1].[All]" dimensionUniqueName="[維度_周邊]" displayFolder="" count="0" unbalancedGroup="0"/>
    <cacheHierarchy uniqueName="[維度_周邊].[契約商品組合2]" caption="契約商品組合2" attribute="1" defaultMemberUniqueName="[維度_周邊].[契約商品組合2].[All]" allUniqueName="[維度_周邊].[契約商品組合2].[All]" dimensionUniqueName="[維度_周邊]" displayFolder="" count="0" unbalancedGroup="0"/>
    <cacheHierarchy uniqueName="[維度_周邊].[契約商品組合3]" caption="契約商品組合3" attribute="1" defaultMemberUniqueName="[維度_周邊].[契約商品組合3].[All]" allUniqueName="[維度_周邊].[契約商品組合3].[All]" dimensionUniqueName="[維度_周邊]" displayFolder="" count="0" unbalancedGroup="0"/>
    <cacheHierarchy uniqueName="[維度_周邊].[契約商品組合4]" caption="契約商品組合4" attribute="1" defaultMemberUniqueName="[維度_周邊].[契約商品組合4].[All]" allUniqueName="[維度_周邊].[契約商品組合4].[All]" dimensionUniqueName="[維度_周邊]" displayFolder="" count="0" unbalancedGroup="0"/>
    <cacheHierarchy uniqueName="[維度_契約].[入金天數]" caption="入金天數" attribute="1" defaultMemberUniqueName="[維度_契約].[入金天數].[All]" allUniqueName="[維度_契約].[入金天數].[All]" dimensionUniqueName="[維度_契約]" displayFolder="" count="0" unbalancedGroup="0"/>
    <cacheHierarchy uniqueName="[維度_契約].[入金日期]" caption="入金日期" attribute="1" defaultMemberUniqueName="[維度_契約].[入金日期].[All]" allUniqueName="[維度_契約].[入金日期].[All]" dimensionUniqueName="[維度_契約]" displayFolder="" count="0" unbalancedGroup="0"/>
    <cacheHierarchy uniqueName="[維度_契約].[入金年月日]" caption="入金年月日" defaultMemberUniqueName="[維度_契約].[入金年月日].[All]" allUniqueName="[維度_契約].[入金年月日].[All]" dimensionUniqueName="[維度_契約]" displayFolder="" count="0" unbalancedGroup="0"/>
    <cacheHierarchy uniqueName="[維度_契約].[入金金額]" caption="入金金額" attribute="1" defaultMemberUniqueName="[維度_契約].[入金金額].[All]" allUniqueName="[維度_契約].[入金金額].[All]" dimensionUniqueName="[維度_契約]" displayFolder="" count="0" unbalancedGroup="0"/>
    <cacheHierarchy uniqueName="[維度_契約].[入會代碼]" caption="入會代碼" attribute="1" defaultMemberUniqueName="[維度_契約].[入會代碼].[All]" allUniqueName="[維度_契約].[入會代碼].[All]" dimensionUniqueName="[維度_契約]" displayFolder="" count="0" unbalancedGroup="0"/>
    <cacheHierarchy uniqueName="[維度_契約].[入會媒體]" caption="入會媒體" attribute="1" defaultMemberUniqueName="[維度_契約].[入會媒體].[All]" allUniqueName="[維度_契約].[入會媒體].[All]" dimensionUniqueName="[維度_契約]" displayFolder="" count="0" unbalancedGroup="0"/>
    <cacheHierarchy uniqueName="[維度_契約].[入會媒體23碼]" caption="入會媒體23碼" attribute="1" defaultMemberUniqueName="[維度_契約].[入會媒體23碼].[All]" allUniqueName="[維度_契約].[入會媒體23碼].[All]" dimensionUniqueName="[維度_契約]" displayFolder="" count="0" unbalancedGroup="0"/>
    <cacheHierarchy uniqueName="[維度_契約].[入會管道]" caption="入會管道" defaultMemberUniqueName="[維度_契約].[入會管道].[All]" allUniqueName="[維度_契約].[入會管道].[All]" dimensionUniqueName="[維度_契約]" displayFolder="" count="3" unbalanced="0" unbalancedGroup="0">
      <fieldsUsage count="3">
        <fieldUsage x="-1"/>
        <fieldUsage x="12"/>
        <fieldUsage x="9"/>
      </fieldsUsage>
      <groupLevels count="3">
        <groupLevel uniqueName="[維度_契約].[入會管道].[(All)]" caption="(All)"/>
        <groupLevel uniqueName="[維度_契約].[入會管道].[入會管道1]" caption="入會管道1" user="1"/>
        <groupLevel uniqueName="[維度_契約].[入會管道].[入會管道]" caption="入會管道">
          <groups count="1">
            <group name="入會管道Xl_Grp_1" uniqueName="[維度_契約].[入會管道].[入會管道1].[GROUPMEMBER.[入會管道Xl_Grp_1]].[維度_契約]].[入會管道]].[All]]]" caption="組成群組1" uniqueParent="[維度_契約].[入會管道].[All]" id="1">
              <groupMembers count="2">
                <groupMember uniqueName="[維度_契約].[入會管道].&amp;[其它]"/>
                <groupMember uniqueName="[維度_契約].[入會管道].&amp;[電銷]"/>
              </groupMembers>
            </group>
          </groups>
        </groupLevel>
      </groupLevels>
    </cacheHierarchy>
    <cacheHierarchy uniqueName="[維度_契約].[行銷人員]" caption="行銷人員" attribute="1" defaultMemberUniqueName="[維度_契約].[行銷人員].[All]" allUniqueName="[維度_契約].[行銷人員].[All]" dimensionUniqueName="[維度_契約]" displayFolder="" count="0" unbalancedGroup="0"/>
    <cacheHierarchy uniqueName="[維度_契約].[行銷人員ID]" caption="行銷人員ID" attribute="1" defaultMemberUniqueName="[維度_契約].[行銷人員ID].[All]" allUniqueName="[維度_契約].[行銷人員ID].[All]" dimensionUniqueName="[維度_契約]" displayFolder="" count="0" unbalancedGroup="0"/>
    <cacheHierarchy uniqueName="[維度_契約].[行銷部門]" caption="行銷部門" attribute="1" defaultMemberUniqueName="[維度_契約].[行銷部門].[All]" allUniqueName="[維度_契約].[行銷部門].[All]" dimensionUniqueName="[維度_契約]" displayFolder="" count="0" unbalancedGroup="0"/>
    <cacheHierarchy uniqueName="[維度_契約].[契約大類]" caption="契約大類" attribute="1" defaultMemberUniqueName="[維度_契約].[契約大類].[All]" allUniqueName="[維度_契約].[契約大類].[All]" dimensionUniqueName="[維度_契約]" displayFolder="" count="0" unbalancedGroup="0"/>
    <cacheHierarchy uniqueName="[維度_契約].[契約日期]" caption="契約日期" attribute="1" defaultMemberUniqueName="[維度_契約].[契約日期].[All]" allUniqueName="[維度_契約].[契約日期].[All]" dimensionUniqueName="[維度_契約]" displayFolder="" count="0" unbalancedGroup="0"/>
    <cacheHierarchy uniqueName="[維度_契約].[契約年月]" caption="契約年月" attribute="1" defaultMemberUniqueName="[維度_契約].[契約年月].[All]" allUniqueName="[維度_契約].[契約年月].[All]" dimensionUniqueName="[維度_契約]" displayFolder="" count="0" unbalancedGroup="0"/>
    <cacheHierarchy uniqueName="[維度_契約].[契約年月日]" caption="契約年月日" defaultMemberUniqueName="[維度_契約].[契約年月日].[All]" allUniqueName="[維度_契約].[契約年月日].[All]" dimensionUniqueName="[維度_契約]" displayFolder="" count="0" unbalancedGroup="0"/>
    <cacheHierarchy uniqueName="[維度_契約].[契約狀態]" caption="契約狀態" attribute="1" defaultMemberUniqueName="[維度_契約].[契約狀態].[All]" allUniqueName="[維度_契約].[契約狀態].[All]" dimensionUniqueName="[維度_契約]" displayFolder="" count="0" unbalancedGroup="0"/>
    <cacheHierarchy uniqueName="[維度_契約].[契約金額]" caption="契約金額" attribute="1" defaultMemberUniqueName="[維度_契約].[契約金額].[All]" allUniqueName="[維度_契約].[契約金額].[All]" dimensionUniqueName="[維度_契約]" displayFolder="" count="0" unbalancedGroup="0"/>
    <cacheHierarchy uniqueName="[維度_契約].[契約金額區分]" caption="契約金額區分" attribute="1" defaultMemberUniqueName="[維度_契約].[契約金額區分].[All]" allUniqueName="[維度_契約].[契約金額區分].[All]" dimensionUniqueName="[維度_契約]" displayFolder="" count="0" unbalancedGroup="0"/>
    <cacheHierarchy uniqueName="[維度_契約].[契約金額區間]" caption="契約金額區間" attribute="1" defaultMemberUniqueName="[維度_契約].[契約金額區間].[All]" allUniqueName="[維度_契約].[契約金額區間].[All]" dimensionUniqueName="[維度_契約]" displayFolder="" count="0" unbalancedGroup="0"/>
    <cacheHierarchy uniqueName="[維度_契約].[契約國別]" caption="契約國別" attribute="1" defaultMemberUniqueName="[維度_契約].[契約國別].[All]" allUniqueName="[維度_契約].[契約國別].[All]" dimensionUniqueName="[維度_契約]" displayFolder="" count="0" unbalancedGroup="0"/>
    <cacheHierarchy uniqueName="[維度_契約].[建單人員]" caption="建單人員" attribute="1" defaultMemberUniqueName="[維度_契約].[建單人員].[All]" allUniqueName="[維度_契約].[建單人員].[All]" dimensionUniqueName="[維度_契約]" displayFolder="" count="0" unbalancedGroup="0"/>
    <cacheHierarchy uniqueName="[維度_契約].[建單人員ID]" caption="建單人員ID" attribute="1" defaultMemberUniqueName="[維度_契約].[建單人員ID].[All]" allUniqueName="[維度_契約].[建單人員ID].[All]" dimensionUniqueName="[維度_契約]" displayFolder="" count="0" unbalancedGroup="0"/>
    <cacheHierarchy uniqueName="[維度_契約].[建單日期]" caption="建單日期" attribute="1" defaultMemberUniqueName="[維度_契約].[建單日期].[All]" allUniqueName="[維度_契約].[建單日期].[All]" dimensionUniqueName="[維度_契約]" displayFolder="" count="0" unbalancedGroup="0"/>
    <cacheHierarchy uniqueName="[維度_契約].[建單年月]" caption="建單年月" attribute="1" defaultMemberUniqueName="[維度_契約].[建單年月].[All]" allUniqueName="[維度_契約].[建單年月].[All]" dimensionUniqueName="[維度_契約]" displayFolder="" count="2" unbalanced="0" unbalancedGroup="0">
      <fieldsUsage count="2">
        <fieldUsage x="-1"/>
        <fieldUsage x="0"/>
      </fieldsUsage>
    </cacheHierarchy>
    <cacheHierarchy uniqueName="[維度_契約].[建單年度]" caption="建單年度" attribute="1" defaultMemberUniqueName="[維度_契約].[建單年度].[All]" allUniqueName="[維度_契約].[建單年度].[All]" dimensionUniqueName="[維度_契約]" displayFolder="" count="0" unbalancedGroup="0"/>
    <cacheHierarchy uniqueName="[維度_契約].[建單部門]" caption="建單部門" attribute="1" defaultMemberUniqueName="[維度_契約].[建單部門].[All]" allUniqueName="[維度_契約].[建單部門].[All]" dimensionUniqueName="[維度_契約]" displayFolder="" count="0" unbalancedGroup="0"/>
    <cacheHierarchy uniqueName="[維度_契約].[訂單來源]" caption="訂單來源" attribute="1" defaultMemberUniqueName="[維度_契約].[訂單來源].[All]" allUniqueName="[維度_契約].[訂單來源].[All]" dimensionUniqueName="[維度_契約]" displayFolder="" count="0" unbalancedGroup="0"/>
    <cacheHierarchy uniqueName="[維度_契約].[訂購月齡]" caption="訂購月齡" attribute="1" defaultMemberUniqueName="[維度_契約].[訂購月齡].[All]" allUniqueName="[維度_契約].[訂購月齡].[All]" dimensionUniqueName="[維度_契約]" displayFolder="" count="0" unbalancedGroup="0"/>
    <cacheHierarchy uniqueName="[維度_契約].[債權狀態]" caption="債權狀態" attribute="1" defaultMemberUniqueName="[維度_契約].[債權狀態].[All]" allUniqueName="[維度_契約].[債權狀態].[All]" dimensionUniqueName="[維度_契約]" displayFolder="" count="2" unbalanced="0" unbalancedGroup="0">
      <fieldsUsage count="2">
        <fieldUsage x="-1"/>
        <fieldUsage x="1"/>
      </fieldsUsage>
    </cacheHierarchy>
    <cacheHierarchy uniqueName="[維度_商品].[商品大類]" caption="商品大類" attribute="1" defaultMemberUniqueName="[維度_商品].[商品大類].[All]" allUniqueName="[維度_商品].[商品大類].[All]" dimensionUniqueName="[維度_商品]" displayFolder="" count="0" unbalancedGroup="0"/>
    <cacheHierarchy uniqueName="[維度_商品].[商品名稱]" caption="商品名稱" attribute="1" defaultMemberUniqueName="[維度_商品].[商品名稱].[All]" allUniqueName="[維度_商品].[商品名稱].[All]" dimensionUniqueName="[維度_商品]" displayFolder="" count="0" unbalancedGroup="0"/>
    <cacheHierarchy uniqueName="[維度_商品].[商品狀態]" caption="商品狀態" attribute="1" defaultMemberUniqueName="[維度_商品].[商品狀態].[All]" allUniqueName="[維度_商品].[商品狀態].[All]" dimensionUniqueName="[維度_商品]" displayFolder="" count="0" unbalancedGroup="0"/>
    <cacheHierarchy uniqueName="[維度_商品].[商品編號]" caption="商品編號" attribute="1" keyAttribute="1" defaultMemberUniqueName="[維度_商品].[商品編號].[All]" allUniqueName="[維度_商品].[商品編號].[All]" dimensionUniqueName="[維度_商品]" displayFolder="" count="2" unbalanced="0" unbalancedGroup="0">
      <fieldsUsage count="2">
        <fieldUsage x="-1"/>
        <fieldUsage x="5"/>
      </fieldsUsage>
    </cacheHierarchy>
    <cacheHierarchy uniqueName="[維度_會員].[月齡別]" caption="月齡別" attribute="1" defaultMemberUniqueName="[維度_會員].[月齡別].[All]" allUniqueName="[維度_會員].[月齡別].[All]" dimensionUniqueName="[維度_會員]" displayFolder="" count="0" unbalancedGroup="0"/>
    <cacheHierarchy uniqueName="[維度_會員].[出生年月]" caption="出生年月" attribute="1" defaultMemberUniqueName="[維度_會員].[出生年月].[All]" allUniqueName="[維度_會員].[出生年月].[All]" dimensionUniqueName="[維度_會員]" displayFolder="" count="0" unbalancedGroup="0"/>
    <cacheHierarchy uniqueName="[維度_會員].[國別區分]" caption="國別區分" attribute="1" defaultMemberUniqueName="[維度_會員].[國別區分].[All]" allUniqueName="[維度_會員].[國別區分].[All]" dimensionUniqueName="[維度_會員]" displayFolder="" count="0" unbalancedGroup="0"/>
    <cacheHierarchy uniqueName="[維度_會員].[團體區分]" caption="團體區分" attribute="1" defaultMemberUniqueName="[維度_會員].[團體區分].[All]" allUniqueName="[維度_會員].[團體區分].[All]" dimensionUniqueName="[維度_會員]" displayFolder="" count="0" unbalancedGroup="0"/>
    <cacheHierarchy uniqueName="[維度_會員].[學年別]" caption="學年別" attribute="1" defaultMemberUniqueName="[維度_會員].[學年別].[All]" allUniqueName="[維度_會員].[學年別].[All]" dimensionUniqueName="[維度_會員]" displayFolder="" count="0" unbalancedGroup="0"/>
    <cacheHierarchy uniqueName="[維度_會員].[學年區分]" caption="學年區分" attribute="1" defaultMemberUniqueName="[維度_會員].[學年區分].[All]" allUniqueName="[維度_會員].[學年區分].[All]" dimensionUniqueName="[維度_會員]" displayFolder="" count="0" unbalancedGroup="0"/>
    <cacheHierarchy uniqueName="[維度_會員].[縣市別]" caption="縣市別" attribute="1" defaultMemberUniqueName="[維度_會員].[縣市別].[All]" allUniqueName="[維度_會員].[縣市別].[All]" dimensionUniqueName="[維度_會員]" displayFolder="" count="0" unbalancedGroup="0"/>
    <cacheHierarchy uniqueName="[維度_入會].[契約編號]" caption="契約編號" attribute="1" keyAttribute="1" defaultMemberUniqueName="[維度_入會].[契約編號].[All]" allUniqueName="[維度_入會].[契約編號].[All]" dimensionUniqueName="[維度_入會]" displayFolder="" count="0" unbalancedGroup="0" hidden="1"/>
    <cacheHierarchy uniqueName="[維度_出貨].[契約明細編號]" caption="契約明細編號" attribute="1" keyAttribute="1" defaultMemberUniqueName="[維度_出貨].[契約明細編號].[All]" allUniqueName="[維度_出貨].[契約明細編號].[All]" dimensionUniqueName="[維度_出貨]" displayFolder="" count="0" unbalancedGroup="0" hidden="1"/>
    <cacheHierarchy uniqueName="[維度_出貨].[商品編號]" caption="商品編號" attribute="1" defaultMemberUniqueName="[維度_出貨].[商品編號].[All]" allUniqueName="[維度_出貨].[商品編號].[All]" dimensionUniqueName="[維度_出貨]" displayFolder="" count="0" unbalancedGroup="0" hidden="1"/>
    <cacheHierarchy uniqueName="[維度_巧連智].[契約編號]" caption="契約編號" attribute="1" keyAttribute="1" defaultMemberUniqueName="[維度_巧連智].[契約編號].[All]" allUniqueName="[維度_巧連智].[契約編號].[All]" dimensionUniqueName="[維度_巧連智]" displayFolder="" count="0" unbalancedGroup="0" hidden="1"/>
    <cacheHierarchy uniqueName="[維度_名單集].[契約編號]" caption="契約編號" attribute="1" keyAttribute="1" defaultMemberUniqueName="[維度_名單集].[契約編號].[All]" allUniqueName="[維度_名單集].[契約編號].[All]" dimensionUniqueName="[維度_名單集]" displayFolder="" count="0" unbalancedGroup="0" hidden="1"/>
    <cacheHierarchy uniqueName="[維度_周邊].[契約編號]" caption="契約編號" attribute="1" keyAttribute="1" defaultMemberUniqueName="[維度_周邊].[契約編號].[All]" allUniqueName="[維度_周邊].[契約編號].[All]" dimensionUniqueName="[維度_周邊]" displayFolder="" count="0" unbalancedGroup="0" hidden="1"/>
    <cacheHierarchy uniqueName="[維度_契約].[入金日]" caption="入金日" attribute="1" defaultMemberUniqueName="[維度_契約].[入金日].[All]" allUniqueName="[維度_契約].[入金日].[All]" dimensionUniqueName="[維度_契約]" displayFolder="" count="0" unbalancedGroup="0" hidden="1"/>
    <cacheHierarchy uniqueName="[維度_契約].[入金月]" caption="入金月" attribute="1" defaultMemberUniqueName="[維度_契約].[入金月].[All]" allUniqueName="[維度_契約].[入金月].[All]" dimensionUniqueName="[維度_契約]" displayFolder="" count="0" unbalancedGroup="0" hidden="1"/>
    <cacheHierarchy uniqueName="[維度_契約].[入金年]" caption="入金年" attribute="1" defaultMemberUniqueName="[維度_契約].[入金年].[All]" allUniqueName="[維度_契約].[入金年].[All]" dimensionUniqueName="[維度_契約]" displayFolder="" count="0" unbalancedGroup="0" hidden="1"/>
    <cacheHierarchy uniqueName="[維度_契約].[入會管道 Internal]" caption="入會管道 Internal" attribute="1" defaultMemberUniqueName="[維度_契約].[入會管道 Internal].[All]" allUniqueName="[維度_契約].[入會管道 Internal].[All]" dimensionUniqueName="[維度_契約]" displayFolder="" count="0" unbalancedGroup="0" hidden="1"/>
    <cacheHierarchy uniqueName="[維度_契約].[入會管道1]" caption="入會管道1" attribute="1" defaultMemberUniqueName="[維度_契約].[入會管道1].[All]" allUniqueName="[維度_契約].[入會管道1].[All]" dimensionUniqueName="[維度_契約]" displayFolder="" count="0" unbalancedGroup="0" hidden="1"/>
    <cacheHierarchy uniqueName="[維度_契約].[契約日]" caption="契約日" attribute="1" defaultMemberUniqueName="[維度_契約].[契約日].[All]" allUniqueName="[維度_契約].[契約日].[All]" dimensionUniqueName="[維度_契約]" displayFolder="" count="0" unbalancedGroup="0" hidden="1"/>
    <cacheHierarchy uniqueName="[維度_契約].[契約月]" caption="契約月" attribute="1" defaultMemberUniqueName="[維度_契約].[契約月].[All]" allUniqueName="[維度_契約].[契約月].[All]" dimensionUniqueName="[維度_契約]" displayFolder="" count="0" unbalancedGroup="0" hidden="1"/>
    <cacheHierarchy uniqueName="[維度_契約].[契約年度]" caption="契約年度" attribute="1" defaultMemberUniqueName="[維度_契約].[契約年度].[All]" allUniqueName="[維度_契約].[契約年度].[All]" dimensionUniqueName="[維度_契約]" displayFolder="" count="0" unbalancedGroup="0" hidden="1"/>
    <cacheHierarchy uniqueName="[維度_契約].[契約編號]" caption="契約編號" attribute="1" keyAttribute="1" defaultMemberUniqueName="[維度_契約].[契約編號].[All]" allUniqueName="[維度_契約].[契約編號].[All]" dimensionUniqueName="[維度_契約]" displayFolder="" count="0" unbalancedGroup="0" hidden="1"/>
    <cacheHierarchy uniqueName="[維度_契約].[會員編號]" caption="會員編號" attribute="1" defaultMemberUniqueName="[維度_契約].[會員編號].[All]" allUniqueName="[維度_契約].[會員編號].[All]" dimensionUniqueName="[維度_契約]" displayFolder="" count="0" unbalancedGroup="0" hidden="1"/>
    <cacheHierarchy uniqueName="[維度_會員].[會員編號]" caption="會員編號" attribute="1" keyAttribute="1" defaultMemberUniqueName="[維度_會員].[會員編號].[All]" allUniqueName="[維度_會員].[會員編號].[All]" dimensionUniqueName="[維度_會員]" displayFolder="" count="0" unbalancedGroup="0" hidden="1"/>
    <cacheHierarchy uniqueName="[Measures].[契編數]" caption="契編數" measure="1" displayFolder="" measureGroup="契約" count="0"/>
    <cacheHierarchy uniqueName="[Measures].[商品數量]" caption="商品數量" measure="1" displayFolder="" measureGroup="商品" count="0" oneField="1">
      <fieldsUsage count="1">
        <fieldUsage x="2"/>
      </fieldsUsage>
    </cacheHierarchy>
    <cacheHierarchy uniqueName="[Measures].[商品小計]" caption="商品小計" measure="1" displayFolder="" measureGroup="商品" count="0" oneField="1">
      <fieldsUsage count="1">
        <fieldUsage x="3"/>
      </fieldsUsage>
    </cacheHierarchy>
    <cacheHierarchy uniqueName="[Measures].[銷退數量]" caption="銷退數量" measure="1" displayFolder="" measureGroup="商品" count="0"/>
    <cacheHierarchy uniqueName="[Measures].[銷退小計]" caption="銷退小計" measure="1" displayFolder="" measureGroup="商品" count="0"/>
    <cacheHierarchy uniqueName="[Measures].[會編數]" caption="會編數" measure="1" displayFolder="" measureGroup="會員" count="0"/>
  </cacheHierarchies>
  <kpis count="0"/>
  <dimensions count="9">
    <dimension measure="1" name="Measures" uniqueName="[Measures]" caption="Measures"/>
    <dimension name="維度_入會" uniqueName="[維度_入會]" caption="維度_入會"/>
    <dimension name="維度_出貨" uniqueName="[維度_出貨]" caption="維度_出貨"/>
    <dimension name="維度_巧連智" uniqueName="[維度_巧連智]" caption="維度_巧連智"/>
    <dimension name="維度_名單集" uniqueName="[維度_名單集]" caption="維度_名單集"/>
    <dimension name="維度_周邊" uniqueName="[維度_周邊]" caption="維度_周邊"/>
    <dimension name="維度_契約" uniqueName="[維度_契約]" caption="維度_契約"/>
    <dimension name="維度_商品" uniqueName="[維度_商品]" caption="維度_商品"/>
    <dimension name="維度_會員" uniqueName="[維度_會員]" caption="維度_會員"/>
  </dimensions>
  <measureGroups count="3">
    <measureGroup name="契約" caption="契約"/>
    <measureGroup name="商品" caption="商品"/>
    <measureGroup name="會員" caption="會員"/>
  </measureGroups>
  <maps count="17"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2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王詩雅" refreshedDate="46149.40976412037" createdVersion="8" refreshedVersion="8" minRefreshableVersion="3" recordCount="4208" xr:uid="{8ACD27F1-ACEB-478B-B8CB-229562069C3F}">
  <cacheSource type="worksheet">
    <worksheetSource ref="A1:BF4209" sheet="比對檔" r:id="rId2"/>
  </cacheSource>
  <cacheFields count="60">
    <cacheField name="訂單編號" numFmtId="0">
      <sharedItems/>
    </cacheField>
    <cacheField name="訂單狀態" numFmtId="0">
      <sharedItems count="7">
        <s v="已完成(鑑賞期內)，但買家仍可在鑑賞期2026-05-25前申請退貨/退款。"/>
        <s v="運送中"/>
        <s v="已完成(鑑賞期內)，但買家仍可在鑑賞期2026-05-26前申請退貨/退款。"/>
        <s v="不成立"/>
        <s v="已完成(鑑賞期內)，但買家仍可在鑑賞期2026-05-27前申請退貨/退款。"/>
        <s v="待出貨"/>
        <s v=""/>
      </sharedItems>
    </cacheField>
    <cacheField name="不成立原因" numFmtId="0">
      <sharedItems/>
    </cacheField>
    <cacheField name="退貨 / 退款狀態" numFmtId="0">
      <sharedItems/>
    </cacheField>
    <cacheField name="買家帳號" numFmtId="179">
      <sharedItems/>
    </cacheField>
    <cacheField name="訂單成立日期" numFmtId="179">
      <sharedItems count="7">
        <s v="2026/5/1"/>
        <s v="2026/5/2"/>
        <s v="2026/5/3"/>
        <s v="2026/5/4"/>
        <s v="2026/5/5"/>
        <s v="2026/5/6"/>
        <s v=""/>
      </sharedItems>
    </cacheField>
    <cacheField name="商品總價" numFmtId="0">
      <sharedItems/>
    </cacheField>
    <cacheField name="買家支付運費" numFmtId="0">
      <sharedItems/>
    </cacheField>
    <cacheField name="蝦皮補助運費" numFmtId="0">
      <sharedItems/>
    </cacheField>
    <cacheField name="退貨運費" numFmtId="0">
      <sharedItems/>
    </cacheField>
    <cacheField name="買家總支付金額" numFmtId="0">
      <sharedItems/>
    </cacheField>
    <cacheField name="蝦皮補貼金額" numFmtId="0">
      <sharedItems/>
    </cacheField>
    <cacheField name="蝦幣折抵" numFmtId="0">
      <sharedItems/>
    </cacheField>
    <cacheField name="銀行信用卡活動折抵" numFmtId="0">
      <sharedItems/>
    </cacheField>
    <cacheField name="優惠代碼" numFmtId="0">
      <sharedItems/>
    </cacheField>
    <cacheField name="賣場優惠券" numFmtId="0">
      <sharedItems/>
    </cacheField>
    <cacheField name="賣家蝦幣回饋券" numFmtId="0">
      <sharedItems/>
    </cacheField>
    <cacheField name="優惠券" numFmtId="0">
      <sharedItems/>
    </cacheField>
    <cacheField name="成交手續費" numFmtId="0">
      <sharedItems/>
    </cacheField>
    <cacheField name="其他服務費" numFmtId="0">
      <sharedItems/>
    </cacheField>
    <cacheField name="金流與系統處理費" numFmtId="0">
      <sharedItems/>
    </cacheField>
    <cacheField name="分期付款期數" numFmtId="0">
      <sharedItems/>
    </cacheField>
    <cacheField name="金流與系統處理費率" numFmtId="0">
      <sharedItems/>
    </cacheField>
    <cacheField name="成交手續費規則名稱" numFmtId="0">
      <sharedItems/>
    </cacheField>
    <cacheField name="商品名稱" numFmtId="0">
      <sharedItems count="34">
        <s v="【巧連智】好情緒EQ X 品格人際套組｜5.5 免運 限量 入學準備 團體生活｜學習 玩具 兒童 有聲書 姓名貼｜巧"/>
        <s v="【巧連智】巧虎雙語點讀圖鑑｜5.5 限定 免運 點讀 兒童 早教 啟蒙｜巧虎品牌旗艦店"/>
        <s v="【巧連智】巧虎神奇果汁店（感溫變色）｜5.5 扮家家酒 可變色 可轉 聲光 玩具 ｜巧虎 官方旗艦店"/>
        <s v="【巧連智】音樂拖把小精靈套組｜限定 5.5 免運 兒童教具 認知書 有聲書 玩具 拖把｜巧虎旗艦店"/>
        <s v="【巧連智】語彙表達．智育學習套組｜5.5 免運 限定 顏色娃娃 寶寶版 巧虎收納袋 學習 兒童 玩具｜巧虎旗艦店"/>
        <s v="【巧連智】和巧虎一起學數學套組｜新品 免運 5.5 限定｜練習本 兒童時鐘 算數 遊戲 益智玩具｜巧虎官方旗艦店"/>
        <s v="【巧連智】巧虎YUMMY商店｜收銀機 玩具 微波爐 老闆 開店玩具 廚房玩具｜5.5 巧虎 官方旗艦店"/>
        <s v="【巧連智】專心吃飯音樂立體書套組｜限定 5.5免運｜1歲寶寶 兒童玩具｜巧虎手偶+音樂立體書 寶寶禮物｜巧虎旗艦"/>
        <s v="【巧連智】寶寶IC語彙農場小火車｜限定5.5 免運｜獅兔象款 寶寶禮物 兒童玩具｜動物玩具｜巧虎旗艦店"/>
        <s v="【巧連智】百變巧虎公仔｜限定5.5宅配490免運｜４款隨機出貨盲盒｜巧虎旗艦店"/>
        <s v="【巧連智】聰明左右腦 點讀大冒險套組｜新品 免運 5.5  限定｜點讀筆 閱讀筆 蛋黃筆 成長版 快樂版｜巧虎官方旗艦店"/>
        <s v="【巧連智】寶寶生活好習慣套組｜ 限定 5.5 免運｜生日禮物 寶寶玩具｜ 姓名貼 點讀書 繪本 貼紙 ｜巧虎官方"/>
        <s v="【巧連智】和巧虎一起說英語 PLUS+初階版｜限定 5.5 免運 巧虎 兒童英語 有聲書 繪本｜巧虎官方旗艦店"/>
        <s v="【巧連智】寶寶生活語彙認知圖鑑｜限定 5.5 宅配490免運｜寶寶禮物 玩具 圖鑑 語彙表達｜巧虎旗艦店"/>
        <s v="【巧連智】巧虎手偶｜禮物 抓周 生日 限定 5.5  免運｜巧虎脆 娃娃 兒童玩具｜巧虎旗艦"/>
        <s v="*【巧連智】寶寶顏色娃娃扮演遊戲組｜集點活動｜顏色認知 人際互動｜寶寶 禮物 洗澡玩具 兒童玩具｜巧虎旗艦店"/>
        <s v="【巧連智】巧虎手偶｜禮物 抓周 生日 限定 5.5｜巧虎脆 娃娃 threads 兒童 脆｜巧虎旗艦店"/>
        <s v="【巧連智】巧連智家家酒扮演組｜限定 5.5 免運｜廚房玩具 寶寶禮物 兒童玩具 ｜巧虎旗艦店"/>
        <s v="【巧連智】寶寶顏色娃娃扮演遊戲組｜限定 5.5 宅配490免運｜寶寶 禮物 洗澡玩具 兒童玩具｜巧虎官方旗艦店"/>
        <s v="【巧連智】桃樂比抱抱｜限定 5.5 免運｜超人氣 55公分娃娃｜巧虎旗艦店"/>
        <s v="【巧連智】白沙屯媽祖祈福禮盒｜5.5  免運 限定 聯名 學習 新生禮 抓周禮 媽祖 台灣｜巧虎旗艦店"/>
        <s v="【巧連智】和巧虎一起學 注音拼音套組｜限定 5.5 免運 學習教具 拼音 國語 兒童玩具｜鉛筆盒 寶可夢｜巧虎旗艦店"/>
        <s v="【巧連智】巧虎耶誕斗篷｜限定 5.5 免運｜角色扮演 聖誕節必備｜巧虎旗艦店"/>
        <s v="【巧連智】交通工具拼圖書｜限定 5.5 宅配490免運｜寶寶 車車 隨身車車 繪本｜巧虎旗艦店"/>
        <s v="【巧連智】百變圖形疊疊樂(含解答)｜限定 5.5  宅配490免運｜邏輯推理 圖形組合 透明遊戲片｜巧虎旗艦店"/>
        <s v="【巧連智】優惠套票_巧虎夏季舞臺劇_限量開搶｜2026銀河怪盜的祕密｜臺北市政親子劇場 6/27｜5.5 巧虎官方旗艦店"/>
        <s v="【巧連智】巧虎包裝紙｜限定 5.5 宅配490免運｜禮物送禮節慶必備｜巧虎旗艦店"/>
        <s v="【巧連智】和巧虎一起說英語 進階版｜買就送好禮 限定 5.5 免運｜禮物 英語玩具 幼兒故事書 認知書｜巧虎官方旗艦"/>
        <s v="【巧連智】巧虎玩沙組｜日本原裝進口 夏天海邊必備單品｜限定5.5 免運｜巧虎旗艦店"/>
        <s v="【巧連智】可愛好朋友玩偶組｜巧虎脆 玩偶 巧虎 琪琪 桃樂比 妙妙｜巧虎官方旗艦店"/>
        <s v="【巧連智】寶寶動物親子拼圖組(附遊戲圖)｜限定 5.5 宅配490免運｜觀察思考 扮演表達｜巧虎旗艦店"/>
        <s v="【巧連智】潛能大挑戰｜成長版經典 最後出清 5.5宅配490免運｜思考力 數學力 注音力｜巧虎品牌旗艦店"/>
        <s v="【巧連智】琪琪包 隨身小包包｜限定 5.5  免運｜超人氣商品｜巧虎旗艦店"/>
        <s v=""/>
      </sharedItems>
    </cacheField>
    <cacheField name="商品ID" numFmtId="0">
      <sharedItems/>
    </cacheField>
    <cacheField name="商品選項名稱" numFmtId="0">
      <sharedItems/>
    </cacheField>
    <cacheField name="規格ID" numFmtId="0">
      <sharedItems/>
    </cacheField>
    <cacheField name="蝦皮商品編碼 (商品ID_規格ID)" numFmtId="0">
      <sharedItems/>
    </cacheField>
    <cacheField name="商品原價" numFmtId="0">
      <sharedItems containsMixedTypes="1" containsNumber="1" containsInteger="1" minValue="20" maxValue="9000"/>
    </cacheField>
    <cacheField name="商品活動價格" numFmtId="0">
      <sharedItems containsMixedTypes="1" containsNumber="1" containsInteger="1" minValue="20" maxValue="5999"/>
    </cacheField>
    <cacheField name="主商品貨號" numFmtId="0">
      <sharedItems count="39">
        <s v="20250FA00"/>
        <s v="20250FE00"/>
        <s v="20250H002"/>
        <s v="20240FB00"/>
        <s v="20250FD00"/>
        <s v="20250FG00"/>
        <s v="20260H001"/>
        <s v="20250FXBH"/>
        <s v="20240H022"/>
        <s v="20221C6B6"/>
        <s v="20230H003"/>
        <s v="20250FF00"/>
        <s v="20240FA00"/>
        <s v="20230MY00"/>
        <s v="20250FXCH"/>
        <s v="20221C611"/>
        <s v="20250FXAM"/>
        <s v="20211C608"/>
        <s v="20240H023"/>
        <s v="20220H002"/>
        <s v="20252FA00"/>
        <s v="20240FM00"/>
        <s v="20230EA00"/>
        <s v="20191C710"/>
        <s v="20245CXAB"/>
        <s v="20250FXAN"/>
        <s v="20260WA01"/>
        <s v="20260WA02"/>
        <s v="20220EA00"/>
        <s v="20220EB00"/>
        <s v="20220MY00"/>
        <s v="20230H008"/>
        <s v="20250FXBM"/>
        <s v="20250H004"/>
        <s v="20250FXAJ"/>
        <s v="20241CXAA"/>
        <s v="20254CXAM"/>
        <s v="20220KG00"/>
        <s v=""/>
      </sharedItems>
    </cacheField>
    <cacheField name="商品選項貨號" numFmtId="0">
      <sharedItems/>
    </cacheField>
    <cacheField name="數量" numFmtId="0">
      <sharedItems containsMixedTypes="1" containsNumber="1" containsInteger="1" minValue="1" maxValue="5"/>
    </cacheField>
    <cacheField name="退貨數量" numFmtId="0">
      <sharedItems/>
    </cacheField>
    <cacheField name="促銷組合指標" numFmtId="0">
      <sharedItems/>
    </cacheField>
    <cacheField name="蝦皮促銷組合折扣:促銷組合標籤" numFmtId="0">
      <sharedItems/>
    </cacheField>
    <cacheField name="收件地址" numFmtId="0">
      <sharedItems/>
    </cacheField>
    <cacheField name="收件者電話_x000a_(若您是自行配送請使用後方蝦皮專線和包裹查詢碼聯繫買家)" numFmtId="0">
      <sharedItems/>
    </cacheField>
    <cacheField name="蝦皮專線和包裹查詢碼 _x000a_(請複製下方完整編號提供給您配合的物流商當做聯絡電話)" numFmtId="0">
      <sharedItems/>
    </cacheField>
    <cacheField name="取件門市店號" numFmtId="0">
      <sharedItems/>
    </cacheField>
    <cacheField name="城市" numFmtId="0">
      <sharedItems/>
    </cacheField>
    <cacheField name="行政區" numFmtId="0">
      <sharedItems/>
    </cacheField>
    <cacheField name="郵遞區號" numFmtId="0">
      <sharedItems/>
    </cacheField>
    <cacheField name="收件者姓名" numFmtId="0">
      <sharedItems/>
    </cacheField>
    <cacheField name="寄送方式" numFmtId="0">
      <sharedItems/>
    </cacheField>
    <cacheField name="出貨方式" numFmtId="0">
      <sharedItems/>
    </cacheField>
    <cacheField name="備貨時間" numFmtId="0">
      <sharedItems/>
    </cacheField>
    <cacheField name="付款方式" numFmtId="0">
      <sharedItems/>
    </cacheField>
    <cacheField name="最晚出貨日期" numFmtId="0">
      <sharedItems/>
    </cacheField>
    <cacheField name="包裹查詢號碼" numFmtId="0">
      <sharedItems/>
    </cacheField>
    <cacheField name="買家付款時間" numFmtId="0">
      <sharedItems/>
    </cacheField>
    <cacheField name="實際出貨時間" numFmtId="0">
      <sharedItems containsNonDate="0" containsString="0" containsBlank="1"/>
    </cacheField>
    <cacheField name="訂單完成時間" numFmtId="0">
      <sharedItems/>
    </cacheField>
    <cacheField name="買家備註" numFmtId="0">
      <sharedItems containsBlank="1"/>
    </cacheField>
    <cacheField name="備註" numFmtId="0">
      <sharedItems containsNonDate="0" containsString="0" containsBlank="1"/>
    </cacheField>
    <cacheField name="分類" numFmtId="0">
      <sharedItems/>
    </cacheField>
    <cacheField name="管道" numFmtId="0">
      <sharedItems/>
    </cacheField>
    <cacheField name="商品未稅價" numFmtId="0" formula="商品活動價格/1.05" databaseField="0"/>
    <cacheField name="未稅價格" numFmtId="0" formula="商品活動價格/1.0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王詩雅" refreshedDate="46149.409770949074" createdVersion="8" refreshedVersion="8" minRefreshableVersion="3" recordCount="11000" xr:uid="{2C37AE1B-065D-41D6-8BB5-C16463122398}">
  <cacheSource type="worksheet">
    <worksheetSource ref="A1:T11001" sheet="比對檔" r:id="rId2"/>
  </cacheSource>
  <cacheFields count="21">
    <cacheField name="訂單號碼" numFmtId="0">
      <sharedItems containsBlank="1"/>
    </cacheField>
    <cacheField name="訂單日期" numFmtId="0">
      <sharedItems containsBlank="1" count="8">
        <s v="2026/5/1"/>
        <s v="2026/5/2"/>
        <s v="2026/5/3"/>
        <s v="2026/5/4"/>
        <s v="2026/5/5"/>
        <s v="2026/5/6"/>
        <s v=""/>
        <m/>
      </sharedItems>
    </cacheField>
    <cacheField name="付款狀態" numFmtId="0">
      <sharedItems containsBlank="1" count="3">
        <s v="已付款"/>
        <s v=""/>
        <m/>
      </sharedItems>
    </cacheField>
    <cacheField name="商品貨號" numFmtId="0">
      <sharedItems containsBlank="1" count="75">
        <s v="20240H022"/>
        <s v="20250FE00"/>
        <s v="20240FA00"/>
        <s v="20250FF00"/>
        <s v="20250FG00"/>
        <s v="20240FB00"/>
        <s v="20250FD00"/>
        <s v="20260H002"/>
        <s v="20260H003"/>
        <s v="20260H001"/>
        <s v="20240H042"/>
        <s v="20250H002"/>
        <s v="20240H027"/>
        <s v="20240H024"/>
        <s v="20190PP04"/>
        <s v="20250FXAM"/>
        <s v="20230EM00"/>
        <s v="20250EA05"/>
        <s v="20230EA00"/>
        <s v="20250EA02"/>
        <s v="20250FA00"/>
        <s v="20240FM00"/>
        <s v="20220MY00"/>
        <s v="20220H010"/>
        <s v="20210KJ00"/>
        <s v="20220H009"/>
        <s v="20240H010"/>
        <s v="20230MY00"/>
        <s v="20252FA00"/>
        <s v="20220EM00"/>
        <s v="20250H003"/>
        <s v="20230H009"/>
        <s v="20240RYA5"/>
        <s v="20220KF00"/>
        <s v="20240EC04"/>
        <s v="20250H020"/>
        <s v="20240H028"/>
        <s v="20240H029"/>
        <s v="20230KA00"/>
        <s v="20240H006"/>
        <s v="20230ET00"/>
        <s v="2025GPS01"/>
        <s v="20230H033"/>
        <s v="20210H002"/>
        <s v="20250H001"/>
        <s v="20250H016"/>
        <s v="20250H013"/>
        <s v="20250H004"/>
        <s v="20240RC04"/>
        <s v="20240H012"/>
        <s v="20240H003"/>
        <s v="20240RYA3"/>
        <s v="20230H032"/>
        <s v="20240EB01"/>
        <s v="20240EA01"/>
        <s v="20250EA06"/>
        <s v="20250EA07"/>
        <s v="20230ER00"/>
        <s v="20240H025"/>
        <s v="20220EA00"/>
        <s v="20220EB00"/>
        <s v="20240H031"/>
        <s v="2023MPB03"/>
        <s v="20230PM03"/>
        <s v="20224PB02"/>
        <s v="20220EC00"/>
        <s v="20250H015"/>
        <s v="20240H009"/>
        <s v="20240EB02"/>
        <s v="20210PQ01"/>
        <s v="20244PB01"/>
        <s v="2023MPB01"/>
        <s v="20221PR02"/>
        <s v=""/>
        <m/>
      </sharedItems>
    </cacheField>
    <cacheField name="商品名稱" numFmtId="0">
      <sharedItems containsBlank="1" count="78">
        <s v="專心吃飯音樂立體書套組"/>
        <s v="巧虎雙語點讀圖鑑"/>
        <s v="寶寶生活好習慣套組"/>
        <s v="聰明左右腦 點讀大冒險"/>
        <s v="和巧虎一起學數學套組"/>
        <s v="音樂拖把小精靈套組"/>
        <s v="語彙表達．智育學習套組"/>
        <s v="巧虎歡樂軌道樂園"/>
        <s v="巧虎歡樂軌道冒險擴充組(網路獨家)"/>
        <s v="巧虎YUMMY商店"/>
        <s v="桃樂比醫生遊戲組"/>
        <s v="巧虎神奇果汁店（感溫變色）"/>
        <s v="巧虎組裝積木系列 滑梯鞦韆公園套組"/>
        <s v="巧虎組裝積木系列 房子收納箱"/>
        <s v="兒童絲滑蠟筆(商店活動)"/>
        <s v="巧虎手偶"/>
        <s v="12吋巧虎頭型後背包"/>
        <s v="巧虎頭型名牌玩偶"/>
        <s v="巧虎耶誕斗篷"/>
        <s v="巧虎睡墊三件組-巧虎好朋友黃色款"/>
        <s v="好情緒EQ X 品格人際套組"/>
        <s v="和巧虎一起學-注音拼音套組"/>
        <s v="和巧虎一起說英語【進階版】"/>
        <s v="TOMICA 巧虎敞篷車"/>
        <s v="巧虎琪琪穿衣練習組"/>
        <s v="TOMICA 巧虎跑車"/>
        <s v="巧虎百變工具箱"/>
        <s v="和巧虎一起說英語 PLUS⁺ 【初階版】"/>
        <s v="白沙屯媽祖祈福禮盒"/>
        <s v="18吋巧虎頭型抱枕"/>
        <s v="巧虎彩色甜甜圈商店"/>
        <s v="巧虎吉他手玩具"/>
        <s v="Mirafeel整箱 XXL"/>
        <s v="巧虎包"/>
        <s v="巧虎隔尿裙"/>
        <s v="Skater牛奶杯-巧虎Cheek藍"/>
        <s v="巧虎益智黏土系列 甜甜圈商店"/>
        <s v="巧虎益智黏土系列 冰淇淋商店"/>
        <s v="小花抱抱"/>
        <s v="Skater巧虎3入水杯Friends款"/>
        <s v="巧虎好朋友塗鴉本"/>
        <s v="雙筆彩繪組"/>
        <s v="巧虎琪琪變變變手錶"/>
        <s v="巧虎鉛筆盒"/>
        <s v="巧虎方塊活字印刷遊戲組"/>
        <s v="一起收一起玩巧虎收納積木組"/>
        <s v="巧虎元氣滿滿抱抱枕"/>
        <s v="可愛好朋友玩偶組"/>
        <s v="Mirafeel體驗包※須選尺寸※"/>
        <s v="我就是琪琪髮帶"/>
        <s v="琪琪吊飾玩偶"/>
        <s v="Mirafeel整箱 L"/>
        <s v="巧虎兩用式多功能水壺"/>
        <s v="巧虎多功能訓練便器"/>
        <s v="Skater巧虎花灑型水瓢"/>
        <s v="琪琪頭型名牌玩偶"/>
        <s v="桃樂比頭型名牌玩偶"/>
        <s v="10吋巧虎大頭手提包"/>
        <s v="巧虎組裝積木系列 人物套組"/>
        <s v="巧虎包裝紙"/>
        <s v="Skater點心盒3入組－巧虎"/>
        <s v="(團購)和巧虎一起說英語【進階版】"/>
        <s v="巧虎貨船平衡木(團購贈品)"/>
        <s v="巧虎平衡滾滾樂(團購贈品)"/>
        <s v="手提式可水洗絲滑蠟筆(團購贈品)"/>
        <s v="巧虎鋁箔包防壓盒"/>
        <s v="巧虎手眼協調挑戰組"/>
        <s v="巧虎聲光廚房遊戲組"/>
        <s v="巧虎三階段彈力學習筷 左手"/>
        <s v="(團購)Mirafeel整箱 XXL"/>
        <s v="巧虎英語撲克牌(商店活動)"/>
        <s v="智高桌遊果凍派對(商店活動)"/>
        <s v="巧虎DIY英語城堡"/>
        <s v="巧虎包裝紙(幾何)-商店活動"/>
        <s v="巧虎Q萌方巾(商店活動)"/>
        <s v="(團購)巧虎雙語點讀圖鑑"/>
        <s v=""/>
        <m/>
      </sharedItems>
    </cacheField>
    <cacheField name="是否團購" numFmtId="0">
      <sharedItems containsNonDate="0" containsString="0" containsBlank="1"/>
    </cacheField>
    <cacheField name="團購識別碼" numFmtId="0">
      <sharedItems containsNonDate="0" containsString="0" containsBlank="1"/>
    </cacheField>
    <cacheField name="銷貨來源" numFmtId="0">
      <sharedItems containsBlank="1"/>
    </cacheField>
    <cacheField name="銷貨管道" numFmtId="0">
      <sharedItems containsBlank="1" count="4">
        <s v="網站"/>
        <s v="團購"/>
        <s v=""/>
        <m/>
      </sharedItems>
    </cacheField>
    <cacheField name="銷貨通路" numFmtId="0">
      <sharedItems containsBlank="1" count="5">
        <s v="網站"/>
        <s v="Livia"/>
        <s v="熊貓老師"/>
        <s v=""/>
        <m/>
      </sharedItems>
    </cacheField>
    <cacheField name="銷貨代碼" numFmtId="0">
      <sharedItems containsBlank="1"/>
    </cacheField>
    <cacheField name="商品結帳價" numFmtId="0">
      <sharedItems containsBlank="1" containsMixedTypes="1" containsNumber="1" containsInteger="1" minValue="0" maxValue="4900"/>
    </cacheField>
    <cacheField name="商品類型" numFmtId="0">
      <sharedItems containsBlank="1"/>
    </cacheField>
    <cacheField name="數量" numFmtId="0">
      <sharedItems containsBlank="1" containsMixedTypes="1" containsNumber="1" containsInteger="1" minValue="0" maxValue="4"/>
    </cacheField>
    <cacheField name="贈品量" numFmtId="0">
      <sharedItems containsBlank="1" containsMixedTypes="1" containsNumber="1" containsInteger="1" minValue="0" maxValue="2"/>
    </cacheField>
    <cacheField name="部門代碼" numFmtId="0">
      <sharedItems containsBlank="1"/>
    </cacheField>
    <cacheField name="部門名稱" numFmtId="0">
      <sharedItems containsBlank="1"/>
    </cacheField>
    <cacheField name="銷售額" numFmtId="0">
      <sharedItems containsBlank="1" containsMixedTypes="1" containsNumber="1" containsInteger="1" minValue="0" maxValue="8400"/>
    </cacheField>
    <cacheField name="分類" numFmtId="0">
      <sharedItems containsBlank="1"/>
    </cacheField>
    <cacheField name="UTM 來源/媒介" numFmtId="0">
      <sharedItems containsBlank="1"/>
    </cacheField>
    <cacheField name="未稅價格" numFmtId="0" formula="銷售額/1.0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8">
  <r>
    <s v="260401M2AS6X4P"/>
    <x v="0"/>
    <s v=""/>
    <s v=""/>
    <s v="w*****w"/>
    <x v="0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12162255#1"/>
    <s v=""/>
    <s v="高雄市"/>
    <s v="前鎮區"/>
    <s v="806"/>
    <s v="簡*瑢"/>
    <s v="賣家宅配：大型/超重物品運送"/>
    <s v=""/>
    <s v=""/>
    <s v="信用卡"/>
    <s v="2026-04-02 23:59"/>
    <s v="新竹物流8179107053"/>
    <s v="2026-04-01 04:55"/>
    <s v="2026-04-02 10:50"/>
    <s v="2026-04-23 11:29"/>
    <s v=""/>
    <s v=""/>
    <s v="學習"/>
    <s v="蝦皮"/>
  </r>
  <r>
    <s v="260401M5T0BGBR"/>
    <x v="1"/>
    <s v="被買家取消，原因 : 改變心意(例如:不想買了,發現更便宜的價格....)"/>
    <s v=""/>
    <s v="g*****d"/>
    <x v="0"/>
    <s v="3150.00"/>
    <s v="0.00"/>
    <s v="0.00"/>
    <s v="0.00"/>
    <s v="0.00"/>
    <s v="0.00"/>
    <s v="0"/>
    <s v="0.00"/>
    <s v="BENE0450"/>
    <s v="0.00"/>
    <s v="0.00"/>
    <s v="0.00"/>
    <s v="0.00"/>
    <s v="0.00"/>
    <s v="0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40******"/>
    <s v="****"/>
    <s v=""/>
    <s v=""/>
    <s v="臺中市"/>
    <s v="西屯區"/>
    <s v="407"/>
    <s v="加******司"/>
    <s v="賣家宅配：大型/超重物品運送"/>
    <s v=""/>
    <s v=""/>
    <s v="信用卡"/>
    <s v="2026-04-02 23:59"/>
    <s v=""/>
    <s v="2026-04-01 05:57"/>
    <m/>
    <s v=""/>
    <s v=""/>
    <m/>
    <s v="學習"/>
    <s v="蝦皮"/>
  </r>
  <r>
    <s v="260401MFM51AXJ"/>
    <x v="0"/>
    <s v=""/>
    <s v=""/>
    <s v="b******w"/>
    <x v="0"/>
    <s v="1079.00"/>
    <s v="0.00"/>
    <s v="0.00"/>
    <s v="0.00"/>
    <s v="1079.00"/>
    <s v="0.00"/>
    <s v="0"/>
    <s v="0.00"/>
    <s v="BENE0420"/>
    <s v="20.00"/>
    <s v="0.00"/>
    <s v="0.00"/>
    <s v="92.00"/>
    <s v="42.00"/>
    <s v="27.00"/>
    <s v="0"/>
    <s v="2.50%"/>
    <s v=""/>
    <x v="2"/>
    <s v="28112829913"/>
    <s v="(單購)"/>
    <s v="292226285724"/>
    <s v="28112829913_292226285724"/>
    <n v="1500"/>
    <x v="2"/>
    <x v="2"/>
    <s v="20240H023"/>
    <n v="1"/>
    <s v="0"/>
    <s v="N"/>
    <s v="-"/>
    <s v="42******"/>
    <s v="****"/>
    <s v="0928000888,75872142#1"/>
    <s v=""/>
    <s v="臺中市"/>
    <s v="豐原區"/>
    <s v="420"/>
    <s v="李*柔"/>
    <s v="賣家宅配：大型/超重物品運送"/>
    <s v=""/>
    <s v=""/>
    <s v="信用卡"/>
    <s v="2026-04-02 23:59"/>
    <s v="新竹物流8179107064"/>
    <s v="2026-04-01 08:53"/>
    <m/>
    <s v="2026-04-07 13:41"/>
    <s v=""/>
    <m/>
    <s v="學習周邊"/>
    <s v="蝦皮"/>
  </r>
  <r>
    <s v="260401MJV4D0H1"/>
    <x v="1"/>
    <s v="被買家取消，原因 : 改變心意(例如:不想買了,發現更便宜的價格....)"/>
    <s v=""/>
    <s v="m******n"/>
    <x v="0"/>
    <s v="782.00"/>
    <s v="0.00"/>
    <s v="0.00"/>
    <s v="0.00"/>
    <s v="0.00"/>
    <s v="0.00"/>
    <s v="47"/>
    <s v="0.00"/>
    <s v="BENE0420;TKBSELLER2604"/>
    <s v="0.00"/>
    <s v="0.00"/>
    <s v="0.00"/>
    <s v="0.00"/>
    <s v="0.00"/>
    <s v="0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3******"/>
    <s v="****"/>
    <s v=""/>
    <s v=""/>
    <s v="桃園市"/>
    <s v="龜山區"/>
    <s v="333"/>
    <s v="陳*蘭"/>
    <s v="賣家宅配：大型/超重物品運送"/>
    <s v=""/>
    <s v=""/>
    <s v="信用卡"/>
    <s v="2026-04-02 23:59"/>
    <s v=""/>
    <s v="2026-04-01 09:51"/>
    <m/>
    <s v=""/>
    <s v=""/>
    <m/>
    <s v="學習周邊"/>
    <s v="蝦皮"/>
  </r>
  <r>
    <s v="260401MJV4D0H1"/>
    <x v="1"/>
    <s v="被買家取消，原因 : 改變心意(例如:不想買了,發現更便宜的價格....)"/>
    <s v=""/>
    <s v="m******n"/>
    <x v="0"/>
    <s v="782.00"/>
    <s v="0.00"/>
    <s v="0.00"/>
    <s v="0.00"/>
    <s v="0.00"/>
    <s v="0.00"/>
    <s v="47"/>
    <s v="0.00"/>
    <s v="BENE0420;TKBSELLER2604"/>
    <s v="0.00"/>
    <s v="0.00"/>
    <s v="0.00"/>
    <s v="0.00"/>
    <s v="0.00"/>
    <s v="0.00"/>
    <s v="0"/>
    <s v="2.50%"/>
    <s v=""/>
    <x v="4"/>
    <s v="28604287513"/>
    <s v=""/>
    <s v="256123210658"/>
    <s v="28604287513_256123210658"/>
    <n v="300"/>
    <x v="4"/>
    <x v="4"/>
    <s v="20211C608"/>
    <n v="1"/>
    <s v="0"/>
    <s v="N"/>
    <s v="-"/>
    <s v="33******"/>
    <s v="****"/>
    <s v=""/>
    <s v=""/>
    <s v="桃園市"/>
    <s v="龜山區"/>
    <s v="333"/>
    <s v="陳*蘭"/>
    <s v="賣家宅配：大型/超重物品運送"/>
    <s v=""/>
    <s v=""/>
    <s v="信用卡"/>
    <s v="2026-04-02 23:59"/>
    <s v=""/>
    <s v="2026-04-01 09:51"/>
    <m/>
    <s v=""/>
    <s v=""/>
    <m/>
    <s v="學習周邊"/>
    <s v="蝦皮"/>
  </r>
  <r>
    <s v="260401MMDYWK29"/>
    <x v="0"/>
    <s v=""/>
    <s v=""/>
    <s v="r******5"/>
    <x v="0"/>
    <s v="4539.00"/>
    <s v="0.00"/>
    <s v="0.00"/>
    <s v="0.00"/>
    <s v="4539.00"/>
    <s v="0.00"/>
    <s v="10"/>
    <s v="0.00"/>
    <s v="BENE0450;MB04B50"/>
    <s v="50.00"/>
    <s v="0.00"/>
    <s v="500.00"/>
    <s v="429.00"/>
    <s v="161.00"/>
    <s v="126.00"/>
    <s v="0"/>
    <s v="2.50%"/>
    <s v=""/>
    <x v="5"/>
    <s v="29842502974"/>
    <s v="(加購)巧虎手偶"/>
    <s v="259020882902"/>
    <s v="29842502974_259020882902"/>
    <n v="6799"/>
    <x v="5"/>
    <x v="5"/>
    <s v="20250FXAR"/>
    <n v="1"/>
    <s v="0"/>
    <s v="N"/>
    <s v="-"/>
    <s v="50******"/>
    <s v="****"/>
    <s v="0928000888,09696802#1"/>
    <s v=""/>
    <s v="彰化縣"/>
    <s v="鹿港鎮"/>
    <s v="505"/>
    <s v="鄔*蓒"/>
    <s v="賣家宅配：大型/超重物品運送"/>
    <s v=""/>
    <s v=""/>
    <s v="信用卡"/>
    <s v="2026-04-02 23:59"/>
    <s v="新竹物流8179107075"/>
    <s v="2026-04-01 10:19"/>
    <m/>
    <s v="2026-04-16 09:31"/>
    <s v=""/>
    <m/>
    <s v="學習"/>
    <s v="蝦皮"/>
  </r>
  <r>
    <s v="260401MPAHQ2RA"/>
    <x v="0"/>
    <s v=""/>
    <s v=""/>
    <s v="n******0"/>
    <x v="0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6"/>
    <s v="40272629657"/>
    <s v=""/>
    <s v="258985690764"/>
    <s v="40272629657_258985690764"/>
    <n v="399"/>
    <x v="6"/>
    <x v="6"/>
    <s v="20250FXAM"/>
    <n v="1"/>
    <s v="0"/>
    <s v="N"/>
    <s v="-"/>
    <s v="82******"/>
    <s v="****"/>
    <s v="0928000888,63977328#1"/>
    <s v=""/>
    <s v="高雄市"/>
    <s v="阿蓮區"/>
    <s v="822"/>
    <s v="陳*佑"/>
    <s v="賣家宅配：大型/超重物品運送"/>
    <s v=""/>
    <s v=""/>
    <s v="信用卡"/>
    <s v="2026-04-02 23:59"/>
    <s v="新竹物流8179107086"/>
    <s v="2026-04-01 10:53"/>
    <m/>
    <s v="2026-04-03 12:29"/>
    <s v=""/>
    <m/>
    <s v="學習周邊"/>
    <s v="蝦皮"/>
  </r>
  <r>
    <s v="260401MSH92AKA"/>
    <x v="1"/>
    <s v="被買家取消，原因 : 修改訂單內容"/>
    <s v=""/>
    <s v="k******e"/>
    <x v="0"/>
    <s v="2379.00"/>
    <s v="0.00"/>
    <s v="0.00"/>
    <s v="0.00"/>
    <s v="0.00"/>
    <s v="0.00"/>
    <s v="0"/>
    <s v="0.00"/>
    <s v="BENE0420;KAR6AEA4K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1******"/>
    <s v="****"/>
    <s v=""/>
    <s v=""/>
    <s v="高雄市"/>
    <s v="左營區"/>
    <s v="813"/>
    <s v="陳*涵"/>
    <s v="賣家宅配：大型/超重物品運送"/>
    <s v=""/>
    <s v=""/>
    <s v="信用卡"/>
    <s v="2026-04-02 23:59"/>
    <s v=""/>
    <s v="2026-04-01 11:51"/>
    <m/>
    <s v=""/>
    <s v=""/>
    <m/>
    <s v="學習"/>
    <s v="蝦皮"/>
  </r>
  <r>
    <s v="260401MSRCYS37"/>
    <x v="1"/>
    <s v="被買家取消，原因 : 改變心意(例如:不想買了,發現更便宜的價格....)"/>
    <s v=""/>
    <s v="k******e"/>
    <x v="0"/>
    <s v="2379.00"/>
    <s v="0.00"/>
    <s v="0.00"/>
    <s v="0.00"/>
    <s v="0.00"/>
    <s v="0.00"/>
    <s v="0"/>
    <s v="0.00"/>
    <s v="BENE0420;KAR6AEA4K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1******"/>
    <s v="****"/>
    <s v=""/>
    <s v=""/>
    <s v="高雄市"/>
    <s v="左營區"/>
    <s v="813"/>
    <s v="陳*涵"/>
    <s v="賣家宅配：大型/超重物品運送"/>
    <s v=""/>
    <s v=""/>
    <s v="信用卡"/>
    <s v="2026-04-02 23:59"/>
    <s v=""/>
    <s v="2026-04-01 11:54"/>
    <m/>
    <s v=""/>
    <s v=""/>
    <m/>
    <s v="學習"/>
    <s v="蝦皮"/>
  </r>
  <r>
    <s v="260401N57BK031"/>
    <x v="0"/>
    <s v=""/>
    <s v=""/>
    <s v="u******5"/>
    <x v="0"/>
    <s v="3150.00"/>
    <s v="0.00"/>
    <s v="0.00"/>
    <s v="0.00"/>
    <s v="3150.00"/>
    <s v="0.00"/>
    <s v="0"/>
    <s v="0.00"/>
    <s v="BENE0450"/>
    <s v="50.00"/>
    <s v="0.00"/>
    <s v="0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26******"/>
    <s v="****"/>
    <s v="0928000888,11307406#1"/>
    <s v=""/>
    <s v="宜蘭縣"/>
    <s v="冬山鄉"/>
    <s v="269"/>
    <s v="林*緯"/>
    <s v="賣家宅配：大型/超重物品運送"/>
    <s v=""/>
    <s v=""/>
    <s v="信用卡"/>
    <s v="2026-04-02 23:59"/>
    <s v="新竹物流8179107090"/>
    <s v="2026-04-01 15:19"/>
    <m/>
    <s v="2026-04-07 16:09"/>
    <s v=""/>
    <m/>
    <s v="學習"/>
    <s v="蝦皮"/>
  </r>
  <r>
    <s v="260401N6TJXVST"/>
    <x v="0"/>
    <s v=""/>
    <s v=""/>
    <s v="v******6"/>
    <x v="0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52******"/>
    <s v="****"/>
    <s v="0928000888,61173652#1"/>
    <s v=""/>
    <s v="彰化縣"/>
    <s v="田中鎮"/>
    <s v="520"/>
    <s v="蘇*偉"/>
    <s v="賣家宅配：大型/超重物品運送"/>
    <s v=""/>
    <s v=""/>
    <s v="信用卡"/>
    <s v="2026-04-02 23:59"/>
    <s v="新竹物流8179107101"/>
    <s v="2026-04-01 15:49"/>
    <m/>
    <s v="2026-04-04 17:13"/>
    <s v=""/>
    <m/>
    <s v="學習周邊"/>
    <s v="蝦皮"/>
  </r>
  <r>
    <s v="260401NCGK2VBU"/>
    <x v="0"/>
    <s v=""/>
    <s v=""/>
    <s v="m******2"/>
    <x v="0"/>
    <s v="4916.00"/>
    <s v="0.00"/>
    <s v="0.00"/>
    <s v="0.00"/>
    <s v="4916.00"/>
    <s v="0.00"/>
    <s v="83"/>
    <s v="0.00"/>
    <s v="MSV2604E"/>
    <s v="100.00"/>
    <s v="0.00"/>
    <s v="0.00"/>
    <s v="425.00"/>
    <s v="160.00"/>
    <s v="125.00"/>
    <s v="3"/>
    <s v="2.50%"/>
    <s v=""/>
    <x v="5"/>
    <s v="29842502974"/>
    <s v="(加購)巧虎手偶"/>
    <s v="259020882902"/>
    <s v="29842502974_259020882902"/>
    <n v="6799"/>
    <x v="5"/>
    <x v="5"/>
    <s v="20250FXAR"/>
    <n v="1"/>
    <s v="0"/>
    <s v="N"/>
    <s v="-"/>
    <s v="22******"/>
    <s v="****"/>
    <s v="0928000888,98805180#1"/>
    <s v=""/>
    <s v="新北市"/>
    <s v="板橋區"/>
    <s v="220"/>
    <s v="黃*嘉"/>
    <s v="賣家宅配：大型/超重物品運送"/>
    <s v=""/>
    <s v=""/>
    <s v="信用卡分期付款"/>
    <s v="2026-04-02 23:59"/>
    <s v="新竹物流8179107112"/>
    <s v="2026-04-01 17:31"/>
    <m/>
    <s v="2026-04-04 16:25"/>
    <s v=""/>
    <m/>
    <s v="學習"/>
    <s v="蝦皮"/>
  </r>
  <r>
    <s v="260401NDTX6DGU"/>
    <x v="1"/>
    <s v="系統自動判定訂單不成立，原因 : 未收到款項"/>
    <s v=""/>
    <s v="n******7"/>
    <x v="0"/>
    <s v="2374.00"/>
    <s v="0.00"/>
    <s v="0.00"/>
    <s v="0.00"/>
    <s v="0.00"/>
    <s v="0.00"/>
    <s v="5"/>
    <s v="0.00"/>
    <s v="BENE0420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"/>
    <s v=""/>
    <s v="新北市"/>
    <s v="樹林區"/>
    <s v="238"/>
    <s v="徐*娟"/>
    <s v="賣家宅配：大型/超重物品運送"/>
    <s v=""/>
    <s v=""/>
    <s v="信用卡"/>
    <s v=""/>
    <s v=""/>
    <s v="-"/>
    <m/>
    <s v=""/>
    <s v=""/>
    <m/>
    <s v="學習"/>
    <s v="蝦皮"/>
  </r>
  <r>
    <s v="260401NS5651XH"/>
    <x v="0"/>
    <s v=""/>
    <s v=""/>
    <s v="g******1"/>
    <x v="0"/>
    <s v="839.00"/>
    <s v="0.00"/>
    <s v="0.00"/>
    <s v="0.00"/>
    <s v="839.00"/>
    <s v="0.00"/>
    <s v="0"/>
    <s v="0.00"/>
    <s v="BENE0420;TKBSELLER2604"/>
    <s v="20.00"/>
    <s v="0.00"/>
    <s v="50.00"/>
    <s v="76.00"/>
    <s v="37.00"/>
    <s v="22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33******"/>
    <s v="****"/>
    <s v="0928000888,68712698#1"/>
    <s v=""/>
    <s v="桃園市"/>
    <s v="龜山區"/>
    <s v="333"/>
    <s v="余*樺"/>
    <s v="賣家宅配：大型/超重物品運送"/>
    <s v=""/>
    <s v=""/>
    <s v="信用卡"/>
    <s v="2026-04-02 23:59"/>
    <s v="新竹物流8179107123"/>
    <s v="2026-04-01 21:16"/>
    <m/>
    <s v="2026-04-08 13:06"/>
    <s v=""/>
    <m/>
    <s v="學習周邊"/>
    <s v="蝦皮"/>
  </r>
  <r>
    <s v="260401NS5651XH"/>
    <x v="0"/>
    <s v=""/>
    <s v=""/>
    <s v="g******1"/>
    <x v="0"/>
    <s v="839.00"/>
    <s v="0.00"/>
    <s v="0.00"/>
    <s v="0.00"/>
    <s v="839.00"/>
    <s v="0.00"/>
    <s v="0"/>
    <s v="0.00"/>
    <s v="BENE0420;TKBSELLER2604"/>
    <s v="20.00"/>
    <s v="0.00"/>
    <s v="50.00"/>
    <s v="76.00"/>
    <s v="37.00"/>
    <s v="22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3******"/>
    <s v="****"/>
    <s v="0928000888,68712698#1"/>
    <s v=""/>
    <s v="桃園市"/>
    <s v="龜山區"/>
    <s v="333"/>
    <s v="余*樺"/>
    <s v="賣家宅配：大型/超重物品運送"/>
    <s v=""/>
    <s v=""/>
    <s v="信用卡"/>
    <s v="2026-04-02 23:59"/>
    <s v="新竹物流8179107123"/>
    <s v="2026-04-01 21:16"/>
    <m/>
    <s v="2026-04-08 13:06"/>
    <s v=""/>
    <m/>
    <s v="學習周邊"/>
    <s v="蝦皮"/>
  </r>
  <r>
    <s v="260401NW8TEQTU"/>
    <x v="0"/>
    <s v=""/>
    <s v=""/>
    <s v="s*****h"/>
    <x v="0"/>
    <s v="594.00"/>
    <s v="0.00"/>
    <s v="0.00"/>
    <s v="0.00"/>
    <s v="594.00"/>
    <s v="0.00"/>
    <s v="5"/>
    <s v="0.00"/>
    <s v=""/>
    <s v="0.00"/>
    <s v="0.00"/>
    <s v="0.00"/>
    <s v="51.00"/>
    <s v="28.00"/>
    <s v="15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83******"/>
    <s v="****"/>
    <s v="0928000888,95639263#1"/>
    <s v=""/>
    <s v="高雄市"/>
    <s v="鳳山區"/>
    <s v="830"/>
    <s v="黃*婷"/>
    <s v="賣家宅配：大型/超重物品運送"/>
    <s v=""/>
    <s v=""/>
    <s v="信用卡"/>
    <s v="2026-04-02 23:59"/>
    <s v="新竹物流8179107134"/>
    <s v="2026-04-01 22:30"/>
    <m/>
    <s v="2026-04-23 11:37"/>
    <s v=""/>
    <m/>
    <s v="學習周邊"/>
    <s v="蝦皮"/>
  </r>
  <r>
    <s v="260401NWTWDDB0"/>
    <x v="0"/>
    <s v=""/>
    <s v=""/>
    <s v="e******9"/>
    <x v="0"/>
    <s v="2528.00"/>
    <s v="0.00"/>
    <s v="0.00"/>
    <s v="0.00"/>
    <s v="2528.00"/>
    <s v="0.00"/>
    <s v="0"/>
    <s v="0.00"/>
    <s v="TKBSELLER2604;BENE0420"/>
    <s v="20.00"/>
    <s v="0.00"/>
    <s v="5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******"/>
    <s v="****"/>
    <s v="0928000888,14139708#1"/>
    <s v=""/>
    <s v="桃園市"/>
    <s v="平鎮區"/>
    <s v="324"/>
    <s v="謝*潔"/>
    <s v="賣家宅配：大型/超重物品運送"/>
    <s v=""/>
    <s v=""/>
    <s v="信用卡"/>
    <s v="2026-04-02 23:59"/>
    <s v="新竹物流8179107145"/>
    <s v="2026-04-01 22:40"/>
    <m/>
    <s v="2026-04-08 10:08"/>
    <s v=""/>
    <m/>
    <s v="學習"/>
    <s v="蝦皮"/>
  </r>
  <r>
    <s v="260401NX7U9UAJ"/>
    <x v="0"/>
    <s v=""/>
    <s v=""/>
    <s v="p****9"/>
    <x v="0"/>
    <s v="2349.00"/>
    <s v="0.00"/>
    <s v="0.00"/>
    <s v="0.00"/>
    <s v="2349.00"/>
    <s v="0.00"/>
    <s v="30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57913651#1"/>
    <s v=""/>
    <s v="臺中市"/>
    <s v="北屯區"/>
    <s v="406"/>
    <s v="黃*鈞"/>
    <s v="賣家宅配：大型/超重物品運送"/>
    <s v=""/>
    <s v=""/>
    <s v="信用卡"/>
    <s v="2026-04-02 23:59"/>
    <s v="新竹物流8179107156"/>
    <s v="2026-04-01 22:47"/>
    <m/>
    <s v="2026-04-05 13:14"/>
    <s v=""/>
    <m/>
    <s v="學習"/>
    <s v="蝦皮"/>
  </r>
  <r>
    <s v="260402PA6JCU78"/>
    <x v="0"/>
    <s v=""/>
    <s v=""/>
    <s v="c******9"/>
    <x v="1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73******"/>
    <s v="****"/>
    <s v="0928000888,55678849#1"/>
    <s v=""/>
    <s v="臺南市"/>
    <s v="六甲區"/>
    <s v="734"/>
    <s v="施*齡"/>
    <s v="賣家宅配：大型/超重物品運送"/>
    <s v=""/>
    <s v=""/>
    <s v="信用卡"/>
    <s v="2026-04-07 23:59"/>
    <s v="新竹物流8179112465"/>
    <s v="2026-04-02 02:21"/>
    <m/>
    <s v="2026-04-28 17:32"/>
    <s v=""/>
    <m/>
    <s v="學習周邊"/>
    <s v="蝦皮"/>
  </r>
  <r>
    <s v="260402PA6JCU78"/>
    <x v="0"/>
    <s v=""/>
    <s v=""/>
    <s v="c******9"/>
    <x v="1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73******"/>
    <s v="****"/>
    <s v="0928000888,55678849#1"/>
    <s v=""/>
    <s v="臺南市"/>
    <s v="六甲區"/>
    <s v="734"/>
    <s v="施*齡"/>
    <s v="賣家宅配：大型/超重物品運送"/>
    <s v=""/>
    <s v=""/>
    <s v="信用卡"/>
    <s v="2026-04-07 23:59"/>
    <s v="新竹物流8179112465"/>
    <s v="2026-04-02 02:21"/>
    <m/>
    <s v="2026-04-28 17:32"/>
    <s v=""/>
    <m/>
    <s v="學習周邊"/>
    <s v="蝦皮"/>
  </r>
  <r>
    <s v="260402Q3W6NNJT"/>
    <x v="1"/>
    <s v="被買家取消，原因 : 修改訂單內容"/>
    <s v=""/>
    <s v="a******e"/>
    <x v="1"/>
    <s v="2949.00"/>
    <s v="0.00"/>
    <s v="0.00"/>
    <s v="0.00"/>
    <s v="0.00"/>
    <s v="0.00"/>
    <s v="0"/>
    <s v="0.00"/>
    <s v="BENE0450;KAR6AEA4K"/>
    <s v="0.00"/>
    <s v="0.00"/>
    <s v="0.00"/>
    <s v="0.00"/>
    <s v="0.00"/>
    <s v="0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40******"/>
    <s v="****"/>
    <s v=""/>
    <s v=""/>
    <s v="臺中市"/>
    <s v="南區"/>
    <s v="402"/>
    <s v="李*霏"/>
    <s v="賣家宅配：大型/超重物品運送"/>
    <s v=""/>
    <s v=""/>
    <s v="信用卡"/>
    <s v="2026-04-07 23:59"/>
    <s v=""/>
    <s v="2026-04-02 10:01"/>
    <m/>
    <s v=""/>
    <s v=""/>
    <m/>
    <s v="學習"/>
    <s v="蝦皮"/>
  </r>
  <r>
    <s v="260402Q49HEFGU"/>
    <x v="1"/>
    <s v="被買家取消，原因 : 改變心意(例如:不想買了,發現更便宜的價格....)"/>
    <s v=""/>
    <s v="z******3"/>
    <x v="1"/>
    <s v="2949.00"/>
    <s v="0.00"/>
    <s v="0.00"/>
    <s v="0.00"/>
    <s v="0.00"/>
    <s v="0.00"/>
    <s v="0"/>
    <s v="0.00"/>
    <s v="BENE0450"/>
    <s v="0.00"/>
    <s v="0.00"/>
    <s v="0.00"/>
    <s v="0.00"/>
    <s v="0.00"/>
    <s v="0.00"/>
    <s v="3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6******"/>
    <s v="****"/>
    <s v=""/>
    <s v=""/>
    <s v="宜蘭縣"/>
    <s v="頭城鎮"/>
    <s v="261"/>
    <s v="林*蓉"/>
    <s v="賣家宅配：大型/超重物品運送"/>
    <s v=""/>
    <s v=""/>
    <s v="信用卡分期付款"/>
    <s v="2026-04-07 23:59"/>
    <s v=""/>
    <s v="2026-04-02 10:09"/>
    <m/>
    <s v=""/>
    <s v=""/>
    <m/>
    <s v="學習"/>
    <s v="蝦皮"/>
  </r>
  <r>
    <s v="260402QBR8D5FK"/>
    <x v="0"/>
    <s v=""/>
    <s v=""/>
    <s v="f****5"/>
    <x v="1"/>
    <s v="2379.00"/>
    <s v="0.00"/>
    <s v="0.00"/>
    <s v="0.00"/>
    <s v="2379.00"/>
    <s v="0.00"/>
    <s v="0"/>
    <s v="0.00"/>
    <s v="BENE0420;KAR6AEA4K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97895070#1"/>
    <s v=""/>
    <s v="高雄市"/>
    <s v="苓雅區"/>
    <s v="802"/>
    <s v="歐*蓁"/>
    <s v="賣家宅配：大型/超重物品運送"/>
    <s v=""/>
    <s v=""/>
    <s v="信用卡"/>
    <s v="2026-04-07 23:59"/>
    <s v="新竹物流8179110262"/>
    <s v="2026-04-02 12:22"/>
    <m/>
    <s v="2026-04-20 11:18"/>
    <s v=""/>
    <m/>
    <s v="學習"/>
    <s v="蝦皮"/>
  </r>
  <r>
    <s v="260402QGCY65VN"/>
    <x v="0"/>
    <s v=""/>
    <s v=""/>
    <s v="b******5"/>
    <x v="1"/>
    <s v="1028.00"/>
    <s v="0.00"/>
    <s v="0.00"/>
    <s v="0.00"/>
    <s v="1028.00"/>
    <s v="0.00"/>
    <s v="0"/>
    <s v="0.00"/>
    <s v="BENE0420;TKBSELLER2604"/>
    <s v="20.00"/>
    <s v="0.00"/>
    <s v="50.00"/>
    <s v="92.00"/>
    <s v="42.00"/>
    <s v="2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3******"/>
    <s v="****"/>
    <s v="0928000888,59719900#1"/>
    <s v=""/>
    <s v="桃園市"/>
    <s v="龜山區"/>
    <s v="333"/>
    <s v="沈*卉"/>
    <s v="賣家宅配：大型/超重物品運送"/>
    <s v=""/>
    <s v=""/>
    <s v="信用卡"/>
    <s v="2026-04-07 23:59"/>
    <s v="新竹物流8179112480"/>
    <s v="2026-04-02 13:45"/>
    <m/>
    <s v="2026-04-15 14:44"/>
    <s v=""/>
    <m/>
    <s v="學習周邊"/>
    <s v="蝦皮"/>
  </r>
  <r>
    <s v="260402QGCY65VN"/>
    <x v="0"/>
    <s v=""/>
    <s v=""/>
    <s v="b******5"/>
    <x v="1"/>
    <s v="1028.00"/>
    <s v="0.00"/>
    <s v="0.00"/>
    <s v="0.00"/>
    <s v="1028.00"/>
    <s v="0.00"/>
    <s v="0"/>
    <s v="0.00"/>
    <s v="BENE0420;TKBSELLER2604"/>
    <s v="20.00"/>
    <s v="0.00"/>
    <s v="50.00"/>
    <s v="92.00"/>
    <s v="42.00"/>
    <s v="27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33******"/>
    <s v="****"/>
    <s v="0928000888,59719900#1"/>
    <s v=""/>
    <s v="桃園市"/>
    <s v="龜山區"/>
    <s v="333"/>
    <s v="沈*卉"/>
    <s v="賣家宅配：大型/超重物品運送"/>
    <s v=""/>
    <s v=""/>
    <s v="信用卡"/>
    <s v="2026-04-07 23:59"/>
    <s v="新竹物流8179112480"/>
    <s v="2026-04-02 13:45"/>
    <m/>
    <s v="2026-04-15 14:44"/>
    <s v=""/>
    <m/>
    <s v="學習周邊"/>
    <s v="蝦皮"/>
  </r>
  <r>
    <s v="260402QGCY65VN"/>
    <x v="0"/>
    <s v=""/>
    <s v=""/>
    <s v="b******5"/>
    <x v="1"/>
    <s v="1028.00"/>
    <s v="0.00"/>
    <s v="0.00"/>
    <s v="0.00"/>
    <s v="1028.00"/>
    <s v="0.00"/>
    <s v="0"/>
    <s v="0.00"/>
    <s v="BENE0420;TKBSELLER2604"/>
    <s v="20.00"/>
    <s v="0.00"/>
    <s v="50.00"/>
    <s v="92.00"/>
    <s v="42.00"/>
    <s v="27.00"/>
    <s v="0"/>
    <s v="2.50%"/>
    <s v=""/>
    <x v="4"/>
    <s v="28604287513"/>
    <s v=""/>
    <s v="256123210658"/>
    <s v="28604287513_256123210658"/>
    <n v="300"/>
    <x v="4"/>
    <x v="4"/>
    <s v="20211C608"/>
    <n v="1"/>
    <s v="0"/>
    <s v="N"/>
    <s v="-"/>
    <s v="33******"/>
    <s v="****"/>
    <s v="0928000888,59719900#1"/>
    <s v=""/>
    <s v="桃園市"/>
    <s v="龜山區"/>
    <s v="333"/>
    <s v="沈*卉"/>
    <s v="賣家宅配：大型/超重物品運送"/>
    <s v=""/>
    <s v=""/>
    <s v="信用卡"/>
    <s v="2026-04-07 23:59"/>
    <s v="新竹物流8179112480"/>
    <s v="2026-04-02 13:45"/>
    <m/>
    <s v="2026-04-15 14:44"/>
    <s v=""/>
    <m/>
    <s v="學習周邊"/>
    <s v="蝦皮"/>
  </r>
  <r>
    <s v="260402QHMFSEXB"/>
    <x v="0"/>
    <s v=""/>
    <s v=""/>
    <s v="h******7"/>
    <x v="1"/>
    <s v="2498.00"/>
    <s v="0.00"/>
    <s v="0.00"/>
    <s v="0.00"/>
    <s v="2498.00"/>
    <s v="0.00"/>
    <s v="0"/>
    <s v="0.00"/>
    <s v="MSV2604E"/>
    <s v="100.00"/>
    <s v="0.00"/>
    <s v="0.00"/>
    <s v="212.00"/>
    <s v="85.00"/>
    <s v="62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15571153#1"/>
    <s v=""/>
    <s v="新北市"/>
    <s v="土城區"/>
    <s v="236"/>
    <s v="吳*薫"/>
    <s v="賣家宅配：大型/超重物品運送"/>
    <s v=""/>
    <s v=""/>
    <s v="信用卡"/>
    <s v="2026-04-07 23:59"/>
    <s v="新竹物流8179109923"/>
    <s v="2026-04-02 14:07"/>
    <m/>
    <s v="2026-04-09 09:29"/>
    <s v=""/>
    <m/>
    <s v="學習"/>
    <s v="蝦皮"/>
  </r>
  <r>
    <s v="260402QP893K8F"/>
    <x v="0"/>
    <s v=""/>
    <s v=""/>
    <s v="j******b"/>
    <x v="1"/>
    <s v="3100.00"/>
    <s v="0.00"/>
    <s v="0.00"/>
    <s v="0.00"/>
    <s v="3100.00"/>
    <s v="0.00"/>
    <s v="0"/>
    <s v="0.00"/>
    <s v="MSV2604E;WSV9M5S3N"/>
    <s v="100.00"/>
    <s v="0.00"/>
    <s v="0.00"/>
    <s v="264.00"/>
    <s v="103.00"/>
    <s v="78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81******"/>
    <s v="****"/>
    <s v="0928000888,72052954#1"/>
    <s v=""/>
    <s v="高雄市"/>
    <s v="仁武區"/>
    <s v="814"/>
    <s v="林*助"/>
    <s v="賣家宅配：大型/超重物品運送"/>
    <s v=""/>
    <s v=""/>
    <s v="信用卡"/>
    <s v="2026-04-07 23:59"/>
    <s v="新竹物流8179110170"/>
    <s v="2026-04-02 15:32"/>
    <m/>
    <s v="2026-04-08 20:18"/>
    <s v=""/>
    <m/>
    <s v="學習"/>
    <s v="蝦皮"/>
  </r>
  <r>
    <s v="260402QSJKSGY8"/>
    <x v="1"/>
    <s v="被買家取消，原因 : 修改訂單內容"/>
    <s v=""/>
    <s v="b******a"/>
    <x v="1"/>
    <s v="2539.00"/>
    <s v="0.00"/>
    <s v="0.00"/>
    <s v="0.00"/>
    <s v="0.00"/>
    <s v="0.00"/>
    <s v="39"/>
    <s v="0.00"/>
    <s v="BENE0420;KAR6AEA4K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******"/>
    <s v="****"/>
    <s v=""/>
    <s v=""/>
    <s v="桃園市"/>
    <s v="龍潭區"/>
    <s v="325"/>
    <s v="張*玲"/>
    <s v="賣家宅配：大型/超重物品運送"/>
    <s v=""/>
    <s v=""/>
    <s v="信用卡"/>
    <s v="2026-04-07 23:59"/>
    <s v=""/>
    <s v="2026-04-02 16:29"/>
    <m/>
    <s v=""/>
    <s v=""/>
    <m/>
    <s v="學習"/>
    <s v="蝦皮"/>
  </r>
  <r>
    <s v="260402QTWBA8SK"/>
    <x v="0"/>
    <s v=""/>
    <s v=""/>
    <s v="m******3"/>
    <x v="1"/>
    <s v="2324.00"/>
    <s v="0.00"/>
    <s v="0.00"/>
    <s v="0.00"/>
    <s v="2324.00"/>
    <s v="0.00"/>
    <s v="5"/>
    <s v="0.00"/>
    <s v="BENE0420;TKBSELLER2604"/>
    <s v="20.00"/>
    <s v="0.00"/>
    <s v="5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15692228#1"/>
    <s v=""/>
    <s v="新北市"/>
    <s v="泰山區"/>
    <s v="243"/>
    <s v="毛*瑄"/>
    <s v="賣家宅配：大型/超重物品運送"/>
    <s v=""/>
    <s v=""/>
    <s v="信用卡"/>
    <s v="2026-04-07 23:59"/>
    <s v="新竹物流8179110273"/>
    <s v="2026-04-02 16:53"/>
    <m/>
    <s v="2026-04-28 12:34"/>
    <s v=""/>
    <m/>
    <s v="學習"/>
    <s v="蝦皮"/>
  </r>
  <r>
    <s v="260402QUAD0E4T"/>
    <x v="0"/>
    <s v=""/>
    <s v=""/>
    <s v="j******4"/>
    <x v="1"/>
    <s v="2578.00"/>
    <s v="0.00"/>
    <s v="0.00"/>
    <s v="0.00"/>
    <s v="2578.00"/>
    <s v="0.00"/>
    <s v="0"/>
    <s v="0.00"/>
    <s v="BENE0420;HCTZYUTNG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2******"/>
    <s v="****"/>
    <s v="0928000888,54409510#1"/>
    <s v=""/>
    <s v="新北市"/>
    <s v="板橋區"/>
    <s v="220"/>
    <s v="李*真"/>
    <s v="賣家宅配：大型/超重物品運送"/>
    <s v=""/>
    <s v=""/>
    <s v="信用卡"/>
    <s v="2026-04-07 23:59"/>
    <s v="新竹物流8179109934"/>
    <s v="2026-04-02 17:00"/>
    <m/>
    <s v="2026-04-08 21:27"/>
    <s v=""/>
    <m/>
    <s v="學習"/>
    <s v="蝦皮"/>
  </r>
  <r>
    <s v="260402QW2RDUC5"/>
    <x v="0"/>
    <s v=""/>
    <s v=""/>
    <s v="d******5"/>
    <x v="1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4******"/>
    <s v="****"/>
    <s v="0928000888,93563548#1"/>
    <s v=""/>
    <s v="新北市"/>
    <s v="林口區"/>
    <s v="244"/>
    <s v="林*緯"/>
    <s v="賣家宅配：大型/超重物品運送"/>
    <s v=""/>
    <s v=""/>
    <s v="信用卡"/>
    <s v="2026-04-07 23:59"/>
    <s v="新竹物流8179112546"/>
    <s v="2026-04-02 17:33"/>
    <m/>
    <s v="2026-04-21 15:24"/>
    <s v=""/>
    <m/>
    <s v="學習"/>
    <s v="蝦皮"/>
  </r>
  <r>
    <s v="260402R8CNTRJC"/>
    <x v="0"/>
    <s v=""/>
    <s v=""/>
    <s v="r******a"/>
    <x v="1"/>
    <s v="2374.00"/>
    <s v="0.00"/>
    <s v="0.00"/>
    <s v="0.00"/>
    <s v="2374.00"/>
    <s v="0.00"/>
    <s v="5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97902924#1"/>
    <s v=""/>
    <s v="新北市"/>
    <s v="新莊區"/>
    <s v="242"/>
    <s v="曾*翎"/>
    <s v="賣家宅配：大型/超重物品運送"/>
    <s v=""/>
    <s v=""/>
    <s v="信用卡"/>
    <s v="2026-04-07 23:59"/>
    <s v="新竹物流8179110284"/>
    <s v="2026-04-02 20:54"/>
    <m/>
    <s v="2026-04-08 14:30"/>
    <s v=""/>
    <m/>
    <s v="學習"/>
    <s v="蝦皮"/>
  </r>
  <r>
    <s v="260402R8H14VYP"/>
    <x v="0"/>
    <s v=""/>
    <s v=""/>
    <s v="c*****7"/>
    <x v="1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52******"/>
    <s v="****"/>
    <s v="0928000888,09873522#1"/>
    <s v=""/>
    <s v="彰化縣"/>
    <s v="田尾鄉"/>
    <s v="522"/>
    <s v="陳*竹"/>
    <s v="賣家宅配：大型/超重物品運送"/>
    <s v=""/>
    <s v=""/>
    <s v="信用卡"/>
    <s v="2026-04-07 23:59"/>
    <s v="新竹物流8179110295"/>
    <s v="2026-04-02 20:57"/>
    <m/>
    <s v="2026-04-21 15:50"/>
    <s v=""/>
    <m/>
    <s v="學習"/>
    <s v="蝦皮"/>
  </r>
  <r>
    <s v="260402RCC0VADW"/>
    <x v="0"/>
    <s v=""/>
    <s v=""/>
    <s v="c******1"/>
    <x v="1"/>
    <s v="2379.00"/>
    <s v="0.00"/>
    <s v="0.00"/>
    <s v="0.00"/>
    <s v="2379.00"/>
    <s v="0.00"/>
    <s v="0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0******"/>
    <s v="****"/>
    <s v="0928000888,80538561#1"/>
    <s v=""/>
    <s v="臺北市"/>
    <s v="大安區"/>
    <s v="106"/>
    <s v="梁*皓"/>
    <s v="賣家宅配：大型/超重物品運送"/>
    <s v=""/>
    <s v=""/>
    <s v="信用卡"/>
    <s v="2026-04-07 23:59"/>
    <s v="新竹物流8179110306"/>
    <s v="2026-04-02 22:06"/>
    <m/>
    <s v="2026-04-15 09:40"/>
    <s v=""/>
    <m/>
    <s v="學習"/>
    <s v="蝦皮"/>
  </r>
  <r>
    <s v="260402RDKDPUGG"/>
    <x v="0"/>
    <s v=""/>
    <s v=""/>
    <s v="q***5"/>
    <x v="1"/>
    <s v="2589.00"/>
    <s v="0.00"/>
    <s v="0.00"/>
    <s v="0.00"/>
    <s v="2589.00"/>
    <s v="0.00"/>
    <s v="0"/>
    <s v="0.00"/>
    <s v="BENE0420;KAR6AEA4K"/>
    <s v="20.00"/>
    <s v="0.00"/>
    <s v="0.00"/>
    <s v="220.00"/>
    <s v="88.00"/>
    <s v="65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80******"/>
    <s v="****"/>
    <s v="0928000888,80141581#1"/>
    <s v=""/>
    <s v="高雄市"/>
    <s v="三民區"/>
    <s v="807"/>
    <s v="邱*如"/>
    <s v="賣家宅配：大型/超重物品運送"/>
    <s v=""/>
    <s v=""/>
    <s v="信用卡"/>
    <s v="2026-04-07 23:59"/>
    <s v="新竹物流8179112491"/>
    <s v="2026-04-02 22:28"/>
    <m/>
    <s v="2026-04-14 00:14"/>
    <s v=""/>
    <m/>
    <s v="學習周邊"/>
    <s v="蝦皮"/>
  </r>
  <r>
    <s v="260402RDKDPUGG"/>
    <x v="0"/>
    <s v=""/>
    <s v=""/>
    <s v="q***5"/>
    <x v="1"/>
    <s v="2589.00"/>
    <s v="0.00"/>
    <s v="0.00"/>
    <s v="0.00"/>
    <s v="2589.00"/>
    <s v="0.00"/>
    <s v="0"/>
    <s v="0.00"/>
    <s v="BENE0420;KAR6AEA4K"/>
    <s v="20.00"/>
    <s v="0.00"/>
    <s v="0.00"/>
    <s v="220.00"/>
    <s v="88.00"/>
    <s v="65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80141581#1"/>
    <s v=""/>
    <s v="高雄市"/>
    <s v="三民區"/>
    <s v="807"/>
    <s v="邱*如"/>
    <s v="賣家宅配：大型/超重物品運送"/>
    <s v=""/>
    <s v=""/>
    <s v="信用卡"/>
    <s v="2026-04-07 23:59"/>
    <s v="新竹物流8179112491"/>
    <s v="2026-04-02 22:28"/>
    <m/>
    <s v="2026-04-14 00:14"/>
    <s v=""/>
    <m/>
    <s v="學習"/>
    <s v="蝦皮"/>
  </r>
  <r>
    <s v="260402RF0V08R7"/>
    <x v="0"/>
    <s v=""/>
    <s v=""/>
    <s v="a******s"/>
    <x v="1"/>
    <s v="2948.00"/>
    <s v="0.00"/>
    <s v="0.00"/>
    <s v="0.00"/>
    <s v="2948.00"/>
    <s v="0.00"/>
    <s v="0"/>
    <s v="0.00"/>
    <s v="BENE0450"/>
    <s v="50.00"/>
    <s v="0.00"/>
    <s v="0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3******"/>
    <s v="****"/>
    <s v="0928000888,67605665#1"/>
    <s v=""/>
    <s v="桃園市"/>
    <s v="龜山區"/>
    <s v="333"/>
    <s v="黃*揚"/>
    <s v="賣家宅配：大型/超重物品運送"/>
    <s v=""/>
    <s v=""/>
    <s v="信用卡"/>
    <s v="2026-04-07 23:59"/>
    <s v="新竹物流8179110520"/>
    <s v="2026-04-02 22:53"/>
    <m/>
    <s v="2026-04-24 11:40"/>
    <s v=""/>
    <m/>
    <s v="學習"/>
    <s v="蝦皮"/>
  </r>
  <r>
    <s v="260402RFFTSVDV"/>
    <x v="0"/>
    <s v=""/>
    <s v=""/>
    <s v="s******i"/>
    <x v="1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3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50******"/>
    <s v="****"/>
    <s v="0928000888,97108282#1"/>
    <s v=""/>
    <s v="彰化縣"/>
    <s v="彰化市"/>
    <s v="500"/>
    <s v="賴*竹"/>
    <s v="賣家宅配：大型/超重物品運送"/>
    <s v=""/>
    <s v=""/>
    <s v="信用卡分期付款"/>
    <s v="2026-04-07 23:59"/>
    <s v="新竹物流8179109945"/>
    <s v="2026-04-02 23:01"/>
    <m/>
    <s v="2026-04-09 17:08"/>
    <s v=""/>
    <m/>
    <s v="學習"/>
    <s v="蝦皮"/>
  </r>
  <r>
    <s v="260403RK3Y7HQY"/>
    <x v="0"/>
    <s v=""/>
    <s v=""/>
    <s v="z****1"/>
    <x v="2"/>
    <s v="779.00"/>
    <s v="0.00"/>
    <s v="0.00"/>
    <s v="0.00"/>
    <s v="779.00"/>
    <s v="0.00"/>
    <s v="0"/>
    <s v="0.00"/>
    <s v="BENE0420"/>
    <s v="20.00"/>
    <s v="0.00"/>
    <s v="0.00"/>
    <s v="68.00"/>
    <s v="33.00"/>
    <s v="19.00"/>
    <s v="0"/>
    <s v="2.50%"/>
    <s v=""/>
    <x v="13"/>
    <s v="28954290138"/>
    <s v="琪琪包"/>
    <s v="205213883926"/>
    <s v="28954290138_205213883926"/>
    <n v="799"/>
    <x v="13"/>
    <x v="14"/>
    <s v=""/>
    <n v="1"/>
    <s v="0"/>
    <s v="N"/>
    <s v="-"/>
    <s v="42******"/>
    <s v="****"/>
    <s v="0928000888,14370104#1"/>
    <s v=""/>
    <s v="臺中市"/>
    <s v="大雅區"/>
    <s v="428"/>
    <s v="郭*晴"/>
    <s v="賣家宅配：大型/超重物品運送"/>
    <s v=""/>
    <s v=""/>
    <s v="信用卡"/>
    <s v="2026-04-07 23:59"/>
    <s v="新竹物流8179112443"/>
    <s v="2026-04-03 00:06"/>
    <m/>
    <s v="2026-04-11 12:26"/>
    <s v=""/>
    <m/>
    <s v="生活周邊"/>
    <s v="蝦皮"/>
  </r>
  <r>
    <s v="260403RNSYGTW1"/>
    <x v="0"/>
    <s v=""/>
    <s v=""/>
    <s v="n******6"/>
    <x v="2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23615909#1"/>
    <s v=""/>
    <s v="高雄市"/>
    <s v="鼓山區"/>
    <s v="804"/>
    <s v="陳*萱"/>
    <s v="賣家宅配：大型/超重物品運送"/>
    <s v=""/>
    <s v=""/>
    <s v="信用卡"/>
    <s v="2026-04-07 23:59"/>
    <s v="新竹物流8179110310"/>
    <s v="2026-04-03 00:54"/>
    <m/>
    <s v="2026-04-09 23:00"/>
    <s v=""/>
    <m/>
    <s v="學習"/>
    <s v="蝦皮"/>
  </r>
  <r>
    <s v="260403SEQY3767"/>
    <x v="1"/>
    <s v="被買家取消，原因 : 修改訂單內容"/>
    <s v=""/>
    <s v="e******m"/>
    <x v="2"/>
    <s v="2329.00"/>
    <s v="0.00"/>
    <s v="0.00"/>
    <s v="0.00"/>
    <s v="0.00"/>
    <s v="0.00"/>
    <s v="0"/>
    <s v="0.00"/>
    <s v="TKBSELLER2604;BENE0420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0******"/>
    <s v="****"/>
    <s v=""/>
    <s v=""/>
    <s v="基隆市"/>
    <s v="七堵區"/>
    <s v="206"/>
    <s v="薛*榕"/>
    <s v="賣家宅配：大型/超重物品運送"/>
    <s v=""/>
    <s v=""/>
    <s v="信用卡"/>
    <s v="2026-04-07 23:59"/>
    <s v=""/>
    <s v="2026-04-03 08:21"/>
    <m/>
    <s v=""/>
    <s v=""/>
    <m/>
    <s v="學習"/>
    <s v="蝦皮"/>
  </r>
  <r>
    <s v="260403SMEAMJV9"/>
    <x v="1"/>
    <s v="被買家取消，原因 : 修改訂單內容"/>
    <s v=""/>
    <s v="n******f"/>
    <x v="2"/>
    <s v="2379.00"/>
    <s v="0.00"/>
    <s v="0.00"/>
    <s v="0.00"/>
    <s v="0.00"/>
    <s v="0.00"/>
    <s v="0"/>
    <s v="0.00"/>
    <s v="BENE0420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1******"/>
    <s v="****"/>
    <s v=""/>
    <s v=""/>
    <s v="臺中市"/>
    <s v="烏日區"/>
    <s v="414"/>
    <s v="李*螢"/>
    <s v="賣家宅配：大型/超重物品運送"/>
    <s v=""/>
    <s v=""/>
    <s v="信用卡"/>
    <s v="2026-04-07 23:59"/>
    <s v=""/>
    <s v="2026-04-03 10:03"/>
    <m/>
    <s v=""/>
    <s v=""/>
    <m/>
    <s v="學習"/>
    <s v="蝦皮"/>
  </r>
  <r>
    <s v="260403SPKAEHU5"/>
    <x v="0"/>
    <s v=""/>
    <s v=""/>
    <s v="l*****n"/>
    <x v="2"/>
    <s v="598.00"/>
    <s v="0.00"/>
    <s v="0.00"/>
    <s v="0.00"/>
    <s v="598.00"/>
    <s v="0.00"/>
    <s v="0"/>
    <s v="0.00"/>
    <s v=""/>
    <s v="0.00"/>
    <s v="0.00"/>
    <s v="0.00"/>
    <s v="51.00"/>
    <s v="28.00"/>
    <s v="15.00"/>
    <s v="0"/>
    <s v="2.50%"/>
    <s v=""/>
    <x v="7"/>
    <s v="28157944827"/>
    <s v="無繪本"/>
    <s v="276894603061"/>
    <s v="28157944827_276894603061"/>
    <n v="399"/>
    <x v="6"/>
    <x v="6"/>
    <s v="20250FXAM"/>
    <n v="2"/>
    <s v="0"/>
    <s v="N"/>
    <s v="-"/>
    <s v="24******"/>
    <s v="****"/>
    <s v="0928000888,07305409#1"/>
    <s v=""/>
    <s v="新北市"/>
    <s v="林口區"/>
    <s v="244"/>
    <s v="連*君"/>
    <s v="賣家宅配：大型/超重物品運送"/>
    <s v=""/>
    <s v=""/>
    <s v="信用卡"/>
    <s v="2026-04-07 23:59"/>
    <s v="新竹物流8179112432"/>
    <s v="2026-04-03 10:41"/>
    <m/>
    <s v="2026-04-09 00:23"/>
    <s v=""/>
    <m/>
    <s v="學習周邊"/>
    <s v="蝦皮"/>
  </r>
  <r>
    <s v="260403STR05DHH"/>
    <x v="1"/>
    <s v="被買家取消，原因 : 修改訂單內容"/>
    <s v=""/>
    <s v="r******8"/>
    <x v="2"/>
    <s v="2166.00"/>
    <s v="0.00"/>
    <s v="0.00"/>
    <s v="0.00"/>
    <s v="0.00"/>
    <s v="0.00"/>
    <s v="213"/>
    <s v="0.00"/>
    <s v="BENE0420;HCTZYUTNG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"/>
    <s v=""/>
    <s v="新竹縣"/>
    <s v="新豐鄉"/>
    <s v="304"/>
    <s v="戴*尚"/>
    <s v="賣家宅配：大型/超重物品運送"/>
    <s v=""/>
    <s v=""/>
    <s v="信用卡"/>
    <s v="2026-04-07 23:59"/>
    <s v=""/>
    <s v="2026-04-03 11:55"/>
    <m/>
    <s v=""/>
    <s v=""/>
    <m/>
    <s v="學習"/>
    <s v="蝦皮"/>
  </r>
  <r>
    <s v="260403SUUSGBAA"/>
    <x v="0"/>
    <s v=""/>
    <s v=""/>
    <s v="n******f"/>
    <x v="2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1******"/>
    <s v="****"/>
    <s v="0928000888,71109401#1"/>
    <s v=""/>
    <s v="臺中市"/>
    <s v="烏日區"/>
    <s v="414"/>
    <s v="李*螢"/>
    <s v="賣家宅配：大型/超重物品運送"/>
    <s v=""/>
    <s v=""/>
    <s v="信用卡"/>
    <s v="2026-04-07 23:59"/>
    <s v="新竹物流8179110321"/>
    <s v="2026-04-03 12:15"/>
    <m/>
    <s v="2026-04-14 13:22"/>
    <s v=""/>
    <m/>
    <s v="學習"/>
    <s v="蝦皮"/>
  </r>
  <r>
    <s v="260403T2BJKJ20"/>
    <x v="0"/>
    <s v=""/>
    <s v="已同意申請"/>
    <s v="y******5"/>
    <x v="2"/>
    <s v="3150.00"/>
    <s v="0.00"/>
    <s v="0.00"/>
    <s v="0.00"/>
    <s v="0.00"/>
    <s v="0.00"/>
    <s v="0"/>
    <s v="0.00"/>
    <s v="BENE0450;KAR6AEA4K"/>
    <s v="0.00"/>
    <s v="0.00"/>
    <s v="0.00"/>
    <s v="0.00"/>
    <s v="0.00"/>
    <s v="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1"/>
    <s v="N"/>
    <s v="-"/>
    <s v="41******"/>
    <s v="****"/>
    <s v="0928000888,18961730#1"/>
    <s v=""/>
    <s v="臺中市"/>
    <s v="霧峰區"/>
    <s v="413"/>
    <s v="王*甯"/>
    <s v="賣家宅配：大型/超重物品運送"/>
    <s v=""/>
    <s v=""/>
    <s v="信用卡"/>
    <s v="2026-04-07 23:59"/>
    <s v="新竹物流8179110181"/>
    <s v="2026-04-03 14:12"/>
    <m/>
    <s v="2026-04-16 00:36"/>
    <s v=""/>
    <m/>
    <s v="學習"/>
    <s v="蝦皮"/>
  </r>
  <r>
    <s v="260403T6DFMWJ9"/>
    <x v="0"/>
    <s v=""/>
    <s v=""/>
    <s v="f******n"/>
    <x v="2"/>
    <s v="2498.00"/>
    <s v="0.00"/>
    <s v="0.00"/>
    <s v="0.00"/>
    <s v="2498.00"/>
    <s v="0.00"/>
    <s v="0"/>
    <s v="0.00"/>
    <s v="MSV2604E;KAR6AEA4K"/>
    <s v="100.00"/>
    <s v="0.00"/>
    <s v="0.00"/>
    <s v="212.00"/>
    <s v="85.00"/>
    <s v="62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2******"/>
    <s v="****"/>
    <s v="0928000888,61108397#1"/>
    <s v=""/>
    <s v="新北市"/>
    <s v="板橋區"/>
    <s v="220"/>
    <s v="張*芬"/>
    <s v="賣家宅配：大型/超重物品運送"/>
    <s v=""/>
    <s v=""/>
    <s v="信用卡"/>
    <s v="2026-04-07 23:59"/>
    <s v="新竹物流8179109956"/>
    <s v="2026-04-03 15:24"/>
    <m/>
    <s v="2026-04-09 11:03"/>
    <s v=""/>
    <m/>
    <s v="學習"/>
    <s v="蝦皮"/>
  </r>
  <r>
    <s v="260403T70PPT63"/>
    <x v="0"/>
    <s v=""/>
    <s v=""/>
    <s v="j******1"/>
    <x v="2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28411823#1"/>
    <s v=""/>
    <s v="臺中市"/>
    <s v="南區"/>
    <s v="402"/>
    <s v="黃*博"/>
    <s v="賣家宅配：大型/超重物品運送"/>
    <s v=""/>
    <s v=""/>
    <s v="信用卡"/>
    <s v="2026-04-07 23:59"/>
    <s v="新竹物流8179110332"/>
    <s v="2026-04-03 15:35"/>
    <m/>
    <s v="2026-04-22 11:38"/>
    <s v=""/>
    <m/>
    <s v="學習"/>
    <s v="蝦皮"/>
  </r>
  <r>
    <s v="260403T8YVHSBQ"/>
    <x v="0"/>
    <s v=""/>
    <s v=""/>
    <s v="b******0"/>
    <x v="2"/>
    <s v="3947.00"/>
    <s v="0.00"/>
    <s v="0.00"/>
    <s v="0.00"/>
    <s v="3947.00"/>
    <s v="0.00"/>
    <s v="0"/>
    <s v="0.00"/>
    <s v="BENE0450;KAR6AEA4K"/>
    <s v="50.00"/>
    <s v="0.00"/>
    <s v="0.00"/>
    <s v="335.00"/>
    <s v="128.00"/>
    <s v="99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43******"/>
    <s v="****"/>
    <s v="0928000888,74392688#1"/>
    <s v=""/>
    <s v="臺中市"/>
    <s v="大肚區"/>
    <s v="432"/>
    <s v="陳*安"/>
    <s v="賣家宅配：大型/超重物品運送"/>
    <s v=""/>
    <s v=""/>
    <s v="信用卡"/>
    <s v="2026-04-07 23:59"/>
    <s v="新竹物流8179112583"/>
    <s v="2026-04-03 16:11"/>
    <m/>
    <s v="2026-04-15 00:58"/>
    <s v=""/>
    <m/>
    <s v="學習周邊"/>
    <s v="蝦皮"/>
  </r>
  <r>
    <s v="260403T8YVHSBQ"/>
    <x v="0"/>
    <s v=""/>
    <s v=""/>
    <s v="b******0"/>
    <x v="2"/>
    <s v="3947.00"/>
    <s v="0.00"/>
    <s v="0.00"/>
    <s v="0.00"/>
    <s v="3947.00"/>
    <s v="0.00"/>
    <s v="0"/>
    <s v="0.00"/>
    <s v="BENE0450;KAR6AEA4K"/>
    <s v="50.00"/>
    <s v="0.00"/>
    <s v="0.00"/>
    <s v="335.00"/>
    <s v="128.00"/>
    <s v="99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3******"/>
    <s v="****"/>
    <s v="0928000888,74392688#1"/>
    <s v=""/>
    <s v="臺中市"/>
    <s v="大肚區"/>
    <s v="432"/>
    <s v="陳*安"/>
    <s v="賣家宅配：大型/超重物品運送"/>
    <s v=""/>
    <s v=""/>
    <s v="信用卡"/>
    <s v="2026-04-07 23:59"/>
    <s v="新竹物流8179112583"/>
    <s v="2026-04-03 16:11"/>
    <m/>
    <s v="2026-04-15 00:58"/>
    <s v=""/>
    <m/>
    <s v="學習"/>
    <s v="蝦皮"/>
  </r>
  <r>
    <s v="260403TCX0G898"/>
    <x v="1"/>
    <s v="被買家取消，原因 : 修改訂單內容"/>
    <s v=""/>
    <s v="h******2"/>
    <x v="2"/>
    <s v="2528.00"/>
    <s v="0.00"/>
    <s v="0.00"/>
    <s v="0.00"/>
    <s v="0.00"/>
    <s v="0.00"/>
    <s v="0"/>
    <s v="0.00"/>
    <s v="TKBSELLER2604;BENE0420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0******"/>
    <s v="****"/>
    <s v=""/>
    <s v=""/>
    <s v="新竹市"/>
    <s v="東區"/>
    <s v="300"/>
    <s v="謝*宣"/>
    <s v="賣家宅配：大型/超重物品運送"/>
    <s v=""/>
    <s v=""/>
    <s v="信用卡"/>
    <s v="2026-04-07 23:59"/>
    <s v=""/>
    <s v="2026-04-03 17:21"/>
    <m/>
    <s v=""/>
    <s v=""/>
    <m/>
    <s v="學習"/>
    <s v="蝦皮"/>
  </r>
  <r>
    <s v="260403TGE9Y0T1"/>
    <x v="0"/>
    <s v=""/>
    <s v=""/>
    <s v="v******4"/>
    <x v="2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63******"/>
    <s v="****"/>
    <s v="0928000888,04138280#1"/>
    <s v=""/>
    <s v="雲林縣"/>
    <s v="斗南鎮"/>
    <s v="630"/>
    <s v="張*評"/>
    <s v="賣家宅配：大型/超重物品運送"/>
    <s v=""/>
    <s v=""/>
    <s v="信用卡"/>
    <s v="2026-04-07 23:59"/>
    <s v="新竹物流8179109960"/>
    <s v="2026-04-03 18:24"/>
    <m/>
    <s v="2026-04-28 11:26"/>
    <s v=""/>
    <m/>
    <s v="學習"/>
    <s v="蝦皮"/>
  </r>
  <r>
    <s v="260403TQPD5D5M"/>
    <x v="0"/>
    <s v=""/>
    <s v=""/>
    <s v="d******0"/>
    <x v="2"/>
    <s v="3347.00"/>
    <s v="0.00"/>
    <s v="0.00"/>
    <s v="0.00"/>
    <s v="3347.00"/>
    <s v="0.00"/>
    <s v="0"/>
    <s v="0.00"/>
    <s v="BENE0450"/>
    <s v="50.00"/>
    <s v="0.00"/>
    <s v="0.00"/>
    <s v="284.00"/>
    <s v="110.00"/>
    <s v="84.00"/>
    <s v="0"/>
    <s v="2.50%"/>
    <s v=""/>
    <x v="15"/>
    <s v="26004461505"/>
    <s v=""/>
    <s v="222957909377"/>
    <s v="26004461505_222957909377"/>
    <n v="690"/>
    <x v="8"/>
    <x v="16"/>
    <s v="20230H008"/>
    <n v="1"/>
    <s v="0"/>
    <s v="N"/>
    <s v="-"/>
    <s v="32******"/>
    <s v="****"/>
    <s v="0928000888,67852956#1"/>
    <s v=""/>
    <s v="桃園市"/>
    <s v="平鎮區"/>
    <s v="324"/>
    <s v="黃*耘"/>
    <s v="賣家宅配：大型/超重物品運送"/>
    <s v=""/>
    <s v=""/>
    <s v="信用卡"/>
    <s v="2026-04-07 23:59"/>
    <s v="新竹物流8179112561"/>
    <s v="2026-04-03 20:33"/>
    <m/>
    <s v="2026-04-09 08:29"/>
    <s v=""/>
    <m/>
    <s v="生活周邊"/>
    <s v="蝦皮"/>
  </r>
  <r>
    <s v="260403TQPD5D5M"/>
    <x v="0"/>
    <s v=""/>
    <s v=""/>
    <s v="d******0"/>
    <x v="2"/>
    <s v="3347.00"/>
    <s v="0.00"/>
    <s v="0.00"/>
    <s v="0.00"/>
    <s v="3347.00"/>
    <s v="0.00"/>
    <s v="0"/>
    <s v="0.00"/>
    <s v="BENE0450"/>
    <s v="50.00"/>
    <s v="0.00"/>
    <s v="0.00"/>
    <s v="284.00"/>
    <s v="110.00"/>
    <s v="84.00"/>
    <s v="0"/>
    <s v="2.50%"/>
    <s v=""/>
    <x v="0"/>
    <s v="55104898742"/>
    <s v="(加購)白沙屯媽祖祈福禮盒 $399"/>
    <s v="370543746468"/>
    <s v="55104898742_370543746468"/>
    <n v="3800"/>
    <x v="15"/>
    <x v="17"/>
    <s v="20250FXBT"/>
    <n v="1"/>
    <s v="0"/>
    <s v="N"/>
    <s v="-"/>
    <s v="32******"/>
    <s v="****"/>
    <s v="0928000888,67852956#1"/>
    <s v=""/>
    <s v="桃園市"/>
    <s v="平鎮區"/>
    <s v="324"/>
    <s v="黃*耘"/>
    <s v="賣家宅配：大型/超重物品運送"/>
    <s v=""/>
    <s v=""/>
    <s v="信用卡"/>
    <s v="2026-04-07 23:59"/>
    <s v="新竹物流8179112561"/>
    <s v="2026-04-03 20:33"/>
    <m/>
    <s v="2026-04-09 08:29"/>
    <s v=""/>
    <m/>
    <s v="學習"/>
    <s v="蝦皮"/>
  </r>
  <r>
    <s v="260403TS1RQS62"/>
    <x v="0"/>
    <s v=""/>
    <s v=""/>
    <s v="e******n"/>
    <x v="2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3******"/>
    <s v="****"/>
    <s v="0928000888,38373805#1"/>
    <s v=""/>
    <s v="高雄市"/>
    <s v="鳳山區"/>
    <s v="830"/>
    <s v="路*凡"/>
    <s v="賣家宅配：大型/超重物品運送"/>
    <s v=""/>
    <s v=""/>
    <s v="信用卡"/>
    <s v="2026-04-07 23:59"/>
    <s v="新竹物流8179110343"/>
    <s v="2026-04-03 20:58"/>
    <m/>
    <s v="2026-04-08 19:44"/>
    <s v=""/>
    <m/>
    <s v="學習"/>
    <s v="蝦皮"/>
  </r>
  <r>
    <s v="260403TXWNPHB8"/>
    <x v="0"/>
    <s v=""/>
    <s v=""/>
    <s v="r******1"/>
    <x v="2"/>
    <s v="298.00"/>
    <s v="100.00"/>
    <s v="0.00"/>
    <s v="0.00"/>
    <s v="398.00"/>
    <s v="0.00"/>
    <s v="1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81******"/>
    <s v="****"/>
    <s v="0928000888,26663286#1"/>
    <s v=""/>
    <s v="高雄市"/>
    <s v="楠梓區"/>
    <s v="811"/>
    <s v="宋*瑄"/>
    <s v="賣家宅配：大型/超重物品運送"/>
    <s v=""/>
    <s v=""/>
    <s v="信用卡"/>
    <s v="2026-04-07 23:59"/>
    <s v="新竹物流8179110844"/>
    <s v="2026-04-03 22:43"/>
    <m/>
    <s v="2026-04-09 22:30"/>
    <s v=""/>
    <m/>
    <s v="學習周邊"/>
    <s v="蝦皮"/>
  </r>
  <r>
    <s v="260403TXY5A03W"/>
    <x v="0"/>
    <s v=""/>
    <s v=""/>
    <s v="h******2"/>
    <x v="2"/>
    <s v="2948.00"/>
    <s v="0.00"/>
    <s v="0.00"/>
    <s v="0.00"/>
    <s v="2948.00"/>
    <s v="0.00"/>
    <s v="0"/>
    <s v="0.00"/>
    <s v="BENE0450"/>
    <s v="50.00"/>
    <s v="0.00"/>
    <s v="0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0******"/>
    <s v="****"/>
    <s v="0928000888,53792743#1"/>
    <s v=""/>
    <s v="臺中市"/>
    <s v="南屯區"/>
    <s v="408"/>
    <s v="盧*靜"/>
    <s v="賣家宅配：大型/超重物品運送"/>
    <s v=""/>
    <s v=""/>
    <s v="信用卡"/>
    <s v="2026-04-07 23:59"/>
    <s v="新竹物流8179110531"/>
    <s v="2026-04-03 22:44"/>
    <m/>
    <s v="2026-04-09 21:14"/>
    <s v=""/>
    <m/>
    <s v="學習"/>
    <s v="蝦皮"/>
  </r>
  <r>
    <s v="260404U3DVEU1Y"/>
    <x v="0"/>
    <s v=""/>
    <s v=""/>
    <s v="l******2"/>
    <x v="3"/>
    <s v="2713.00"/>
    <s v="0.00"/>
    <s v="0.00"/>
    <s v="0.00"/>
    <s v="2713.00"/>
    <s v="0.00"/>
    <s v="0"/>
    <s v="0.00"/>
    <s v="SVC-1387450702266368;ZEHAR8MX3"/>
    <s v="50.00"/>
    <s v="0.00"/>
    <s v="236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3******"/>
    <s v="****"/>
    <s v="0928000888,59787918#1"/>
    <s v=""/>
    <s v="新北市"/>
    <s v="樹林區"/>
    <s v="238"/>
    <s v="黃*芬"/>
    <s v="賣家宅配：大型/超重物品運送"/>
    <s v=""/>
    <s v=""/>
    <s v="信用卡"/>
    <s v="2026-04-07 23:59"/>
    <s v="新竹物流8179112535"/>
    <s v="2026-04-04 00:03"/>
    <m/>
    <s v="2026-04-09 10:48"/>
    <s v=""/>
    <m/>
    <s v="學習"/>
    <s v="蝦皮"/>
  </r>
  <r>
    <s v="260404U3E7WP8Q"/>
    <x v="0"/>
    <s v=""/>
    <s v=""/>
    <s v="j******2"/>
    <x v="3"/>
    <s v="12247.00"/>
    <s v="0.00"/>
    <s v="0.00"/>
    <s v="0.00"/>
    <s v="12247.00"/>
    <s v="0.00"/>
    <s v="0"/>
    <s v="0.00"/>
    <s v="SVC-1387450702266368;KY3MDCHPP"/>
    <s v="50.00"/>
    <s v="0.00"/>
    <s v="0.00"/>
    <s v="1041.00"/>
    <s v="377.00"/>
    <s v="306.00"/>
    <s v="0"/>
    <s v="2.50%"/>
    <s v=""/>
    <x v="16"/>
    <s v="29710271443"/>
    <s v="(加購)專心吃飯立體書套組"/>
    <s v="301830926959"/>
    <s v="29710271443_301830926959"/>
    <n v="6199"/>
    <x v="16"/>
    <x v="18"/>
    <s v="20250FXAJ"/>
    <n v="1"/>
    <s v="0"/>
    <s v="N"/>
    <s v="-"/>
    <s v="24******"/>
    <s v="****"/>
    <s v="0928000888,55822633#1"/>
    <s v=""/>
    <s v="新北市"/>
    <s v="新莊區"/>
    <s v="242"/>
    <s v="周*群"/>
    <s v="賣家宅配：大型/超重物品運送"/>
    <s v=""/>
    <s v=""/>
    <s v="信用卡"/>
    <s v="2026-04-07 23:59"/>
    <s v="新竹物流8179112594"/>
    <s v="2026-04-04 00:05"/>
    <m/>
    <s v="2026-04-28 17:32"/>
    <s v=""/>
    <m/>
    <s v="學習"/>
    <s v="蝦皮"/>
  </r>
  <r>
    <s v="260404U3E7WP8Q"/>
    <x v="0"/>
    <s v=""/>
    <s v=""/>
    <s v="j******2"/>
    <x v="3"/>
    <s v="12247.00"/>
    <s v="0.00"/>
    <s v="0.00"/>
    <s v="0.00"/>
    <s v="12247.00"/>
    <s v="0.00"/>
    <s v="0"/>
    <s v="0.00"/>
    <s v="SVC-1387450702266368;KY3MDCHPP"/>
    <s v="50.00"/>
    <s v="0.00"/>
    <s v="0.00"/>
    <s v="1041.00"/>
    <s v="377.00"/>
    <s v="306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24******"/>
    <s v="****"/>
    <s v="0928000888,55822633#1"/>
    <s v=""/>
    <s v="新北市"/>
    <s v="新莊區"/>
    <s v="242"/>
    <s v="周*群"/>
    <s v="賣家宅配：大型/超重物品運送"/>
    <s v=""/>
    <s v=""/>
    <s v="信用卡"/>
    <s v="2026-04-07 23:59"/>
    <s v="新竹物流8179112594"/>
    <s v="2026-04-04 00:05"/>
    <m/>
    <s v="2026-04-28 17:32"/>
    <s v=""/>
    <m/>
    <s v="學習"/>
    <s v="蝦皮"/>
  </r>
  <r>
    <s v="260404U3E7WP8Q"/>
    <x v="0"/>
    <s v=""/>
    <s v=""/>
    <s v="j******2"/>
    <x v="3"/>
    <s v="12247.00"/>
    <s v="0.00"/>
    <s v="0.00"/>
    <s v="0.00"/>
    <s v="12247.00"/>
    <s v="0.00"/>
    <s v="0"/>
    <s v="0.00"/>
    <s v="SVC-1387450702266368;KY3MDCHPP"/>
    <s v="50.00"/>
    <s v="0.00"/>
    <s v="0.00"/>
    <s v="1041.00"/>
    <s v="377.00"/>
    <s v="306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55822633#1"/>
    <s v=""/>
    <s v="新北市"/>
    <s v="新莊區"/>
    <s v="242"/>
    <s v="周*群"/>
    <s v="賣家宅配：大型/超重物品運送"/>
    <s v=""/>
    <s v=""/>
    <s v="信用卡"/>
    <s v="2026-04-07 23:59"/>
    <s v="新竹物流8179112594"/>
    <s v="2026-04-04 00:05"/>
    <m/>
    <s v="2026-04-28 17:32"/>
    <s v=""/>
    <m/>
    <s v="學習"/>
    <s v="蝦皮"/>
  </r>
  <r>
    <s v="260404U3G6TS6C"/>
    <x v="0"/>
    <s v=""/>
    <s v=""/>
    <s v="j******g"/>
    <x v="3"/>
    <s v="2609.00"/>
    <s v="0.00"/>
    <s v="0.00"/>
    <s v="0.00"/>
    <s v="2609.00"/>
    <s v="0.00"/>
    <s v="104"/>
    <s v="0.00"/>
    <s v="SVC-1387450702266368;ZEHAR8MX3"/>
    <s v="50.00"/>
    <s v="0.00"/>
    <s v="236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50******"/>
    <s v="****"/>
    <s v="0928000888,20642529#1"/>
    <s v=""/>
    <s v="彰化縣"/>
    <s v="彰化市"/>
    <s v="500"/>
    <s v="張*鳴"/>
    <s v="賣家宅配：大型/超重物品運送"/>
    <s v=""/>
    <s v=""/>
    <s v="信用卡"/>
    <s v="2026-04-07 23:59"/>
    <s v="新竹物流8179112524"/>
    <s v="2026-04-04 00:05"/>
    <m/>
    <s v="2026-04-09 02:05"/>
    <s v=""/>
    <m/>
    <s v="學習"/>
    <s v="蝦皮"/>
  </r>
  <r>
    <s v="260404U3GJ95HC"/>
    <x v="0"/>
    <s v=""/>
    <s v=""/>
    <s v="c******3"/>
    <x v="3"/>
    <s v="498.00"/>
    <s v="0.00"/>
    <s v="0.00"/>
    <s v="0.00"/>
    <s v="498.00"/>
    <s v="0.00"/>
    <s v="0"/>
    <s v="0.00"/>
    <s v="EHUWPT6ZY"/>
    <s v="0.00"/>
    <s v="0.00"/>
    <s v="100.00"/>
    <s v="51.00"/>
    <s v="28.00"/>
    <s v="15.00"/>
    <s v="0"/>
    <s v="2.50%"/>
    <s v=""/>
    <x v="7"/>
    <s v="28157944827"/>
    <s v="無繪本"/>
    <s v="276894603061"/>
    <s v="28157944827_276894603061"/>
    <n v="399"/>
    <x v="6"/>
    <x v="6"/>
    <s v="20250FXAM"/>
    <n v="2"/>
    <s v="0"/>
    <s v="N"/>
    <s v="-"/>
    <s v="52******"/>
    <s v="****"/>
    <s v="0928000888,11766155#1"/>
    <s v=""/>
    <s v="彰化縣"/>
    <s v="二林鎮"/>
    <s v="526"/>
    <s v="黃*媛"/>
    <s v="賣家宅配：大型/超重物品運送"/>
    <s v=""/>
    <s v=""/>
    <s v="信用卡"/>
    <s v="2026-04-07 23:59"/>
    <s v="新竹物流8179112410"/>
    <s v="2026-04-04 00:05"/>
    <m/>
    <s v="2026-04-13 11:44"/>
    <s v=""/>
    <m/>
    <s v="學習周邊"/>
    <s v="蝦皮"/>
  </r>
  <r>
    <s v="260404U3GSY2FS"/>
    <x v="0"/>
    <s v=""/>
    <s v=""/>
    <s v="s******1"/>
    <x v="3"/>
    <s v="2248.00"/>
    <s v="0.00"/>
    <s v="0.00"/>
    <s v="0.00"/>
    <s v="2248.00"/>
    <s v="0.00"/>
    <s v="0"/>
    <s v="0.00"/>
    <s v="SVC-1387450702266368;TKB260404"/>
    <s v="50.00"/>
    <s v="0.00"/>
    <s v="300.00"/>
    <s v="217.00"/>
    <s v="86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01430240#1"/>
    <s v=""/>
    <s v="新北市"/>
    <s v="樹林區"/>
    <s v="238"/>
    <s v="吳*珊"/>
    <s v="賣家宅配：大型/超重物品運送"/>
    <s v=""/>
    <s v=""/>
    <s v="信用卡"/>
    <s v="2026-04-07 23:59"/>
    <s v="新竹物流8179110015"/>
    <s v="2026-04-04 00:05"/>
    <m/>
    <s v="2026-04-08 12:49"/>
    <s v=""/>
    <m/>
    <s v="學習"/>
    <s v="蝦皮"/>
  </r>
  <r>
    <s v="260404U3HX53W0"/>
    <x v="0"/>
    <s v=""/>
    <s v=""/>
    <s v="m******u"/>
    <x v="3"/>
    <s v="2713.00"/>
    <s v="0.00"/>
    <s v="0.00"/>
    <s v="0.00"/>
    <s v="2713.00"/>
    <s v="0.00"/>
    <s v="0"/>
    <s v="0.00"/>
    <s v="SVC-1387450702266368;ZEHAR8MX3"/>
    <s v="50.00"/>
    <s v="0.00"/>
    <s v="236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2******"/>
    <s v="****"/>
    <s v="0928000888,85870752#1"/>
    <s v=""/>
    <s v="新北市"/>
    <s v="板橋區"/>
    <s v="220"/>
    <s v="黃*汝"/>
    <s v="賣家宅配：大型/超重物品運送"/>
    <s v=""/>
    <s v=""/>
    <s v="信用卡"/>
    <s v="2026-04-07 23:59"/>
    <s v="新竹物流8179112012"/>
    <s v="2026-04-04 00:09"/>
    <m/>
    <s v="2026-04-18 01:50"/>
    <s v=""/>
    <m/>
    <s v="學習"/>
    <s v="蝦皮"/>
  </r>
  <r>
    <s v="260404U3M9GFXP"/>
    <x v="1"/>
    <s v="被買家取消，原因 : 修改訂單內容"/>
    <s v=""/>
    <s v="j******1"/>
    <x v="3"/>
    <s v="6161.00"/>
    <s v="0.00"/>
    <s v="0.00"/>
    <s v="0.00"/>
    <s v="0.00"/>
    <s v="0.00"/>
    <s v="95"/>
    <s v="0.00"/>
    <s v="SVC-1387450702266368;ZEHAR8MX3"/>
    <s v="0.00"/>
    <s v="0.00"/>
    <s v="0.00"/>
    <s v="0.00"/>
    <s v="0.00"/>
    <s v="0.00"/>
    <s v="0"/>
    <s v="2.50%"/>
    <s v=""/>
    <x v="17"/>
    <s v="27630789688"/>
    <s v=""/>
    <s v="99141399810"/>
    <s v="27630789688_99141399810"/>
    <n v="600"/>
    <x v="18"/>
    <x v="19"/>
    <s v="20235C603"/>
    <n v="1"/>
    <s v="0"/>
    <s v="N"/>
    <s v="-"/>
    <s v="35******"/>
    <s v="****"/>
    <s v=""/>
    <s v=""/>
    <s v="苗栗縣"/>
    <s v="頭份市"/>
    <s v="351"/>
    <s v="謝*誼"/>
    <s v="賣家宅配：大型/超重物品運送"/>
    <s v=""/>
    <s v=""/>
    <s v="信用卡"/>
    <s v="2026-04-07 23:59"/>
    <s v=""/>
    <s v="2026-04-04 00:07"/>
    <m/>
    <s v=""/>
    <s v=""/>
    <m/>
    <s v="學習周邊"/>
    <s v="蝦皮"/>
  </r>
  <r>
    <s v="260404U3M9GFXP"/>
    <x v="1"/>
    <s v="被買家取消，原因 : 修改訂單內容"/>
    <s v=""/>
    <s v="j******1"/>
    <x v="3"/>
    <s v="6161.00"/>
    <s v="0.00"/>
    <s v="0.00"/>
    <s v="0.00"/>
    <s v="0.00"/>
    <s v="0.00"/>
    <s v="95"/>
    <s v="0.00"/>
    <s v="SVC-1387450702266368;ZEHAR8MX3"/>
    <s v="0.00"/>
    <s v="0.00"/>
    <s v="0.00"/>
    <s v="0.00"/>
    <s v="0.00"/>
    <s v="0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35******"/>
    <s v="****"/>
    <s v=""/>
    <s v=""/>
    <s v="苗栗縣"/>
    <s v="頭份市"/>
    <s v="351"/>
    <s v="謝*誼"/>
    <s v="賣家宅配：大型/超重物品運送"/>
    <s v=""/>
    <s v=""/>
    <s v="信用卡"/>
    <s v="2026-04-07 23:59"/>
    <s v=""/>
    <s v="2026-04-04 00:07"/>
    <m/>
    <s v=""/>
    <s v=""/>
    <m/>
    <s v="學習"/>
    <s v="蝦皮"/>
  </r>
  <r>
    <s v="260404U3M9GFXP"/>
    <x v="1"/>
    <s v="被買家取消，原因 : 修改訂單內容"/>
    <s v=""/>
    <s v="j******1"/>
    <x v="3"/>
    <s v="6161.00"/>
    <s v="0.00"/>
    <s v="0.00"/>
    <s v="0.00"/>
    <s v="0.00"/>
    <s v="0.00"/>
    <s v="95"/>
    <s v="0.00"/>
    <s v="SVC-1387450702266368;ZEHAR8MX3"/>
    <s v="0.00"/>
    <s v="0.00"/>
    <s v="0.00"/>
    <s v="0.00"/>
    <s v="0.00"/>
    <s v="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5******"/>
    <s v="****"/>
    <s v=""/>
    <s v=""/>
    <s v="苗栗縣"/>
    <s v="頭份市"/>
    <s v="351"/>
    <s v="謝*誼"/>
    <s v="賣家宅配：大型/超重物品運送"/>
    <s v=""/>
    <s v=""/>
    <s v="信用卡"/>
    <s v="2026-04-07 23:59"/>
    <s v=""/>
    <s v="2026-04-04 00:07"/>
    <m/>
    <s v=""/>
    <s v=""/>
    <m/>
    <s v="學習"/>
    <s v="蝦皮"/>
  </r>
  <r>
    <s v="260404U3MSQHFP"/>
    <x v="0"/>
    <s v=""/>
    <s v=""/>
    <s v="y******3"/>
    <x v="3"/>
    <s v="2349.00"/>
    <s v="0.00"/>
    <s v="0.00"/>
    <s v="0.00"/>
    <s v="2349.00"/>
    <s v="0.00"/>
    <s v="0"/>
    <s v="0.00"/>
    <s v="SVC-1387450702266368;KY3MDCHPP"/>
    <s v="50.00"/>
    <s v="0.00"/>
    <s v="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78937605#1"/>
    <s v=""/>
    <s v="新竹市"/>
    <s v="東區"/>
    <s v="300"/>
    <s v="蔡*諺"/>
    <s v="賣家宅配：大型/超重物品運送"/>
    <s v=""/>
    <s v=""/>
    <s v="信用卡"/>
    <s v="2026-04-07 23:59"/>
    <s v="新竹物流8179110354"/>
    <s v="2026-04-04 00:07"/>
    <m/>
    <s v="2026-04-12 16:54"/>
    <s v=""/>
    <m/>
    <s v="學習"/>
    <s v="蝦皮"/>
  </r>
  <r>
    <s v="260404U3NMDQF4"/>
    <x v="0"/>
    <s v=""/>
    <s v=""/>
    <s v="a******0"/>
    <x v="3"/>
    <s v="2966.00"/>
    <s v="0.00"/>
    <s v="0.00"/>
    <s v="0.00"/>
    <s v="2966.00"/>
    <s v="0.00"/>
    <s v="184"/>
    <s v="0.00"/>
    <s v="KY3MDCHPP;BENE0450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48423863#1"/>
    <s v=""/>
    <s v="新竹市"/>
    <s v="北區"/>
    <s v="300"/>
    <s v="丁*桓"/>
    <s v="賣家宅配：大型/超重物品運送"/>
    <s v=""/>
    <s v=""/>
    <s v="信用卡"/>
    <s v="2026-04-07 23:59"/>
    <s v="新竹物流8179110225"/>
    <s v="2026-04-04 00:08"/>
    <m/>
    <s v="2026-04-28 12:27"/>
    <s v=""/>
    <m/>
    <s v="學習"/>
    <s v="蝦皮"/>
  </r>
  <r>
    <s v="260404U3TV9ERP"/>
    <x v="0"/>
    <s v=""/>
    <s v=""/>
    <s v="m******9"/>
    <x v="3"/>
    <s v="2149.00"/>
    <s v="0.00"/>
    <s v="0.00"/>
    <s v="0.00"/>
    <s v="2149.00"/>
    <s v="0.00"/>
    <s v="0"/>
    <s v="0.00"/>
    <s v="SVC-1387450702266368;KAR6AEA4K"/>
    <s v="50.00"/>
    <s v="0.00"/>
    <s v="0.00"/>
    <s v="183.00"/>
    <s v="74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24******"/>
    <s v="****"/>
    <s v="0928000888,68660310#1"/>
    <s v=""/>
    <s v="新北市"/>
    <s v="蘆洲區"/>
    <s v="247"/>
    <s v="吳*怡"/>
    <s v="賣家宅配：大型/超重物品運送"/>
    <s v=""/>
    <s v=""/>
    <s v="信用卡"/>
    <s v="2026-04-07 23:59"/>
    <s v="新竹物流8179111990"/>
    <s v="2026-04-04 00:11"/>
    <m/>
    <s v="2026-04-14 01:35"/>
    <s v=""/>
    <m/>
    <s v="學習"/>
    <s v="蝦皮"/>
  </r>
  <r>
    <s v="260404U3WJ56Y4"/>
    <x v="0"/>
    <s v=""/>
    <s v=""/>
    <s v="m******o"/>
    <x v="3"/>
    <s v="2149.00"/>
    <s v="0.00"/>
    <s v="0.00"/>
    <s v="0.00"/>
    <s v="2149.00"/>
    <s v="0.00"/>
    <s v="0"/>
    <s v="0.00"/>
    <s v="SVC-1387450702266368;NYX2PMJ6H"/>
    <s v="50.00"/>
    <s v="0.00"/>
    <s v="20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2******"/>
    <s v="****"/>
    <s v="0928000888,33971948#1"/>
    <s v=""/>
    <s v="新北市"/>
    <s v="板橋區"/>
    <s v="220"/>
    <s v="郭*瑄"/>
    <s v="賣家宅配：大型/超重物品運送"/>
    <s v=""/>
    <s v=""/>
    <s v="信用卡"/>
    <s v="2026-04-07 23:59"/>
    <s v="新竹物流8179110365"/>
    <s v="2026-04-04 00:12"/>
    <m/>
    <s v="2026-04-09 12:09"/>
    <s v=""/>
    <m/>
    <s v="學習"/>
    <s v="蝦皮"/>
  </r>
  <r>
    <s v="260404U3WSQA7S"/>
    <x v="0"/>
    <s v=""/>
    <s v=""/>
    <s v="s******i"/>
    <x v="3"/>
    <s v="2149.00"/>
    <s v="0.00"/>
    <s v="0.00"/>
    <s v="0.00"/>
    <s v="2149.00"/>
    <s v="0.00"/>
    <s v="0"/>
    <s v="0.00"/>
    <s v="SVC-1387450702266368;NYX2PMJ6H"/>
    <s v="50.00"/>
    <s v="0.00"/>
    <s v="20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57363768#1"/>
    <s v=""/>
    <s v="桃園市"/>
    <s v="八德區"/>
    <s v="334"/>
    <s v="李*勳"/>
    <s v="賣家宅配：大型/超重物品運送"/>
    <s v=""/>
    <s v=""/>
    <s v="信用卡"/>
    <s v="2026-04-07 23:59"/>
    <s v="新竹物流8179110376"/>
    <s v="2026-04-04 00:12"/>
    <m/>
    <s v="2026-04-11 23:12"/>
    <s v=""/>
    <m/>
    <s v="學習"/>
    <s v="蝦皮"/>
  </r>
  <r>
    <s v="260404U4CW8528"/>
    <x v="0"/>
    <s v=""/>
    <s v=""/>
    <s v="p*****8"/>
    <x v="3"/>
    <s v="2348.00"/>
    <s v="0.00"/>
    <s v="0.00"/>
    <s v="0.00"/>
    <s v="2348.00"/>
    <s v="0.00"/>
    <s v="0"/>
    <s v="0.00"/>
    <s v="NYX2PMJ6H;SVC-1387450702266368"/>
    <s v="50.00"/>
    <s v="0.00"/>
    <s v="200.00"/>
    <s v="217.00"/>
    <s v="86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******"/>
    <s v="****"/>
    <s v="0928000888,70324035#1"/>
    <s v=""/>
    <s v="高雄市"/>
    <s v="前金區"/>
    <s v="801"/>
    <s v="廖*岑"/>
    <s v="賣家宅配：大型/超重物品運送"/>
    <s v=""/>
    <s v=""/>
    <s v="信用卡"/>
    <s v="2026-04-07 23:59"/>
    <s v="新竹物流8179110026"/>
    <s v="2026-04-04 00:21"/>
    <m/>
    <s v="2026-04-28 11:29"/>
    <s v=""/>
    <m/>
    <s v="學習"/>
    <s v="蝦皮"/>
  </r>
  <r>
    <s v="260404U504C4E7"/>
    <x v="1"/>
    <s v="系統自動判定訂單不成立，原因 : 未收到款項"/>
    <s v=""/>
    <s v="v******2"/>
    <x v="3"/>
    <s v="2349.00"/>
    <s v="0.00"/>
    <s v="0.00"/>
    <s v="0.00"/>
    <s v="0.00"/>
    <s v="0.00"/>
    <s v="0"/>
    <s v="0.00"/>
    <s v="SVC-1387450702266368;KY3MDCHPP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"/>
    <s v=""/>
    <s v="臺北市"/>
    <s v="士林區"/>
    <s v="111"/>
    <s v="張*瑋"/>
    <s v="賣家宅配：大型/超重物品運送"/>
    <s v=""/>
    <s v=""/>
    <s v="信用卡"/>
    <s v=""/>
    <s v=""/>
    <s v="-"/>
    <m/>
    <s v=""/>
    <s v=""/>
    <m/>
    <s v="學習"/>
    <s v="蝦皮"/>
  </r>
  <r>
    <s v="260404U5968BEH"/>
    <x v="0"/>
    <s v=""/>
    <s v=""/>
    <s v="z****2"/>
    <x v="3"/>
    <s v="5349.00"/>
    <s v="0.00"/>
    <s v="0.00"/>
    <s v="0.00"/>
    <s v="5349.00"/>
    <s v="0.00"/>
    <s v="0"/>
    <s v="0.00"/>
    <s v="SVC-1387450702266368;S5U3DJTMV"/>
    <s v="50.00"/>
    <s v="0.00"/>
    <s v="0.00"/>
    <s v="455.00"/>
    <s v="170.00"/>
    <s v="134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74******"/>
    <s v="****"/>
    <s v="0928000888,53305766#1"/>
    <s v=""/>
    <s v="臺南市"/>
    <s v="安定區"/>
    <s v="745"/>
    <s v="楊*瑜"/>
    <s v="賣家宅配：大型/超重物品運送"/>
    <s v=""/>
    <s v=""/>
    <s v="信用卡"/>
    <s v="2026-04-07 23:59"/>
    <s v="新竹物流8179112045"/>
    <s v="2026-04-04 00:37"/>
    <m/>
    <s v="2026-04-08 14:07"/>
    <s v=""/>
    <m/>
    <s v="學習"/>
    <s v="蝦皮"/>
  </r>
  <r>
    <s v="260404U5968BEH"/>
    <x v="0"/>
    <s v=""/>
    <s v=""/>
    <s v="z****2"/>
    <x v="3"/>
    <s v="5349.00"/>
    <s v="0.00"/>
    <s v="0.00"/>
    <s v="0.00"/>
    <s v="5349.00"/>
    <s v="0.00"/>
    <s v="0"/>
    <s v="0.00"/>
    <s v="SVC-1387450702266368;S5U3DJTMV"/>
    <s v="50.00"/>
    <s v="0.00"/>
    <s v="0.00"/>
    <s v="455.00"/>
    <s v="170.00"/>
    <s v="13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74******"/>
    <s v="****"/>
    <s v="0928000888,53305766#1"/>
    <s v=""/>
    <s v="臺南市"/>
    <s v="安定區"/>
    <s v="745"/>
    <s v="楊*瑜"/>
    <s v="賣家宅配：大型/超重物品運送"/>
    <s v=""/>
    <s v=""/>
    <s v="信用卡"/>
    <s v="2026-04-07 23:59"/>
    <s v="新竹物流8179112045"/>
    <s v="2026-04-04 00:37"/>
    <m/>
    <s v="2026-04-08 14:07"/>
    <s v=""/>
    <m/>
    <s v="學習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19"/>
    <s v="26780776252"/>
    <s v="正確的讀寫姿勢"/>
    <s v="253328674406"/>
    <s v="26780776252_253328674406"/>
    <n v="375"/>
    <x v="20"/>
    <x v="21"/>
    <s v="20245C905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19"/>
    <s v="26780776252"/>
    <s v="培養專注力"/>
    <s v="253328674407"/>
    <s v="26780776252_253328674407"/>
    <n v="375"/>
    <x v="20"/>
    <x v="22"/>
    <s v="20255CXAC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20"/>
    <s v="29630802050"/>
    <s v=""/>
    <s v="139297492793"/>
    <s v="29630802050_139297492793"/>
    <n v="950"/>
    <x v="21"/>
    <x v="23"/>
    <s v="20255CXAA"/>
    <n v="1"/>
    <s v="0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21"/>
    <s v="49555184608"/>
    <s v="潛能大挑戰(合成)+貼紙"/>
    <s v="405475283658"/>
    <s v="49555184608_405475283658"/>
    <n v="375"/>
    <x v="20"/>
    <x v="24"/>
    <s v="20254CXAG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21"/>
    <s v="49555184608"/>
    <s v="潛能大挑戰(認識整點鐘)+貼紙"/>
    <s v="405475283662"/>
    <s v="49555184608_405475283662"/>
    <n v="375"/>
    <x v="20"/>
    <x v="25"/>
    <s v="20254CXAM"/>
    <n v="1"/>
    <s v="0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19"/>
    <s v="26780776252"/>
    <s v="小學幼兒園大不同"/>
    <s v="253328674404"/>
    <s v="26780776252_253328674404"/>
    <n v="375"/>
    <x v="20"/>
    <x v="26"/>
    <s v="20255CXAB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19"/>
    <s v="26780776252"/>
    <s v="情緒管理"/>
    <s v="253328674405"/>
    <s v="26780776252_253328674405"/>
    <n v="375"/>
    <x v="20"/>
    <x v="27"/>
    <s v="20235C903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22"/>
    <s v="29406137869"/>
    <s v=""/>
    <s v="195263047363"/>
    <s v="29406137869_195263047363"/>
    <n v="300"/>
    <x v="22"/>
    <x v="28"/>
    <s v="2022FC801"/>
    <n v="1"/>
    <s v="0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23"/>
    <s v="43502555928"/>
    <s v="變變變魔術組"/>
    <s v="275210320703"/>
    <s v="43502555928_275210320703"/>
    <n v="299"/>
    <x v="22"/>
    <x v="29"/>
    <s v="20246CV05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5EPQ939"/>
    <x v="0"/>
    <s v=""/>
    <s v="已同意申請"/>
    <s v="a******u"/>
    <x v="3"/>
    <s v="1079.00"/>
    <s v="0.00"/>
    <s v="0.00"/>
    <s v="0.00"/>
    <s v="422.00"/>
    <s v="0.00"/>
    <s v="119"/>
    <s v="0.00"/>
    <s v="SVC-1387450702266368;BNLB9ZMJ9"/>
    <s v="18.00"/>
    <s v="0.00"/>
    <s v="0.00"/>
    <s v="40.00"/>
    <s v="18.00"/>
    <s v="12.00"/>
    <s v="0"/>
    <s v="2.50%"/>
    <s v=""/>
    <x v="24"/>
    <s v="48855814036"/>
    <s v="記憶小高手"/>
    <s v="297387110146"/>
    <s v="48855814036_297387110146"/>
    <n v="350"/>
    <x v="23"/>
    <x v="30"/>
    <s v="20244C911"/>
    <n v="1"/>
    <s v="1"/>
    <s v="Y"/>
    <s v="3 件 4折"/>
    <s v="30******"/>
    <s v="****"/>
    <s v="0928000888,43950644#1"/>
    <s v=""/>
    <s v="新竹市"/>
    <s v="北區"/>
    <s v="300"/>
    <s v="吳*霈"/>
    <s v="賣家宅配：大型/超重物品運送"/>
    <s v=""/>
    <s v=""/>
    <s v="信用卡"/>
    <s v="2026-04-07 23:59"/>
    <s v="新竹物流8179112222"/>
    <s v="2026-04-04 00:40"/>
    <m/>
    <s v="2026-04-20 17:33"/>
    <s v=""/>
    <m/>
    <s v="學習周邊"/>
    <s v="蝦皮"/>
  </r>
  <r>
    <s v="260404U65G9KD2"/>
    <x v="1"/>
    <s v="被買家取消，原因 : Need to change delivery address"/>
    <s v=""/>
    <s v="m******n"/>
    <x v="3"/>
    <s v="551.00"/>
    <s v="0.00"/>
    <s v="0.00"/>
    <s v="0.00"/>
    <s v="0.00"/>
    <s v="0.00"/>
    <s v="48"/>
    <s v="0.00"/>
    <s v="EHUWPT6ZY"/>
    <s v="0.00"/>
    <s v="0.00"/>
    <s v="0.00"/>
    <s v="0.00"/>
    <s v="0.00"/>
    <s v="0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3******"/>
    <s v="****"/>
    <s v=""/>
    <s v=""/>
    <s v="桃園市"/>
    <s v="龜山區"/>
    <s v="333"/>
    <s v="陳*蘭"/>
    <s v="賣家宅配：大型/超重物品運送"/>
    <s v=""/>
    <s v=""/>
    <s v="信用卡"/>
    <s v="2026-04-07 23:59"/>
    <s v=""/>
    <s v="2026-04-04 00:53"/>
    <m/>
    <s v=""/>
    <s v=""/>
    <m/>
    <s v="學習周邊"/>
    <s v="蝦皮"/>
  </r>
  <r>
    <s v="260404U6EDE29N"/>
    <x v="0"/>
    <s v=""/>
    <s v=""/>
    <s v="k******9"/>
    <x v="3"/>
    <s v="3150.00"/>
    <s v="0.00"/>
    <s v="0.00"/>
    <s v="0.00"/>
    <s v="3150.00"/>
    <s v="0.00"/>
    <s v="0"/>
    <s v="0.00"/>
    <s v="SVC-1387450702266368;HCTZYUTNG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16457247#1"/>
    <s v=""/>
    <s v="新竹市"/>
    <s v="東區"/>
    <s v="300"/>
    <s v="陳*婕"/>
    <s v="賣家宅配：大型/超重物品運送"/>
    <s v=""/>
    <s v=""/>
    <s v="信用卡"/>
    <s v="2026-04-07 23:59"/>
    <s v="新竹物流8179110236"/>
    <s v="2026-04-04 00:57"/>
    <m/>
    <s v="2026-04-09 23:28"/>
    <s v=""/>
    <m/>
    <s v="學習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19"/>
    <s v="26780776252"/>
    <s v="情緒管理"/>
    <s v="253328674405"/>
    <s v="26780776252_253328674405"/>
    <n v="375"/>
    <x v="20"/>
    <x v="27"/>
    <s v="20235C903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19"/>
    <s v="26780776252"/>
    <s v="培養專注力"/>
    <s v="253328674407"/>
    <s v="26780776252_253328674407"/>
    <n v="375"/>
    <x v="20"/>
    <x v="22"/>
    <s v="20255CXAC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1"/>
    <s v="49555184608"/>
    <s v="潛能大挑戰(合成)+貼紙"/>
    <s v="405475283658"/>
    <s v="49555184608_405475283658"/>
    <n v="375"/>
    <x v="20"/>
    <x v="24"/>
    <s v="20254CXAG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1"/>
    <s v="49555184608"/>
    <s v="潛能大挑戰(認識整點鐘)+貼紙"/>
    <s v="405475283662"/>
    <s v="49555184608_405475283662"/>
    <n v="375"/>
    <x v="20"/>
    <x v="25"/>
    <s v="20254CXAM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5"/>
    <s v="53055235490"/>
    <s v="2410益智挑戰書+拼音語詞書(海神王)"/>
    <s v="320478078545"/>
    <s v="53055235490_320478078545"/>
    <n v="780"/>
    <x v="24"/>
    <x v="31"/>
    <s v="20255CXBD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19"/>
    <s v="26780776252"/>
    <s v="小學幼兒園大不同"/>
    <s v="253328674404"/>
    <s v="26780776252_253328674404"/>
    <n v="375"/>
    <x v="25"/>
    <x v="26"/>
    <s v="20255CXAB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6"/>
    <s v="27555825378"/>
    <s v=""/>
    <s v="233018555454"/>
    <s v="27555825378_233018555454"/>
    <n v="300"/>
    <x v="26"/>
    <x v="32"/>
    <s v="2023FC809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4"/>
    <s v="48855814036"/>
    <s v="記憶小高手"/>
    <s v="297387110146"/>
    <s v="48855814036_297387110146"/>
    <n v="350"/>
    <x v="27"/>
    <x v="30"/>
    <s v="20244C911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0"/>
    <s v="29630802050"/>
    <s v=""/>
    <s v="139297492793"/>
    <s v="29630802050_139297492793"/>
    <n v="950"/>
    <x v="21"/>
    <x v="23"/>
    <s v="20255CXAA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5"/>
    <s v="53055235490"/>
    <s v="2411益智挑戰書+拼音語詞書(地底世界"/>
    <s v="320478078546"/>
    <s v="53055235490_320478078546"/>
    <n v="780"/>
    <x v="24"/>
    <x v="33"/>
    <s v="20255CXBE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5"/>
    <s v="53055235490"/>
    <s v="2412益智挑戰書+拼音語詞書(耶誕樂園"/>
    <s v="320478078547"/>
    <s v="53055235490_320478078547"/>
    <n v="780"/>
    <x v="24"/>
    <x v="34"/>
    <s v="20255CXBF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5"/>
    <s v="53055235490"/>
    <s v="2501益智挑戰書+拼音語詞書(阿拉丁"/>
    <s v="320478078548"/>
    <s v="53055235490_320478078548"/>
    <n v="780"/>
    <x v="24"/>
    <x v="35"/>
    <s v="20255CXBB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2AYN7Y"/>
    <x v="0"/>
    <s v=""/>
    <s v=""/>
    <s v="k*****1"/>
    <x v="3"/>
    <s v="1897.00"/>
    <s v="0.00"/>
    <s v="0.00"/>
    <s v="0.00"/>
    <s v="1897.00"/>
    <s v="0.00"/>
    <s v="170"/>
    <s v="0.00"/>
    <s v="SVC-1387450702266368;NYX2PMJ6H"/>
    <s v="50.00"/>
    <s v="0.00"/>
    <s v="200.00"/>
    <s v="193.00"/>
    <s v="78.00"/>
    <s v="57.00"/>
    <s v="0"/>
    <s v="2.50%"/>
    <s v=""/>
    <x v="25"/>
    <s v="53055235490"/>
    <s v="2502益智挑戰書+拼音語詞書(調皮巫婆"/>
    <s v="320478078549"/>
    <s v="53055235490_320478078549"/>
    <n v="780"/>
    <x v="24"/>
    <x v="36"/>
    <s v="20255CXBC"/>
    <n v="1"/>
    <s v="0"/>
    <s v="Y"/>
    <s v="3 件 4折"/>
    <s v="23******"/>
    <s v="****"/>
    <s v="0928000888,34771208#1"/>
    <s v=""/>
    <s v="新北市"/>
    <s v="土城區"/>
    <s v="236"/>
    <s v="高*蔓"/>
    <s v="賣家宅配：大型/超重物品運送"/>
    <s v=""/>
    <s v=""/>
    <s v="信用卡"/>
    <s v="2026-04-07 23:59"/>
    <s v="新竹物流8179112082"/>
    <s v="2026-04-04 01:45"/>
    <m/>
    <s v="2026-04-17 20:20"/>
    <s v=""/>
    <m/>
    <s v="學習周邊"/>
    <s v="蝦皮"/>
  </r>
  <r>
    <s v="260404U9KCFJ7T"/>
    <x v="0"/>
    <s v=""/>
    <s v=""/>
    <s v="m******n"/>
    <x v="3"/>
    <s v="551.00"/>
    <s v="0.00"/>
    <s v="0.00"/>
    <s v="0.00"/>
    <s v="551.00"/>
    <s v="0.00"/>
    <s v="48"/>
    <s v="0.00"/>
    <s v="EHUWPT6ZY"/>
    <s v="0.00"/>
    <s v="0.00"/>
    <s v="10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2******"/>
    <s v="****"/>
    <s v="0928000888,70569291#1"/>
    <s v=""/>
    <s v="桃園市"/>
    <s v="中壢區"/>
    <s v="320"/>
    <s v="劉*樑"/>
    <s v="賣家宅配：大型/超重物品運送"/>
    <s v=""/>
    <s v=""/>
    <s v="信用卡"/>
    <s v="2026-04-07 23:59"/>
    <s v="新竹物流8179112362"/>
    <s v="2026-04-04 01:54"/>
    <m/>
    <s v="2026-04-09 08:12"/>
    <s v=""/>
    <m/>
    <s v="學習周邊"/>
    <s v="蝦皮"/>
  </r>
  <r>
    <s v="260404UD7KT51F"/>
    <x v="0"/>
    <s v=""/>
    <s v=""/>
    <s v="r******8"/>
    <x v="3"/>
    <s v="2349.00"/>
    <s v="0.00"/>
    <s v="0.00"/>
    <s v="0.00"/>
    <s v="2349.00"/>
    <s v="0.00"/>
    <s v="0"/>
    <s v="0.00"/>
    <s v="SVC-1387450702266368;KY3MDCHPP"/>
    <s v="50.00"/>
    <s v="0.00"/>
    <s v="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92093655#1"/>
    <s v=""/>
    <s v="新竹縣"/>
    <s v="新豐鄉"/>
    <s v="304"/>
    <s v="戴*尚"/>
    <s v="賣家宅配：大型/超重物品運送"/>
    <s v=""/>
    <s v=""/>
    <s v="信用卡"/>
    <s v="2026-04-07 23:59"/>
    <s v="新竹物流8179110380"/>
    <s v="2026-04-04 02:59"/>
    <m/>
    <s v="2026-04-11 15:28"/>
    <s v=""/>
    <m/>
    <s v="學習"/>
    <s v="蝦皮"/>
  </r>
  <r>
    <s v="260404UG7NFSJU"/>
    <x v="0"/>
    <s v=""/>
    <s v=""/>
    <s v="j******2"/>
    <x v="3"/>
    <s v="2666.00"/>
    <s v="0.00"/>
    <s v="0.00"/>
    <s v="0.00"/>
    <s v="2666.00"/>
    <s v="0.00"/>
    <s v="0"/>
    <s v="0.00"/>
    <s v="MSV2604E;ZEHAR8MX3"/>
    <s v="100.00"/>
    <s v="0.00"/>
    <s v="232.00"/>
    <s v="246.00"/>
    <s v="97.00"/>
    <s v="72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0******"/>
    <s v="****"/>
    <s v="0928000888,17496363#1"/>
    <s v=""/>
    <s v="新竹縣"/>
    <s v="寶山鄉"/>
    <s v="308"/>
    <s v="陳*詩"/>
    <s v="賣家宅配：大型/超重物品運送"/>
    <s v=""/>
    <s v=""/>
    <s v="信用卡"/>
    <s v="2026-04-07 23:59"/>
    <s v="新竹物流8179110542"/>
    <s v="2026-04-04 03:53"/>
    <m/>
    <s v="2026-04-08 16:27"/>
    <s v=""/>
    <m/>
    <s v="學習"/>
    <s v="蝦皮"/>
  </r>
  <r>
    <s v="260404UH6ENJWR"/>
    <x v="0"/>
    <s v=""/>
    <s v=""/>
    <s v="p******7"/>
    <x v="3"/>
    <s v="5288.00"/>
    <s v="0.00"/>
    <s v="0.00"/>
    <s v="0.00"/>
    <s v="5288.00"/>
    <s v="0.00"/>
    <s v="0"/>
    <s v="0.00"/>
    <s v="SVC-1387450702266368;ZEHAR8MX3"/>
    <s v="50.00"/>
    <s v="0.00"/>
    <s v="460.00"/>
    <s v="489.00"/>
    <s v="182.00"/>
    <s v="144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32******"/>
    <s v="****"/>
    <s v="0928000888,24946580#1"/>
    <s v=""/>
    <s v="桃園市"/>
    <s v="平鎮區"/>
    <s v="324"/>
    <s v="周*均"/>
    <s v="賣家宅配：大型/超重物品運送"/>
    <s v=""/>
    <s v=""/>
    <s v="信用卡"/>
    <s v="2026-04-07 23:59"/>
    <s v="新竹物流8179112303"/>
    <s v="2026-04-04 04:10"/>
    <m/>
    <s v="2026-04-28 16:32"/>
    <s v=""/>
    <m/>
    <s v="學習"/>
    <s v="蝦皮"/>
  </r>
  <r>
    <s v="260404UH6ENJWR"/>
    <x v="0"/>
    <s v=""/>
    <s v=""/>
    <s v="p******7"/>
    <x v="3"/>
    <s v="5288.00"/>
    <s v="0.00"/>
    <s v="0.00"/>
    <s v="0.00"/>
    <s v="5288.00"/>
    <s v="0.00"/>
    <s v="0"/>
    <s v="0.00"/>
    <s v="SVC-1387450702266368;ZEHAR8MX3"/>
    <s v="50.00"/>
    <s v="0.00"/>
    <s v="460.00"/>
    <s v="489.00"/>
    <s v="182.00"/>
    <s v="14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******"/>
    <s v="****"/>
    <s v="0928000888,24946580#1"/>
    <s v=""/>
    <s v="桃園市"/>
    <s v="平鎮區"/>
    <s v="324"/>
    <s v="周*均"/>
    <s v="賣家宅配：大型/超重物品運送"/>
    <s v=""/>
    <s v=""/>
    <s v="信用卡"/>
    <s v="2026-04-07 23:59"/>
    <s v="新竹物流8179112303"/>
    <s v="2026-04-04 04:10"/>
    <m/>
    <s v="2026-04-28 16:32"/>
    <s v=""/>
    <m/>
    <s v="學習"/>
    <s v="蝦皮"/>
  </r>
  <r>
    <s v="260404UTV75T46"/>
    <x v="0"/>
    <s v=""/>
    <s v=""/>
    <s v="w****2"/>
    <x v="3"/>
    <s v="2288.00"/>
    <s v="0.00"/>
    <s v="0.00"/>
    <s v="0.00"/>
    <s v="2288.00"/>
    <s v="0.00"/>
    <s v="61"/>
    <s v="0.00"/>
    <s v="SVC-1387450702266368;KAR6AEA4K"/>
    <s v="50.00"/>
    <s v="0.00"/>
    <s v="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2******"/>
    <s v="****"/>
    <s v="0928000888,90212814#1"/>
    <s v=""/>
    <s v="桃園市"/>
    <s v="中壢區"/>
    <s v="320"/>
    <s v="沈*真"/>
    <s v="賣家宅配：大型/超重物品運送"/>
    <s v=""/>
    <s v=""/>
    <s v="信用卡"/>
    <s v="2026-04-07 23:59"/>
    <s v="新竹物流8179110391"/>
    <s v="2026-04-04 07:03"/>
    <m/>
    <s v="2026-04-09 10:34"/>
    <s v=""/>
    <m/>
    <s v="學習"/>
    <s v="蝦皮"/>
  </r>
  <r>
    <s v="260404UXC9WKNS"/>
    <x v="0"/>
    <s v=""/>
    <s v=""/>
    <s v="f******5"/>
    <x v="3"/>
    <s v="2342.00"/>
    <s v="0.00"/>
    <s v="0.00"/>
    <s v="0.00"/>
    <s v="2342.00"/>
    <s v="0.00"/>
    <s v="2"/>
    <s v="0.00"/>
    <s v="SVC-1387450702266368;ZEHAR8MX3"/>
    <s v="50.00"/>
    <s v="0.00"/>
    <s v="204.00"/>
    <s v="217.00"/>
    <s v="86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1******"/>
    <s v="****"/>
    <s v="0928000888,82960350#1"/>
    <s v=""/>
    <s v="臺北市"/>
    <s v="北投區"/>
    <s v="112"/>
    <s v="鍾*百"/>
    <s v="賣家宅配：大型/超重物品運送"/>
    <s v=""/>
    <s v=""/>
    <s v="信用卡"/>
    <s v="2026-04-07 23:59"/>
    <s v="新竹物流8179110030"/>
    <s v="2026-04-04 08:06"/>
    <m/>
    <s v="2026-04-08 23:45"/>
    <s v=""/>
    <m/>
    <s v="學習"/>
    <s v="蝦皮"/>
  </r>
  <r>
    <s v="260404UXCKENRS"/>
    <x v="0"/>
    <s v=""/>
    <s v=""/>
    <s v="e******m"/>
    <x v="3"/>
    <s v="2149.00"/>
    <s v="0.00"/>
    <s v="0.00"/>
    <s v="0.00"/>
    <s v="2149.00"/>
    <s v="0.00"/>
    <s v="0"/>
    <s v="0.00"/>
    <s v="SVC-1387450702266368;NYX2PMJ6H"/>
    <s v="50.00"/>
    <s v="0.00"/>
    <s v="20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0******"/>
    <s v="****"/>
    <s v="0928000888,03475816#1"/>
    <s v=""/>
    <s v="基隆市"/>
    <s v="七堵區"/>
    <s v="206"/>
    <s v="薛*榕"/>
    <s v="賣家宅配：大型/超重物品運送"/>
    <s v=""/>
    <s v=""/>
    <s v="信用卡"/>
    <s v="2026-04-07 23:59"/>
    <s v="新竹物流8179110402"/>
    <s v="2026-04-04 08:06"/>
    <m/>
    <s v="2026-04-28 12:34"/>
    <s v=""/>
    <m/>
    <s v="學習"/>
    <s v="蝦皮"/>
  </r>
  <r>
    <s v="260404UXGBKB5J"/>
    <x v="0"/>
    <s v=""/>
    <s v=""/>
    <s v="j*****."/>
    <x v="3"/>
    <s v="2099.00"/>
    <s v="0.00"/>
    <s v="0.00"/>
    <s v="0.00"/>
    <s v="2099.00"/>
    <s v="0.00"/>
    <s v="0"/>
    <s v="0.00"/>
    <s v="MSV2604E;NYX2PMJ6H"/>
    <s v="100.00"/>
    <s v="0.00"/>
    <s v="200.00"/>
    <s v="195.00"/>
    <s v="79.00"/>
    <s v="57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61******"/>
    <s v="****"/>
    <s v="0928000888,39183180#1"/>
    <s v=""/>
    <s v="嘉義縣"/>
    <s v="太保市"/>
    <s v="612"/>
    <s v="蔡*欣"/>
    <s v="賣家宅配：大型/超重物品運送"/>
    <s v=""/>
    <s v=""/>
    <s v="信用卡"/>
    <s v="2026-04-07 23:59"/>
    <s v="新竹物流8179110413"/>
    <s v="2026-04-04 08:08"/>
    <m/>
    <s v="2026-04-28 12:34"/>
    <s v=""/>
    <m/>
    <s v="學習"/>
    <s v="蝦皮"/>
  </r>
  <r>
    <s v="260404V1Q8NWHR"/>
    <x v="0"/>
    <s v=""/>
    <s v=""/>
    <s v="m******0"/>
    <x v="3"/>
    <s v="269.00"/>
    <s v="100.00"/>
    <s v="0.00"/>
    <s v="0.00"/>
    <s v="369.00"/>
    <s v="0.00"/>
    <s v="0"/>
    <s v="0.00"/>
    <s v="LRRRUTJ5R"/>
    <s v="0.00"/>
    <s v="0.00"/>
    <s v="3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52******"/>
    <s v="****"/>
    <s v="0928000888,65125585#1"/>
    <s v=""/>
    <s v="彰化縣"/>
    <s v="北斗鎮"/>
    <s v="521"/>
    <s v="巫*頤"/>
    <s v="賣家宅配：大型/超重物品運送"/>
    <s v=""/>
    <s v=""/>
    <s v="信用卡"/>
    <s v="2026-04-07 23:59"/>
    <s v="新竹物流8179110855"/>
    <s v="2026-04-04 09:06"/>
    <m/>
    <s v="2026-04-15 16:30"/>
    <s v=""/>
    <m/>
    <s v="學習周邊"/>
    <s v="蝦皮"/>
  </r>
  <r>
    <s v="260404V2HEYAEV"/>
    <x v="1"/>
    <s v="被買家取消，原因 : 修改訂單內容"/>
    <s v=""/>
    <s v="l******9"/>
    <x v="3"/>
    <s v="3150.00"/>
    <s v="0.00"/>
    <s v="0.00"/>
    <s v="0.00"/>
    <s v="0.00"/>
    <s v="0.00"/>
    <s v="0"/>
    <s v="0.00"/>
    <s v="SVC-1387450702266368;HCTZYUTNG"/>
    <s v="0.00"/>
    <s v="0.00"/>
    <s v="0.00"/>
    <s v="0.00"/>
    <s v="0.00"/>
    <s v="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90******"/>
    <s v="****"/>
    <s v=""/>
    <s v=""/>
    <s v="屏東縣"/>
    <s v="屏東市"/>
    <s v="900"/>
    <s v="洪*齡"/>
    <s v="賣家宅配：大型/超重物品運送"/>
    <s v=""/>
    <s v=""/>
    <s v="信用卡"/>
    <s v="2026-04-07 23:59"/>
    <s v=""/>
    <s v="2026-04-04 09:20"/>
    <m/>
    <s v=""/>
    <s v=""/>
    <m/>
    <s v="學習"/>
    <s v="蝦皮"/>
  </r>
  <r>
    <s v="260404V2UQ0144"/>
    <x v="0"/>
    <s v=""/>
    <s v=""/>
    <s v="s******9"/>
    <x v="3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23******"/>
    <s v="****"/>
    <s v="0928000888,13551159#1"/>
    <s v=""/>
    <s v="新北市"/>
    <s v="鶯歌區"/>
    <s v="239"/>
    <s v="許*丞"/>
    <s v="賣家宅配：大型/超重物品運送"/>
    <s v=""/>
    <s v=""/>
    <s v="信用卡"/>
    <s v="2026-04-07 23:59"/>
    <s v="新竹物流8179112340"/>
    <s v="2026-04-04 09:26"/>
    <m/>
    <s v="2026-04-27 00:27"/>
    <s v=""/>
    <m/>
    <s v="學習周邊"/>
    <s v="蝦皮"/>
  </r>
  <r>
    <s v="260404V3HBAP4H"/>
    <x v="0"/>
    <s v=""/>
    <s v=""/>
    <s v="h*****f"/>
    <x v="3"/>
    <s v="499.00"/>
    <s v="0.00"/>
    <s v="0.00"/>
    <s v="0.00"/>
    <s v="499.00"/>
    <s v="0.00"/>
    <s v="0"/>
    <s v="0.00"/>
    <s v="EHUWPT6ZY"/>
    <s v="0.00"/>
    <s v="0.00"/>
    <s v="100.00"/>
    <s v="51.00"/>
    <s v="28.00"/>
    <s v="15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30******"/>
    <s v="****"/>
    <s v="0928000888,27137433#1"/>
    <s v=""/>
    <s v="新竹市"/>
    <s v="東區"/>
    <s v="300"/>
    <s v="吳*毅"/>
    <s v="賣家宅配：大型/超重物品運送"/>
    <s v=""/>
    <s v=""/>
    <s v="信用卡"/>
    <s v="2026-04-07 23:59"/>
    <s v="新竹物流8179112314"/>
    <s v="2026-04-04 09:38"/>
    <m/>
    <s v="2026-04-12 17:43"/>
    <s v=""/>
    <m/>
    <s v="學習周邊"/>
    <s v="蝦皮"/>
  </r>
  <r>
    <s v="260404V3KYABQW"/>
    <x v="0"/>
    <s v=""/>
    <s v=""/>
    <s v="n******s"/>
    <x v="3"/>
    <s v="2349.00"/>
    <s v="0.00"/>
    <s v="0.00"/>
    <s v="0.00"/>
    <s v="2349.00"/>
    <s v="0.00"/>
    <s v="0"/>
    <s v="0.00"/>
    <s v="SVC-1387450702266368;HCTZYUTNG"/>
    <s v="50.00"/>
    <s v="0.00"/>
    <s v="0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51339924#1"/>
    <s v=""/>
    <s v="臺北市"/>
    <s v="內湖區"/>
    <s v="114"/>
    <s v="陳*慧"/>
    <s v="賣家宅配：大型/超重物品運送"/>
    <s v=""/>
    <s v=""/>
    <s v="信用卡"/>
    <s v="2026-04-07 23:59"/>
    <s v="新竹物流8179110424"/>
    <s v="2026-04-04 09:40"/>
    <m/>
    <s v="2026-04-08 20:30"/>
    <s v=""/>
    <m/>
    <s v="學習"/>
    <s v="蝦皮"/>
  </r>
  <r>
    <s v="260404V96HQ62S"/>
    <x v="0"/>
    <s v=""/>
    <s v=""/>
    <s v="m******4"/>
    <x v="3"/>
    <s v="949.00"/>
    <s v="0.00"/>
    <s v="0.00"/>
    <s v="0.00"/>
    <s v="949.00"/>
    <s v="0.00"/>
    <s v="0"/>
    <s v="0.00"/>
    <s v="SVC-1387450702266368;NYX2PMJ6H"/>
    <s v="50.00"/>
    <s v="0.00"/>
    <s v="200.00"/>
    <s v="98.00"/>
    <s v="44.00"/>
    <s v="29.00"/>
    <s v="0"/>
    <s v="2.50%"/>
    <s v=""/>
    <x v="4"/>
    <s v="28604287513"/>
    <s v=""/>
    <s v="256123210658"/>
    <s v="28604287513_256123210658"/>
    <n v="300"/>
    <x v="4"/>
    <x v="4"/>
    <s v="20211C608"/>
    <n v="1"/>
    <s v="0"/>
    <s v="N"/>
    <s v="-"/>
    <s v="30******"/>
    <s v="****"/>
    <s v="0928000888,53364157#1"/>
    <s v=""/>
    <s v="新竹縣"/>
    <s v="竹北市"/>
    <s v="302"/>
    <s v="李*穎"/>
    <s v="賣家宅配：大型/超重物品運送"/>
    <s v=""/>
    <s v=""/>
    <s v="信用卡"/>
    <s v="2026-04-07 23:59"/>
    <s v="新竹物流8179112292"/>
    <s v="2026-04-04 11:20"/>
    <m/>
    <s v="2026-04-28 16:29"/>
    <s v=""/>
    <m/>
    <s v="學習周邊"/>
    <s v="蝦皮"/>
  </r>
  <r>
    <s v="260404V96HQ62S"/>
    <x v="0"/>
    <s v=""/>
    <s v=""/>
    <s v="m******4"/>
    <x v="3"/>
    <s v="949.00"/>
    <s v="0.00"/>
    <s v="0.00"/>
    <s v="0.00"/>
    <s v="949.00"/>
    <s v="0.00"/>
    <s v="0"/>
    <s v="0.00"/>
    <s v="SVC-1387450702266368;NYX2PMJ6H"/>
    <s v="50.00"/>
    <s v="0.00"/>
    <s v="200.00"/>
    <s v="98.00"/>
    <s v="44.00"/>
    <s v="29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30******"/>
    <s v="****"/>
    <s v="0928000888,53364157#1"/>
    <s v=""/>
    <s v="新竹縣"/>
    <s v="竹北市"/>
    <s v="302"/>
    <s v="李*穎"/>
    <s v="賣家宅配：大型/超重物品運送"/>
    <s v=""/>
    <s v=""/>
    <s v="信用卡"/>
    <s v="2026-04-07 23:59"/>
    <s v="新竹物流8179112292"/>
    <s v="2026-04-04 11:20"/>
    <m/>
    <s v="2026-04-28 16:29"/>
    <s v=""/>
    <m/>
    <s v="學習周邊"/>
    <s v="蝦皮"/>
  </r>
  <r>
    <s v="260404VA8EXHJG"/>
    <x v="0"/>
    <s v=""/>
    <s v=""/>
    <s v="j*****6"/>
    <x v="3"/>
    <s v="2114.00"/>
    <s v="0.00"/>
    <s v="0.00"/>
    <s v="0.00"/>
    <s v="2114.00"/>
    <s v="0.00"/>
    <s v="0"/>
    <s v="0.00"/>
    <s v="SVC-1387450702266368;75ZPAT9XJ"/>
    <s v="50.00"/>
    <s v="0.00"/>
    <s v="235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1******"/>
    <s v="****"/>
    <s v="0928000888,81533252#1"/>
    <s v=""/>
    <s v="臺中市"/>
    <s v="烏日區"/>
    <s v="414"/>
    <s v="洪*君"/>
    <s v="賣家宅配：大型/超重物品運送"/>
    <s v=""/>
    <s v=""/>
    <s v="信用卡"/>
    <s v="2026-04-07 23:59"/>
    <s v="新竹物流8179110435"/>
    <s v="2026-04-04 11:39"/>
    <m/>
    <s v="2026-04-28 12:37"/>
    <s v=""/>
    <m/>
    <s v="學習"/>
    <s v="蝦皮"/>
  </r>
  <r>
    <s v="260404VD3CMM90"/>
    <x v="0"/>
    <s v=""/>
    <s v=""/>
    <s v="a******n"/>
    <x v="3"/>
    <s v="2114.00"/>
    <s v="0.00"/>
    <s v="0.00"/>
    <s v="0.00"/>
    <s v="2114.00"/>
    <s v="0.00"/>
    <s v="0"/>
    <s v="0.00"/>
    <s v="SVC-1387450702266368;75ZPAT9XJ"/>
    <s v="50.00"/>
    <s v="0.00"/>
    <s v="235.00"/>
    <s v="200.00"/>
    <s v="80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96457640#1"/>
    <s v=""/>
    <s v="桃園市"/>
    <s v="大園區"/>
    <s v="337"/>
    <s v="陳*君"/>
    <s v="賣家宅配：大型/超重物品運送"/>
    <s v=""/>
    <s v=""/>
    <s v="信用卡"/>
    <s v="2026-04-07 23:59"/>
    <s v="新竹物流8179110446"/>
    <s v="2026-04-04 12:29"/>
    <m/>
    <s v="2026-04-08 20:30"/>
    <s v=""/>
    <m/>
    <s v="學習"/>
    <s v="蝦皮"/>
  </r>
  <r>
    <s v="260404VDCYR7UD"/>
    <x v="0"/>
    <s v=""/>
    <s v=""/>
    <s v="o******e"/>
    <x v="3"/>
    <s v="1922.00"/>
    <s v="0.00"/>
    <s v="0.00"/>
    <s v="0.00"/>
    <s v="1922.00"/>
    <s v="0.00"/>
    <s v="12"/>
    <s v="0.00"/>
    <s v="SVC-1387450702266368;75ZPAT9XJ"/>
    <s v="50.00"/>
    <s v="0.00"/>
    <s v="215.00"/>
    <s v="183.00"/>
    <s v="74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32******"/>
    <s v="****"/>
    <s v="0928000888,15886044#1"/>
    <s v=""/>
    <s v="桃園市"/>
    <s v="中壢區"/>
    <s v="320"/>
    <s v="謝*芬"/>
    <s v="賣家宅配：大型/超重物品運送"/>
    <s v=""/>
    <s v=""/>
    <s v="信用卡"/>
    <s v="2026-04-07 23:59"/>
    <s v="新竹物流8179112255"/>
    <s v="2026-04-04 12:35"/>
    <m/>
    <s v="2026-04-25 04:02"/>
    <s v=""/>
    <m/>
    <s v="學習"/>
    <s v="蝦皮"/>
  </r>
  <r>
    <s v="260404VEPNVME5"/>
    <x v="0"/>
    <s v=""/>
    <s v=""/>
    <s v="o******f"/>
    <x v="3"/>
    <s v="4315.00"/>
    <s v="0.00"/>
    <s v="0.00"/>
    <s v="0.00"/>
    <s v="4315.00"/>
    <s v="0.00"/>
    <s v="50"/>
    <s v="0.00"/>
    <s v="SVC-1387450702266368;75ZPAT9XJ"/>
    <s v="50.00"/>
    <s v="0.00"/>
    <s v="485.00"/>
    <s v="412.00"/>
    <s v="156.00"/>
    <s v="121.00"/>
    <s v="3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70******"/>
    <s v="****"/>
    <s v="0928000888,47054644#1"/>
    <s v=""/>
    <s v="臺南市"/>
    <s v="北區"/>
    <s v="704"/>
    <s v="黃*博"/>
    <s v="賣家宅配：大型/超重物品運送"/>
    <s v=""/>
    <s v=""/>
    <s v="信用卡分期付款"/>
    <s v="2026-04-07 23:59"/>
    <s v="新竹物流8179112373"/>
    <s v="2026-04-04 12:58"/>
    <m/>
    <s v="2026-04-08 23:21"/>
    <s v=""/>
    <m/>
    <s v="學習"/>
    <s v="蝦皮"/>
  </r>
  <r>
    <s v="260404VFAWEGB2"/>
    <x v="0"/>
    <s v=""/>
    <s v=""/>
    <s v="b******a"/>
    <x v="3"/>
    <s v="2262.00"/>
    <s v="0.00"/>
    <s v="0.00"/>
    <s v="0.00"/>
    <s v="2262.00"/>
    <s v="0.00"/>
    <s v="31"/>
    <s v="0.00"/>
    <s v="SVC-1387450702266368;75ZPAT9XJ"/>
    <s v="50.00"/>
    <s v="0.00"/>
    <s v="255.00"/>
    <s v="217.00"/>
    <s v="86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******"/>
    <s v="****"/>
    <s v="0928000888,69867798#1"/>
    <s v=""/>
    <s v="桃園市"/>
    <s v="龍潭區"/>
    <s v="325"/>
    <s v="張*玲"/>
    <s v="賣家宅配：大型/超重物品運送"/>
    <s v=""/>
    <s v=""/>
    <s v="信用卡"/>
    <s v="2026-04-07 23:59"/>
    <s v="新竹物流8179110041"/>
    <s v="2026-04-04 13:09"/>
    <m/>
    <s v="2026-04-08 14:18"/>
    <s v=""/>
    <m/>
    <s v="學習"/>
    <s v="蝦皮"/>
  </r>
  <r>
    <s v="260404VFJCT5GS"/>
    <x v="0"/>
    <s v=""/>
    <s v=""/>
    <s v="m******7"/>
    <x v="3"/>
    <s v="2293.00"/>
    <s v="0.00"/>
    <s v="0.00"/>
    <s v="0.00"/>
    <s v="2293.00"/>
    <s v="0.00"/>
    <s v="0"/>
    <s v="0.00"/>
    <s v="75ZPAT9XJ;SVC-1387450702266368"/>
    <s v="50.00"/>
    <s v="0.00"/>
    <s v="255.00"/>
    <s v="217.00"/>
    <s v="86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4******"/>
    <s v="****"/>
    <s v="0928000888,98475602#1"/>
    <s v=""/>
    <s v="新北市"/>
    <s v="三重區"/>
    <s v="241"/>
    <s v="黃*璘"/>
    <s v="賣家宅配：大型/超重物品運送"/>
    <s v=""/>
    <s v=""/>
    <s v="信用卡"/>
    <s v="2026-04-07 23:59"/>
    <s v="新竹物流8179110052"/>
    <s v="2026-04-04 13:14"/>
    <m/>
    <s v="2026-04-08 14:21"/>
    <s v=""/>
    <m/>
    <s v="學習"/>
    <s v="蝦皮"/>
  </r>
  <r>
    <s v="260404VHG6Q3E3"/>
    <x v="0"/>
    <s v=""/>
    <s v=""/>
    <s v="r*****2"/>
    <x v="3"/>
    <s v="2114.00"/>
    <s v="0.00"/>
    <s v="0.00"/>
    <s v="0.00"/>
    <s v="2114.00"/>
    <s v="0.00"/>
    <s v="0"/>
    <s v="0.00"/>
    <s v="SVC-1387450702266368;75ZPAT9XJ"/>
    <s v="50.00"/>
    <s v="0.00"/>
    <s v="235.00"/>
    <s v="200.00"/>
    <s v="80.00"/>
    <s v="59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0******"/>
    <s v="****"/>
    <s v="0928000888,72105212#1"/>
    <s v=""/>
    <s v="新北市"/>
    <s v="萬里區"/>
    <s v="207"/>
    <s v="王*娸"/>
    <s v="賣家宅配：大型/超重物品運送"/>
    <s v=""/>
    <s v=""/>
    <s v="信用卡分期付款"/>
    <s v="2026-04-07 23:59"/>
    <s v="新竹物流8179110450"/>
    <s v="2026-04-04 13:49"/>
    <m/>
    <s v="2026-04-14 01:40"/>
    <s v=""/>
    <m/>
    <s v="學習"/>
    <s v="蝦皮"/>
  </r>
  <r>
    <s v="260404VJQWYUJV"/>
    <x v="0"/>
    <s v=""/>
    <s v=""/>
    <s v="a******4"/>
    <x v="3"/>
    <s v="2141.00"/>
    <s v="0.00"/>
    <s v="0.00"/>
    <s v="0.00"/>
    <s v="2141.00"/>
    <s v="0.00"/>
    <s v="0"/>
    <s v="0.00"/>
    <s v="SVC-1388249155797016;75ZPAT9XJ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5******"/>
    <s v="****"/>
    <s v="0928000888,55413161#1"/>
    <s v=""/>
    <s v="苗栗縣"/>
    <s v="苑裡鎮"/>
    <s v="358"/>
    <s v="葉*庭"/>
    <s v="賣家宅配：大型/超重物品運送"/>
    <s v=""/>
    <s v=""/>
    <s v="信用卡"/>
    <s v="2026-04-07 23:59"/>
    <s v="新竹物流8179110461"/>
    <s v="2026-04-04 14:11"/>
    <m/>
    <s v="2026-04-28 12:29"/>
    <s v=""/>
    <m/>
    <s v="學習"/>
    <s v="蝦皮"/>
  </r>
  <r>
    <s v="260404VJQMGH16"/>
    <x v="0"/>
    <s v=""/>
    <s v=""/>
    <s v="l****1"/>
    <x v="3"/>
    <s v="2320.00"/>
    <s v="0.00"/>
    <s v="0.00"/>
    <s v="0.00"/>
    <s v="2320.00"/>
    <s v="0.00"/>
    <s v="0"/>
    <s v="0.00"/>
    <s v="SVC-1388249155797016;75ZPAT9XJ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42******"/>
    <s v="****"/>
    <s v="0928000888,01327626#1"/>
    <s v=""/>
    <s v="臺中市"/>
    <s v="大雅區"/>
    <s v="428"/>
    <s v="林*君"/>
    <s v="賣家宅配：大型/超重物品運送"/>
    <s v=""/>
    <s v=""/>
    <s v="信用卡"/>
    <s v="2026-04-07 23:59"/>
    <s v="新竹物流8179110063"/>
    <s v="2026-04-04 14:10"/>
    <m/>
    <s v="2026-04-28 12:29"/>
    <s v=""/>
    <m/>
    <s v="學習"/>
    <s v="蝦皮"/>
  </r>
  <r>
    <s v="260404VKBFJWNE"/>
    <x v="0"/>
    <s v=""/>
    <s v=""/>
    <s v="h******n"/>
    <x v="3"/>
    <s v="2141.00"/>
    <s v="0.00"/>
    <s v="0.00"/>
    <s v="0.00"/>
    <s v="2141.00"/>
    <s v="0.00"/>
    <s v="0"/>
    <s v="0.00"/>
    <s v="SVC-1388249155797016;75ZPAT9XJ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1******"/>
    <s v="****"/>
    <s v="0928000888,12500307#1"/>
    <s v=""/>
    <s v="新竹縣"/>
    <s v="竹東鎮"/>
    <s v="310"/>
    <s v="翁*駿"/>
    <s v="賣家宅配：大型/超重物品運送"/>
    <s v=""/>
    <s v=""/>
    <s v="信用卡"/>
    <s v="2026-04-07 23:59"/>
    <s v="新竹物流8179110472"/>
    <s v="2026-04-04 14:21"/>
    <m/>
    <s v="2026-04-28 12:35"/>
    <s v=""/>
    <m/>
    <s v="學習"/>
    <s v="蝦皮"/>
  </r>
  <r>
    <s v="260404VKMMD62C"/>
    <x v="0"/>
    <s v=""/>
    <s v=""/>
    <s v="m******i"/>
    <x v="3"/>
    <s v="950.00"/>
    <s v="0.00"/>
    <s v="0.00"/>
    <s v="0.00"/>
    <s v="950.00"/>
    <s v="0.00"/>
    <s v="0"/>
    <s v="0.00"/>
    <s v="SVC-1388249155797016;NYX2PMJ6H"/>
    <s v="20.00"/>
    <s v="0.00"/>
    <s v="200.00"/>
    <s v="98.00"/>
    <s v="45.00"/>
    <s v="29.00"/>
    <s v="0"/>
    <s v="2.50%"/>
    <s v=""/>
    <x v="25"/>
    <s v="53055235490"/>
    <s v="2410益智挑戰書+拼音語詞書(海神王)"/>
    <s v="320478078545"/>
    <s v="53055235490_320478078545"/>
    <n v="780"/>
    <x v="24"/>
    <x v="31"/>
    <s v="20255CXBD"/>
    <n v="1"/>
    <s v="0"/>
    <s v="Y"/>
    <s v="3 件 4折"/>
    <s v="10******"/>
    <s v="****"/>
    <s v="0928000888,95921892#1"/>
    <s v=""/>
    <s v="臺北市"/>
    <s v="中正區"/>
    <s v="100"/>
    <s v="臺*****芝"/>
    <s v="賣家宅配：大型/超重物品運送"/>
    <s v=""/>
    <s v=""/>
    <s v="信用卡"/>
    <s v="2026-04-07 23:59"/>
    <s v="新竹物流8179111356"/>
    <s v="2026-04-04 14:26"/>
    <m/>
    <s v="2026-04-10 17:59"/>
    <s v=""/>
    <m/>
    <s v="學習周邊"/>
    <s v="蝦皮"/>
  </r>
  <r>
    <s v="260404VKMMD62C"/>
    <x v="0"/>
    <s v=""/>
    <s v=""/>
    <s v="m******i"/>
    <x v="3"/>
    <s v="950.00"/>
    <s v="0.00"/>
    <s v="0.00"/>
    <s v="0.00"/>
    <s v="950.00"/>
    <s v="0.00"/>
    <s v="0"/>
    <s v="0.00"/>
    <s v="SVC-1388249155797016;NYX2PMJ6H"/>
    <s v="20.00"/>
    <s v="0.00"/>
    <s v="200.00"/>
    <s v="98.00"/>
    <s v="45.00"/>
    <s v="29.00"/>
    <s v="0"/>
    <s v="2.50%"/>
    <s v=""/>
    <x v="25"/>
    <s v="53055235490"/>
    <s v="2411益智挑戰書+拼音語詞書(地底世界"/>
    <s v="320478078546"/>
    <s v="53055235490_320478078546"/>
    <n v="780"/>
    <x v="24"/>
    <x v="33"/>
    <s v="20255CXBE"/>
    <n v="1"/>
    <s v="0"/>
    <s v="Y"/>
    <s v="3 件 4折"/>
    <s v="10******"/>
    <s v="****"/>
    <s v="0928000888,95921892#1"/>
    <s v=""/>
    <s v="臺北市"/>
    <s v="中正區"/>
    <s v="100"/>
    <s v="臺*****芝"/>
    <s v="賣家宅配：大型/超重物品運送"/>
    <s v=""/>
    <s v=""/>
    <s v="信用卡"/>
    <s v="2026-04-07 23:59"/>
    <s v="新竹物流8179111356"/>
    <s v="2026-04-04 14:26"/>
    <m/>
    <s v="2026-04-10 17:59"/>
    <s v=""/>
    <m/>
    <s v="學習周邊"/>
    <s v="蝦皮"/>
  </r>
  <r>
    <s v="260404VKMMD62C"/>
    <x v="0"/>
    <s v=""/>
    <s v=""/>
    <s v="m******i"/>
    <x v="3"/>
    <s v="950.00"/>
    <s v="0.00"/>
    <s v="0.00"/>
    <s v="0.00"/>
    <s v="950.00"/>
    <s v="0.00"/>
    <s v="0"/>
    <s v="0.00"/>
    <s v="SVC-1388249155797016;NYX2PMJ6H"/>
    <s v="20.00"/>
    <s v="0.00"/>
    <s v="200.00"/>
    <s v="98.00"/>
    <s v="45.00"/>
    <s v="29.00"/>
    <s v="0"/>
    <s v="2.50%"/>
    <s v=""/>
    <x v="25"/>
    <s v="53055235490"/>
    <s v="2412益智挑戰書+拼音語詞書(耶誕樂園"/>
    <s v="320478078547"/>
    <s v="53055235490_320478078547"/>
    <n v="780"/>
    <x v="24"/>
    <x v="34"/>
    <s v="20255CXBF"/>
    <n v="1"/>
    <s v="0"/>
    <s v="Y"/>
    <s v="3 件 4折"/>
    <s v="10******"/>
    <s v="****"/>
    <s v="0928000888,95921892#1"/>
    <s v=""/>
    <s v="臺北市"/>
    <s v="中正區"/>
    <s v="100"/>
    <s v="臺*****芝"/>
    <s v="賣家宅配：大型/超重物品運送"/>
    <s v=""/>
    <s v=""/>
    <s v="信用卡"/>
    <s v="2026-04-07 23:59"/>
    <s v="新竹物流8179111356"/>
    <s v="2026-04-04 14:26"/>
    <m/>
    <s v="2026-04-10 17:59"/>
    <s v=""/>
    <m/>
    <s v="學習周邊"/>
    <s v="蝦皮"/>
  </r>
  <r>
    <s v="260404VKMMD62C"/>
    <x v="0"/>
    <s v=""/>
    <s v=""/>
    <s v="m******i"/>
    <x v="3"/>
    <s v="950.00"/>
    <s v="0.00"/>
    <s v="0.00"/>
    <s v="0.00"/>
    <s v="950.00"/>
    <s v="0.00"/>
    <s v="0"/>
    <s v="0.00"/>
    <s v="SVC-1388249155797016;NYX2PMJ6H"/>
    <s v="20.00"/>
    <s v="0.00"/>
    <s v="200.00"/>
    <s v="98.00"/>
    <s v="45.00"/>
    <s v="29.00"/>
    <s v="0"/>
    <s v="2.50%"/>
    <s v=""/>
    <x v="25"/>
    <s v="53055235490"/>
    <s v="2501益智挑戰書+拼音語詞書(阿拉丁"/>
    <s v="320478078548"/>
    <s v="53055235490_320478078548"/>
    <n v="780"/>
    <x v="24"/>
    <x v="35"/>
    <s v="20255CXBB"/>
    <n v="1"/>
    <s v="0"/>
    <s v="Y"/>
    <s v="3 件 4折"/>
    <s v="10******"/>
    <s v="****"/>
    <s v="0928000888,95921892#1"/>
    <s v=""/>
    <s v="臺北市"/>
    <s v="中正區"/>
    <s v="100"/>
    <s v="臺*****芝"/>
    <s v="賣家宅配：大型/超重物品運送"/>
    <s v=""/>
    <s v=""/>
    <s v="信用卡"/>
    <s v="2026-04-07 23:59"/>
    <s v="新竹物流8179111356"/>
    <s v="2026-04-04 14:26"/>
    <m/>
    <s v="2026-04-10 17:59"/>
    <s v=""/>
    <m/>
    <s v="學習周邊"/>
    <s v="蝦皮"/>
  </r>
  <r>
    <s v="260404VKMMD62C"/>
    <x v="0"/>
    <s v=""/>
    <s v=""/>
    <s v="m******i"/>
    <x v="3"/>
    <s v="950.00"/>
    <s v="0.00"/>
    <s v="0.00"/>
    <s v="0.00"/>
    <s v="950.00"/>
    <s v="0.00"/>
    <s v="0"/>
    <s v="0.00"/>
    <s v="SVC-1388249155797016;NYX2PMJ6H"/>
    <s v="20.00"/>
    <s v="0.00"/>
    <s v="200.00"/>
    <s v="98.00"/>
    <s v="45.00"/>
    <s v="29.00"/>
    <s v="0"/>
    <s v="2.50%"/>
    <s v=""/>
    <x v="25"/>
    <s v="53055235490"/>
    <s v="2502益智挑戰書+拼音語詞書(調皮巫婆"/>
    <s v="320478078549"/>
    <s v="53055235490_320478078549"/>
    <n v="780"/>
    <x v="24"/>
    <x v="36"/>
    <s v="20255CXBC"/>
    <n v="1"/>
    <s v="0"/>
    <s v="Y"/>
    <s v="3 件 4折"/>
    <s v="10******"/>
    <s v="****"/>
    <s v="0928000888,95921892#1"/>
    <s v=""/>
    <s v="臺北市"/>
    <s v="中正區"/>
    <s v="100"/>
    <s v="臺*****芝"/>
    <s v="賣家宅配：大型/超重物品運送"/>
    <s v=""/>
    <s v=""/>
    <s v="信用卡"/>
    <s v="2026-04-07 23:59"/>
    <s v="新竹物流8179111356"/>
    <s v="2026-04-04 14:26"/>
    <m/>
    <s v="2026-04-10 17:59"/>
    <s v=""/>
    <m/>
    <s v="學習周邊"/>
    <s v="蝦皮"/>
  </r>
  <r>
    <s v="260404VKRTW1HK"/>
    <x v="0"/>
    <s v=""/>
    <s v=""/>
    <s v="h******2"/>
    <x v="3"/>
    <s v="2320.00"/>
    <s v="0.00"/>
    <s v="0.00"/>
    <s v="0.00"/>
    <s v="2320.00"/>
    <s v="0.00"/>
    <s v="0"/>
    <s v="0.00"/>
    <s v="SVC-1388249155797016;75ZPAT9XJ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0******"/>
    <s v="****"/>
    <s v="0928000888,80693537#1"/>
    <s v=""/>
    <s v="新竹市"/>
    <s v="東區"/>
    <s v="300"/>
    <s v="謝*宣"/>
    <s v="賣家宅配：大型/超重物品運送"/>
    <s v=""/>
    <s v=""/>
    <s v="信用卡"/>
    <s v="2026-04-07 23:59"/>
    <s v="新竹物流8179110074"/>
    <s v="2026-04-04 14:29"/>
    <m/>
    <s v="2026-04-28 12:35"/>
    <s v=""/>
    <m/>
    <s v="學習"/>
    <s v="蝦皮"/>
  </r>
  <r>
    <s v="260404VQQ8A8KN"/>
    <x v="0"/>
    <s v=""/>
    <s v=""/>
    <s v="g******8"/>
    <x v="3"/>
    <s v="5534.00"/>
    <s v="0.00"/>
    <s v="0.00"/>
    <s v="0.00"/>
    <s v="5534.00"/>
    <s v="0.00"/>
    <s v="0"/>
    <s v="0.00"/>
    <s v="75ZPAT9XJ;BENE0450"/>
    <s v="50.00"/>
    <s v="0.00"/>
    <s v="615.00"/>
    <s v="523.00"/>
    <s v="194.00"/>
    <s v="15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2******"/>
    <s v="****"/>
    <s v="0928000888,70089199#1"/>
    <s v=""/>
    <s v="高雄市"/>
    <s v="梓官區"/>
    <s v="826"/>
    <s v="李*"/>
    <s v="賣家宅配：大型/超重物品運送"/>
    <s v=""/>
    <s v=""/>
    <s v="信用卡"/>
    <s v="2026-04-07 23:59"/>
    <s v="新竹物流8179112395"/>
    <s v="2026-04-04 15:39"/>
    <m/>
    <s v="2026-04-09 17:46"/>
    <s v=""/>
    <m/>
    <s v="學習"/>
    <s v="蝦皮"/>
  </r>
  <r>
    <s v="260404VQQ8A8KN"/>
    <x v="0"/>
    <s v=""/>
    <s v=""/>
    <s v="g******8"/>
    <x v="3"/>
    <s v="5534.00"/>
    <s v="0.00"/>
    <s v="0.00"/>
    <s v="0.00"/>
    <s v="5534.00"/>
    <s v="0.00"/>
    <s v="0"/>
    <s v="0.00"/>
    <s v="75ZPAT9XJ;BENE0450"/>
    <s v="50.00"/>
    <s v="0.00"/>
    <s v="615.00"/>
    <s v="523.00"/>
    <s v="194.00"/>
    <s v="154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82******"/>
    <s v="****"/>
    <s v="0928000888,70089199#1"/>
    <s v=""/>
    <s v="高雄市"/>
    <s v="梓官區"/>
    <s v="826"/>
    <s v="李*"/>
    <s v="賣家宅配：大型/超重物品運送"/>
    <s v=""/>
    <s v=""/>
    <s v="信用卡"/>
    <s v="2026-04-07 23:59"/>
    <s v="新竹物流8179112395"/>
    <s v="2026-04-04 15:39"/>
    <m/>
    <s v="2026-04-09 17:46"/>
    <s v=""/>
    <m/>
    <s v="學習"/>
    <s v="蝦皮"/>
  </r>
  <r>
    <s v="260404VSDE5P7K"/>
    <x v="0"/>
    <s v=""/>
    <s v=""/>
    <s v="p******i"/>
    <x v="3"/>
    <s v="2653.00"/>
    <s v="0.00"/>
    <s v="0.00"/>
    <s v="0.00"/>
    <s v="2653.00"/>
    <s v="0.00"/>
    <s v="0"/>
    <s v="0.00"/>
    <s v="BENE0450;75ZPAT9XJ"/>
    <s v="50.00"/>
    <s v="0.00"/>
    <s v="295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3******"/>
    <s v="****"/>
    <s v="0928000888,72791862#1"/>
    <s v=""/>
    <s v="臺中市"/>
    <s v="梧棲區"/>
    <s v="435"/>
    <s v="戴*軒"/>
    <s v="賣家宅配：大型/超重物品運送"/>
    <s v=""/>
    <s v=""/>
    <s v="信用卡"/>
    <s v="2026-04-07 23:59"/>
    <s v="新竹物流8179110553"/>
    <s v="2026-04-04 16:10"/>
    <m/>
    <s v="2026-04-08 12:54"/>
    <s v=""/>
    <m/>
    <s v="學習"/>
    <s v="蝦皮"/>
  </r>
  <r>
    <s v="260404VW1KHFX0"/>
    <x v="0"/>
    <s v=""/>
    <s v=""/>
    <s v="n****0"/>
    <x v="3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23******"/>
    <s v="****"/>
    <s v="0928000888,48047891#1"/>
    <s v=""/>
    <s v="新北市"/>
    <s v="土城區"/>
    <s v="236"/>
    <s v="吳*元"/>
    <s v="賣家宅配：大型/超重物品運送"/>
    <s v=""/>
    <s v=""/>
    <s v="信用卡"/>
    <s v="2026-04-07 23:59"/>
    <s v="新竹物流8179110866"/>
    <s v="2026-04-04 17:15"/>
    <m/>
    <s v="2026-04-23 23:04"/>
    <s v=""/>
    <m/>
    <s v="學習周邊"/>
    <s v="蝦皮"/>
  </r>
  <r>
    <s v="260404VWJ6S51P"/>
    <x v="0"/>
    <s v=""/>
    <s v=""/>
    <s v="j****6"/>
    <x v="3"/>
    <s v="1740.00"/>
    <s v="0.00"/>
    <s v="0.00"/>
    <s v="0.00"/>
    <s v="1740.00"/>
    <s v="0.00"/>
    <s v="580"/>
    <s v="0.00"/>
    <s v="SVC-1388249155797016;75ZPAT9XJ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70******"/>
    <s v="****"/>
    <s v="0928000888,81842297#1"/>
    <s v=""/>
    <s v="臺南市"/>
    <s v="安平區"/>
    <s v="708"/>
    <s v="郭*廷"/>
    <s v="賣家宅配：大型/超重物品運送"/>
    <s v=""/>
    <s v=""/>
    <s v="信用卡"/>
    <s v="2026-04-07 23:59"/>
    <s v="新竹物流8179110085"/>
    <s v="2026-04-04 17:26"/>
    <m/>
    <s v="2026-04-14 06:38"/>
    <s v=""/>
    <m/>
    <s v="學習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19"/>
    <s v="26780776252"/>
    <s v="情緒管理"/>
    <s v="253328674405"/>
    <s v="26780776252_253328674405"/>
    <n v="375"/>
    <x v="20"/>
    <x v="27"/>
    <s v="20235C903"/>
    <n v="1"/>
    <s v="0"/>
    <s v="Y"/>
    <s v="3 件 4折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周邊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19"/>
    <s v="26780776252"/>
    <s v="培養專注力"/>
    <s v="253328674407"/>
    <s v="26780776252_253328674407"/>
    <n v="375"/>
    <x v="20"/>
    <x v="22"/>
    <s v="20255CXAC"/>
    <n v="1"/>
    <s v="0"/>
    <s v="Y"/>
    <s v="3 件 4折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周邊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26"/>
    <s v="27555825378"/>
    <s v=""/>
    <s v="233018555454"/>
    <s v="27555825378_233018555454"/>
    <n v="300"/>
    <x v="22"/>
    <x v="32"/>
    <s v="2023FC809"/>
    <n v="1"/>
    <s v="0"/>
    <s v="Y"/>
    <s v="3 件 4折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周邊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20"/>
    <s v="29630802050"/>
    <s v=""/>
    <s v="139297492793"/>
    <s v="29630802050_139297492793"/>
    <n v="950"/>
    <x v="21"/>
    <x v="23"/>
    <s v="20255CXAA"/>
    <n v="1"/>
    <s v="0"/>
    <s v="Y"/>
    <s v="3 件 4折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周邊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24"/>
    <s v="48855814036"/>
    <s v="記憶小高手"/>
    <s v="297387110146"/>
    <s v="48855814036_297387110146"/>
    <n v="350"/>
    <x v="23"/>
    <x v="30"/>
    <s v="20244C911"/>
    <n v="1"/>
    <s v="0"/>
    <s v="Y"/>
    <s v="3 件 4折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周邊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27"/>
    <s v="43303323280"/>
    <s v="3套全買"/>
    <s v="300275647484"/>
    <s v="43303323280_300275647484"/>
    <n v="3600"/>
    <x v="28"/>
    <x v="37"/>
    <s v="20250FXAC"/>
    <n v="1"/>
    <s v="0"/>
    <s v="N"/>
    <s v="-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"/>
    <s v="蝦皮"/>
  </r>
  <r>
    <s v="26040401229F3P"/>
    <x v="0"/>
    <s v=""/>
    <s v=""/>
    <s v="c******w"/>
    <x v="3"/>
    <s v="11088.00"/>
    <s v="0.00"/>
    <s v="0.00"/>
    <s v="0.00"/>
    <s v="11088.00"/>
    <s v="0.00"/>
    <s v="121"/>
    <s v="0.00"/>
    <s v="BENE0450;75ZPAT9XJ"/>
    <s v="50.00"/>
    <s v="0.00"/>
    <s v="1246.00"/>
    <s v="1059.00"/>
    <s v="384.00"/>
    <s v="311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0******"/>
    <s v="****"/>
    <s v="0928000888,97485948#1"/>
    <s v=""/>
    <s v="臺北市"/>
    <s v="中山區"/>
    <s v="104"/>
    <s v="楊*理"/>
    <s v="賣家宅配：大型/超重物品運送"/>
    <s v=""/>
    <s v=""/>
    <s v="信用卡"/>
    <s v="2026-04-07 23:59"/>
    <s v="新竹物流8179112406"/>
    <s v="2026-04-04 19:29"/>
    <m/>
    <s v="2026-04-27 11:20"/>
    <s v=""/>
    <m/>
    <s v="學習"/>
    <s v="蝦皮"/>
  </r>
  <r>
    <s v="26040401C9CNAP"/>
    <x v="0"/>
    <s v=""/>
    <s v=""/>
    <s v="l******9"/>
    <x v="3"/>
    <s v="3173.00"/>
    <s v="0.00"/>
    <s v="0.00"/>
    <s v="0.00"/>
    <s v="3173.00"/>
    <s v="0.00"/>
    <s v="0"/>
    <s v="0.00"/>
    <s v="BENE0450;WV4QYT5BV"/>
    <s v="50.00"/>
    <s v="0.00"/>
    <s v="276.00"/>
    <s v="293.00"/>
    <s v="113.00"/>
    <s v="86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90******"/>
    <s v="****"/>
    <s v="0928000888,91058409#1"/>
    <s v=""/>
    <s v="屏東縣"/>
    <s v="屏東市"/>
    <s v="900"/>
    <s v="洪*齡"/>
    <s v="賣家宅配：大型/超重物品運送"/>
    <s v=""/>
    <s v=""/>
    <s v="信用卡"/>
    <s v="2026-04-07 23:59"/>
    <s v="新竹物流8179111986"/>
    <s v="2026-04-04 19:34"/>
    <m/>
    <s v="2026-04-28 16:37"/>
    <s v=""/>
    <m/>
    <s v="學習周邊"/>
    <s v="蝦皮"/>
  </r>
  <r>
    <s v="26040401C9CNAP"/>
    <x v="0"/>
    <s v=""/>
    <s v=""/>
    <s v="l******9"/>
    <x v="3"/>
    <s v="3173.00"/>
    <s v="0.00"/>
    <s v="0.00"/>
    <s v="0.00"/>
    <s v="3173.00"/>
    <s v="0.00"/>
    <s v="0"/>
    <s v="0.00"/>
    <s v="BENE0450;WV4QYT5BV"/>
    <s v="50.00"/>
    <s v="0.00"/>
    <s v="276.00"/>
    <s v="293.00"/>
    <s v="113.00"/>
    <s v="86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90******"/>
    <s v="****"/>
    <s v="0928000888,91058409#1"/>
    <s v=""/>
    <s v="屏東縣"/>
    <s v="屏東市"/>
    <s v="900"/>
    <s v="洪*齡"/>
    <s v="賣家宅配：大型/超重物品運送"/>
    <s v=""/>
    <s v=""/>
    <s v="信用卡"/>
    <s v="2026-04-07 23:59"/>
    <s v="新竹物流8179111986"/>
    <s v="2026-04-04 19:34"/>
    <m/>
    <s v="2026-04-28 16:37"/>
    <s v=""/>
    <m/>
    <s v="學習"/>
    <s v="蝦皮"/>
  </r>
  <r>
    <s v="260404027SNH6X"/>
    <x v="0"/>
    <s v=""/>
    <s v=""/>
    <s v="y******8"/>
    <x v="3"/>
    <s v="2320.00"/>
    <s v="0.00"/>
    <s v="0.00"/>
    <s v="0.00"/>
    <s v="2320.00"/>
    <s v="0.00"/>
    <s v="0"/>
    <s v="0.00"/>
    <s v="SVC-1388249155797016;75ZPAT9XJ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71******"/>
    <s v="****"/>
    <s v="0928000888,45075695#1"/>
    <s v=""/>
    <s v="臺南市"/>
    <s v="歸仁區"/>
    <s v="711"/>
    <s v="周*泰"/>
    <s v="賣家宅配：大型/超重物品運送"/>
    <s v=""/>
    <s v=""/>
    <s v="信用卡"/>
    <s v="2026-04-07 23:59"/>
    <s v="新竹物流8179109971"/>
    <s v="2026-04-04 19:49"/>
    <m/>
    <s v="2026-04-11 08:12"/>
    <s v=""/>
    <m/>
    <s v="學習"/>
    <s v="蝦皮"/>
  </r>
  <r>
    <s v="260404058P0AUW"/>
    <x v="0"/>
    <s v=""/>
    <s v=""/>
    <s v="z****2"/>
    <x v="3"/>
    <s v="2835.00"/>
    <s v="0.00"/>
    <s v="0.00"/>
    <s v="0.00"/>
    <s v="2835.00"/>
    <s v="0.00"/>
    <s v="0"/>
    <s v="0.00"/>
    <s v="BENE0450;75ZPAT9XJ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74******"/>
    <s v="****"/>
    <s v="0928000888,86502497#1"/>
    <s v=""/>
    <s v="臺南市"/>
    <s v="安定區"/>
    <s v="745"/>
    <s v="楊*瑜"/>
    <s v="賣家宅配：大型/超重物品運送"/>
    <s v=""/>
    <s v=""/>
    <s v="信用卡"/>
    <s v="2026-04-07 23:59"/>
    <s v="新竹物流8179110192"/>
    <s v="2026-04-04 20:41"/>
    <m/>
    <s v="2026-04-08 14:07"/>
    <s v=""/>
    <m/>
    <s v="學習"/>
    <s v="蝦皮"/>
  </r>
  <r>
    <s v="26040406R56QNN"/>
    <x v="0"/>
    <s v=""/>
    <s v=""/>
    <s v="i******y"/>
    <x v="3"/>
    <s v="7369.00"/>
    <s v="0.00"/>
    <s v="0.00"/>
    <s v="0.00"/>
    <s v="7369.00"/>
    <s v="0.00"/>
    <s v="54"/>
    <s v="0.00"/>
    <s v="BENE0450;75ZPAT9XJ"/>
    <s v="50.00"/>
    <s v="0.00"/>
    <s v="825.00"/>
    <s v="701.00"/>
    <s v="257.00"/>
    <s v="206.00"/>
    <s v="0"/>
    <s v="2.50%"/>
    <s v=""/>
    <x v="5"/>
    <s v="29842502974"/>
    <s v="(加購)白沙屯媽祖祈福禮盒"/>
    <s v="259020882903"/>
    <s v="29842502974_259020882903"/>
    <n v="7020"/>
    <x v="29"/>
    <x v="5"/>
    <s v="20250FXAS"/>
    <n v="1"/>
    <s v="0"/>
    <s v="N"/>
    <s v="-"/>
    <s v="70******"/>
    <s v="****"/>
    <s v="0928000888,55538222#1"/>
    <s v=""/>
    <s v="臺南市"/>
    <s v="安南區"/>
    <s v="709"/>
    <s v="林*萱"/>
    <s v="賣家宅配：大型/超重物品運送"/>
    <s v=""/>
    <s v=""/>
    <s v="信用卡"/>
    <s v="2026-04-07 23:59"/>
    <s v="新竹物流8179110634"/>
    <s v="2026-04-04 21:08"/>
    <m/>
    <s v="2026-04-28 14:27"/>
    <s v=""/>
    <m/>
    <s v="學習"/>
    <s v="蝦皮"/>
  </r>
  <r>
    <s v="26040406R56QNN"/>
    <x v="0"/>
    <s v=""/>
    <s v=""/>
    <s v="i******y"/>
    <x v="3"/>
    <s v="7369.00"/>
    <s v="0.00"/>
    <s v="0.00"/>
    <s v="0.00"/>
    <s v="7369.00"/>
    <s v="0.00"/>
    <s v="54"/>
    <s v="0.00"/>
    <s v="BENE0450;75ZPAT9XJ"/>
    <s v="50.00"/>
    <s v="0.00"/>
    <s v="825.00"/>
    <s v="701.00"/>
    <s v="257.00"/>
    <s v="206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70******"/>
    <s v="****"/>
    <s v="0928000888,55538222#1"/>
    <s v=""/>
    <s v="臺南市"/>
    <s v="安南區"/>
    <s v="709"/>
    <s v="林*萱"/>
    <s v="賣家宅配：大型/超重物品運送"/>
    <s v=""/>
    <s v=""/>
    <s v="信用卡"/>
    <s v="2026-04-07 23:59"/>
    <s v="新竹物流8179110634"/>
    <s v="2026-04-04 21:08"/>
    <m/>
    <s v="2026-04-28 14:27"/>
    <s v=""/>
    <m/>
    <s v="學習"/>
    <s v="蝦皮"/>
  </r>
  <r>
    <s v="2604040A01RBVN"/>
    <x v="0"/>
    <s v=""/>
    <s v=""/>
    <s v="a******6"/>
    <x v="3"/>
    <s v="2320.00"/>
    <s v="0.00"/>
    <s v="0.00"/>
    <s v="0.00"/>
    <s v="2320.00"/>
    <s v="0.00"/>
    <s v="0"/>
    <s v="0.00"/>
    <s v="SVC-1388249155797016;75ZPAT9XJ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97******"/>
    <s v="****"/>
    <s v="0928000888,17177670#1"/>
    <s v=""/>
    <s v="花蓮縣"/>
    <s v="花蓮市"/>
    <s v="970"/>
    <s v="周*柔"/>
    <s v="賣家宅配：大型/超重物品運送"/>
    <s v=""/>
    <s v=""/>
    <s v="信用卡"/>
    <s v="2026-04-07 23:59"/>
    <s v="新竹物流8179109982"/>
    <s v="2026-04-04 22:06"/>
    <m/>
    <s v="2026-04-19 18:14"/>
    <s v=""/>
    <m/>
    <s v="學習"/>
    <s v="蝦皮"/>
  </r>
  <r>
    <s v="2604040ARSAUS8"/>
    <x v="0"/>
    <s v=""/>
    <s v=""/>
    <s v="j****c"/>
    <x v="3"/>
    <s v="2833.00"/>
    <s v="0.00"/>
    <s v="0.00"/>
    <s v="0.00"/>
    <s v="2833.00"/>
    <s v="0.00"/>
    <s v="2"/>
    <s v="0.00"/>
    <s v="BENE0450;75ZPAT9XJ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28045963#1"/>
    <s v=""/>
    <s v="新竹縣"/>
    <s v="竹北市"/>
    <s v="302"/>
    <s v="陳*臻"/>
    <s v="賣家宅配：大型/超重物品運送"/>
    <s v=""/>
    <s v=""/>
    <s v="信用卡"/>
    <s v="2026-04-07 23:59"/>
    <s v="新竹物流8179110203"/>
    <s v="2026-04-04 22:20"/>
    <m/>
    <s v="2026-04-08 20:30"/>
    <s v=""/>
    <m/>
    <s v="學習"/>
    <s v="蝦皮"/>
  </r>
  <r>
    <s v="2604040B5Q6QS5"/>
    <x v="0"/>
    <s v=""/>
    <s v=""/>
    <s v="i******6"/>
    <x v="3"/>
    <s v="4305.00"/>
    <s v="0.00"/>
    <s v="0.00"/>
    <s v="0.00"/>
    <s v="4305.00"/>
    <s v="0.00"/>
    <s v="60"/>
    <s v="0.00"/>
    <s v="BENE0450;75ZPAT9XJ"/>
    <s v="50.00"/>
    <s v="0.00"/>
    <s v="485.00"/>
    <s v="412.00"/>
    <s v="156.00"/>
    <s v="12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10******"/>
    <s v="****"/>
    <s v="0928000888,57311892#1"/>
    <s v=""/>
    <s v="臺北市"/>
    <s v="中山區"/>
    <s v="104"/>
    <s v="陳*穎"/>
    <s v="賣家宅配：大型/超重物品運送"/>
    <s v=""/>
    <s v=""/>
    <s v="信用卡"/>
    <s v="2026-04-07 23:59"/>
    <s v="新竹物流8179110623"/>
    <s v="2026-04-04 22:29"/>
    <m/>
    <s v="2026-04-09 12:37"/>
    <s v=""/>
    <m/>
    <s v="學習"/>
    <s v="蝦皮"/>
  </r>
  <r>
    <s v="2604040BFNNN1U"/>
    <x v="1"/>
    <s v="被買家取消，原因 : 改變心意(例如:不想買了,發現更便宜的價格....)"/>
    <s v=""/>
    <s v="v******5"/>
    <x v="3"/>
    <s v="2653.00"/>
    <s v="0.00"/>
    <s v="0.00"/>
    <s v="0.00"/>
    <s v="0.00"/>
    <s v="0.00"/>
    <s v="0"/>
    <s v="0.00"/>
    <s v="BENE0450;75ZPAT9XJ"/>
    <s v="0.00"/>
    <s v="0.00"/>
    <s v="0.00"/>
    <s v="0.00"/>
    <s v="0.00"/>
    <s v="0.00"/>
    <s v="3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5******"/>
    <s v="****"/>
    <s v=""/>
    <s v=""/>
    <s v="苗栗縣"/>
    <s v="後龍鎮"/>
    <s v="356"/>
    <s v="林*傑"/>
    <s v="賣家宅配：大型/超重物品運送"/>
    <s v=""/>
    <s v=""/>
    <s v="信用卡分期付款"/>
    <s v="2026-04-07 23:59"/>
    <s v=""/>
    <s v="2026-04-04 22:32"/>
    <m/>
    <s v=""/>
    <s v=""/>
    <m/>
    <s v="學習"/>
    <s v="蝦皮"/>
  </r>
  <r>
    <s v="2604040BQ08UVE"/>
    <x v="0"/>
    <s v=""/>
    <s v=""/>
    <s v="p******o"/>
    <x v="3"/>
    <s v="2320.00"/>
    <s v="0.00"/>
    <s v="0.00"/>
    <s v="0.00"/>
    <s v="2320.00"/>
    <s v="0.00"/>
    <s v="0"/>
    <s v="0.00"/>
    <s v="SVC-1388249155797016;75ZPAT9XJ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90561307#1"/>
    <s v=""/>
    <s v="新北市"/>
    <s v="新店區"/>
    <s v="231"/>
    <s v="潘*涵"/>
    <s v="賣家宅配：大型/超重物品運送"/>
    <s v=""/>
    <s v=""/>
    <s v="信用卡"/>
    <s v="2026-04-07 23:59"/>
    <s v="新竹物流8179109993"/>
    <s v="2026-04-04 22:36"/>
    <m/>
    <s v="2026-04-08 19:54"/>
    <s v=""/>
    <m/>
    <s v="學習"/>
    <s v="蝦皮"/>
  </r>
  <r>
    <s v="2604040BUSVJKM"/>
    <x v="0"/>
    <s v=""/>
    <s v=""/>
    <s v="j******5"/>
    <x v="3"/>
    <s v="598.00"/>
    <s v="0.00"/>
    <s v="0.00"/>
    <s v="0.00"/>
    <s v="598.00"/>
    <s v="0.00"/>
    <s v="0"/>
    <s v="0.00"/>
    <s v=""/>
    <s v="0.00"/>
    <s v="0.00"/>
    <s v="0.00"/>
    <s v="51.00"/>
    <s v="28.00"/>
    <s v="15.00"/>
    <s v="0"/>
    <s v="2.50%"/>
    <s v=""/>
    <x v="7"/>
    <s v="28157944827"/>
    <s v="無繪本"/>
    <s v="276894603061"/>
    <s v="28157944827_276894603061"/>
    <n v="399"/>
    <x v="6"/>
    <x v="6"/>
    <s v="20250FXAM"/>
    <n v="2"/>
    <s v="0"/>
    <s v="N"/>
    <s v="-"/>
    <s v="51******"/>
    <s v="****"/>
    <s v="0928000888,42711899#1"/>
    <s v=""/>
    <s v="彰化縣"/>
    <s v="埔心鄉"/>
    <s v="513"/>
    <s v="江*慧"/>
    <s v="賣家宅配：大型/超重物品運送"/>
    <s v=""/>
    <s v=""/>
    <s v="信用卡"/>
    <s v="2026-04-07 23:59"/>
    <s v="新竹物流8179110601/8179110612"/>
    <s v="2026-04-04 22:39"/>
    <m/>
    <s v="2026-04-08 17:23"/>
    <s v=""/>
    <m/>
    <s v="學習周邊"/>
    <s v="蝦皮"/>
  </r>
  <r>
    <s v="2604040CR3T7U8"/>
    <x v="0"/>
    <s v=""/>
    <s v=""/>
    <s v="c*****9"/>
    <x v="3"/>
    <s v="3021.00"/>
    <s v="0.00"/>
    <s v="0.00"/>
    <s v="0.00"/>
    <s v="3021.00"/>
    <s v="0.00"/>
    <s v="0"/>
    <s v="0.00"/>
    <s v="BENE0450;75ZPAT9XJ"/>
    <s v="50.00"/>
    <s v="0.00"/>
    <s v="336.00"/>
    <s v="285.00"/>
    <s v="111.00"/>
    <s v="84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33******"/>
    <s v="****"/>
    <s v="0928000888,54748104#1"/>
    <s v=""/>
    <s v="桃園市"/>
    <s v="龜山區"/>
    <s v="333"/>
    <s v="李*諭"/>
    <s v="賣家宅配：大型/超重物品運送"/>
    <s v=""/>
    <s v=""/>
    <s v="信用卡"/>
    <s v="2026-04-07 23:59"/>
    <s v="新竹物流8179110704"/>
    <s v="2026-04-04 22:55"/>
    <m/>
    <s v="2026-04-15 01:00"/>
    <s v=""/>
    <m/>
    <s v="學習周邊"/>
    <s v="蝦皮"/>
  </r>
  <r>
    <s v="2604040CR3T7U8"/>
    <x v="0"/>
    <s v=""/>
    <s v=""/>
    <s v="c*****9"/>
    <x v="3"/>
    <s v="3021.00"/>
    <s v="0.00"/>
    <s v="0.00"/>
    <s v="0.00"/>
    <s v="3021.00"/>
    <s v="0.00"/>
    <s v="0"/>
    <s v="0.00"/>
    <s v="BENE0450;75ZPAT9XJ"/>
    <s v="50.00"/>
    <s v="0.00"/>
    <s v="336.00"/>
    <s v="285.00"/>
    <s v="111.00"/>
    <s v="84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33******"/>
    <s v="****"/>
    <s v="0928000888,54748104#1"/>
    <s v=""/>
    <s v="桃園市"/>
    <s v="龜山區"/>
    <s v="333"/>
    <s v="李*諭"/>
    <s v="賣家宅配：大型/超重物品運送"/>
    <s v=""/>
    <s v=""/>
    <s v="信用卡"/>
    <s v="2026-04-07 23:59"/>
    <s v="新竹物流8179110704"/>
    <s v="2026-04-04 22:55"/>
    <m/>
    <s v="2026-04-15 01:00"/>
    <s v=""/>
    <m/>
    <s v="學習周邊"/>
    <s v="蝦皮"/>
  </r>
  <r>
    <s v="2604040CR3T7U8"/>
    <x v="0"/>
    <s v=""/>
    <s v=""/>
    <s v="c*****9"/>
    <x v="3"/>
    <s v="3021.00"/>
    <s v="0.00"/>
    <s v="0.00"/>
    <s v="0.00"/>
    <s v="3021.00"/>
    <s v="0.00"/>
    <s v="0"/>
    <s v="0.00"/>
    <s v="BENE0450;75ZPAT9XJ"/>
    <s v="50.00"/>
    <s v="0.00"/>
    <s v="336.00"/>
    <s v="285.00"/>
    <s v="111.00"/>
    <s v="8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3******"/>
    <s v="****"/>
    <s v="0928000888,54748104#1"/>
    <s v=""/>
    <s v="桃園市"/>
    <s v="龜山區"/>
    <s v="333"/>
    <s v="李*諭"/>
    <s v="賣家宅配：大型/超重物品運送"/>
    <s v=""/>
    <s v=""/>
    <s v="信用卡"/>
    <s v="2026-04-07 23:59"/>
    <s v="新竹物流8179110704"/>
    <s v="2026-04-04 22:55"/>
    <m/>
    <s v="2026-04-15 01:00"/>
    <s v=""/>
    <m/>
    <s v="學習"/>
    <s v="蝦皮"/>
  </r>
  <r>
    <s v="2604040E3S0BA9"/>
    <x v="0"/>
    <s v=""/>
    <s v=""/>
    <s v="j******1"/>
    <x v="3"/>
    <s v="6120.00"/>
    <s v="0.00"/>
    <s v="0.00"/>
    <s v="0.00"/>
    <s v="6120.00"/>
    <s v="0.00"/>
    <s v="0"/>
    <s v="0.00"/>
    <s v="BENE0450;75ZPAT9XJ"/>
    <s v="50.00"/>
    <s v="0.00"/>
    <s v="680.00"/>
    <s v="578.00"/>
    <s v="214.00"/>
    <s v="170.00"/>
    <s v="0"/>
    <s v="2.50%"/>
    <s v=""/>
    <x v="17"/>
    <s v="27630789688"/>
    <s v=""/>
    <s v="99141399810"/>
    <s v="27630789688_99141399810"/>
    <n v="600"/>
    <x v="18"/>
    <x v="19"/>
    <s v="20235C603"/>
    <n v="1"/>
    <s v="0"/>
    <s v="N"/>
    <s v="-"/>
    <s v="35******"/>
    <s v="****"/>
    <s v="0928000888,72698353#1"/>
    <s v=""/>
    <s v="苗栗縣"/>
    <s v="頭份市"/>
    <s v="351"/>
    <s v="謝*誼"/>
    <s v="賣家宅配：大型/超重物品運送"/>
    <s v=""/>
    <s v=""/>
    <s v="信用卡"/>
    <s v="2026-04-07 23:59"/>
    <s v="新竹物流8179110715"/>
    <s v="2026-04-04 23:19"/>
    <m/>
    <s v="2026-04-08 22:00"/>
    <s v=""/>
    <m/>
    <s v="學習周邊"/>
    <s v="蝦皮"/>
  </r>
  <r>
    <s v="2604040E3S0BA9"/>
    <x v="0"/>
    <s v=""/>
    <s v=""/>
    <s v="j******1"/>
    <x v="3"/>
    <s v="6120.00"/>
    <s v="0.00"/>
    <s v="0.00"/>
    <s v="0.00"/>
    <s v="6120.00"/>
    <s v="0.00"/>
    <s v="0"/>
    <s v="0.00"/>
    <s v="BENE0450;75ZPAT9XJ"/>
    <s v="50.00"/>
    <s v="0.00"/>
    <s v="680.00"/>
    <s v="578.00"/>
    <s v="214.00"/>
    <s v="170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35******"/>
    <s v="****"/>
    <s v="0928000888,72698353#1"/>
    <s v=""/>
    <s v="苗栗縣"/>
    <s v="頭份市"/>
    <s v="351"/>
    <s v="謝*誼"/>
    <s v="賣家宅配：大型/超重物品運送"/>
    <s v=""/>
    <s v=""/>
    <s v="信用卡"/>
    <s v="2026-04-07 23:59"/>
    <s v="新竹物流8179110715"/>
    <s v="2026-04-04 23:19"/>
    <m/>
    <s v="2026-04-08 22:00"/>
    <s v=""/>
    <m/>
    <s v="學習"/>
    <s v="蝦皮"/>
  </r>
  <r>
    <s v="2604040E3S0BA9"/>
    <x v="0"/>
    <s v=""/>
    <s v=""/>
    <s v="j******1"/>
    <x v="3"/>
    <s v="6120.00"/>
    <s v="0.00"/>
    <s v="0.00"/>
    <s v="0.00"/>
    <s v="6120.00"/>
    <s v="0.00"/>
    <s v="0"/>
    <s v="0.00"/>
    <s v="BENE0450;75ZPAT9XJ"/>
    <s v="50.00"/>
    <s v="0.00"/>
    <s v="680.00"/>
    <s v="578.00"/>
    <s v="214.00"/>
    <s v="17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5******"/>
    <s v="****"/>
    <s v="0928000888,72698353#1"/>
    <s v=""/>
    <s v="苗栗縣"/>
    <s v="頭份市"/>
    <s v="351"/>
    <s v="謝*誼"/>
    <s v="賣家宅配：大型/超重物品運送"/>
    <s v=""/>
    <s v=""/>
    <s v="信用卡"/>
    <s v="2026-04-07 23:59"/>
    <s v="新竹物流8179110715"/>
    <s v="2026-04-04 23:19"/>
    <m/>
    <s v="2026-04-08 22:00"/>
    <s v=""/>
    <m/>
    <s v="學習"/>
    <s v="蝦皮"/>
  </r>
  <r>
    <s v="2604040G1MS9D3"/>
    <x v="0"/>
    <s v=""/>
    <s v=""/>
    <s v="g******y"/>
    <x v="3"/>
    <s v="2835.00"/>
    <s v="0.00"/>
    <s v="0.00"/>
    <s v="0.00"/>
    <s v="2835.00"/>
    <s v="0.00"/>
    <s v="0"/>
    <s v="0.00"/>
    <s v="BENE0450;75ZPAT9XJ"/>
    <s v="50.00"/>
    <s v="0.00"/>
    <s v="315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80******"/>
    <s v="****"/>
    <s v="0928000888,94929791#1"/>
    <s v=""/>
    <s v="高雄市"/>
    <s v="三民區"/>
    <s v="807"/>
    <s v="柯*姍"/>
    <s v="賣家宅配：大型/超重物品運送"/>
    <s v=""/>
    <s v=""/>
    <s v="信用卡"/>
    <s v="2026-04-07 23:59"/>
    <s v="新竹物流8179110682"/>
    <s v="2026-04-04 23:54"/>
    <m/>
    <s v="2026-04-09 01:07"/>
    <s v=""/>
    <m/>
    <s v="學習"/>
    <s v="蝦皮"/>
  </r>
  <r>
    <s v="2604040G961WB0"/>
    <x v="0"/>
    <s v=""/>
    <s v=""/>
    <s v="s******7"/>
    <x v="3"/>
    <s v="2835.00"/>
    <s v="0.00"/>
    <s v="0.00"/>
    <s v="0.00"/>
    <s v="2835.00"/>
    <s v="0.00"/>
    <s v="0"/>
    <s v="0.00"/>
    <s v="BENE0450;75ZPAT9XJ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3******"/>
    <s v="****"/>
    <s v="0928000888,91944105#1"/>
    <s v=""/>
    <s v="桃園市"/>
    <s v="八德區"/>
    <s v="334"/>
    <s v="張*淨"/>
    <s v="賣家宅配：大型/超重物品運送"/>
    <s v=""/>
    <s v=""/>
    <s v="信用卡"/>
    <s v="2026-04-07 23:59"/>
    <s v="新竹物流8179110214"/>
    <s v="2026-04-04 23:59"/>
    <m/>
    <s v="2026-04-28 12:37"/>
    <s v=""/>
    <m/>
    <s v="學習"/>
    <s v="蝦皮"/>
  </r>
  <r>
    <s v="2604040GAC8NWM"/>
    <x v="0"/>
    <s v=""/>
    <s v=""/>
    <s v="f****1"/>
    <x v="3"/>
    <s v="1934.00"/>
    <s v="0.00"/>
    <s v="0.00"/>
    <s v="0.00"/>
    <s v="1934.00"/>
    <s v="0.00"/>
    <s v="644"/>
    <s v="0.00"/>
    <s v="SVC-1388249155797016;HCTZYUTNG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1******"/>
    <s v="****"/>
    <s v="0928000888,18010807#1"/>
    <s v=""/>
    <s v="臺北市"/>
    <s v="北投區"/>
    <s v="112"/>
    <s v="劉*廷"/>
    <s v="賣家宅配：大型/超重物品運送"/>
    <s v=""/>
    <s v=""/>
    <s v="信用卡"/>
    <s v="2026-04-07 23:59"/>
    <s v="新竹物流8179110004"/>
    <s v="2026-04-04 23:59"/>
    <m/>
    <s v="2026-04-11 07:52"/>
    <s v=""/>
    <m/>
    <s v="學習"/>
    <s v="蝦皮"/>
  </r>
  <r>
    <s v="2604050J44DYNK"/>
    <x v="0"/>
    <s v=""/>
    <s v=""/>
    <s v="m******a"/>
    <x v="4"/>
    <s v="2800.00"/>
    <s v="0.00"/>
    <s v="0.00"/>
    <s v="0.00"/>
    <s v="2800.00"/>
    <s v="0.00"/>
    <s v="0"/>
    <s v="0.00"/>
    <s v="BENE0450;45A9RJJ3Q"/>
    <s v="50.00"/>
    <s v="0.00"/>
    <s v="148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23******"/>
    <s v="****"/>
    <s v="0928000888,51130282#1"/>
    <s v=""/>
    <s v="新北市"/>
    <s v="樹林區"/>
    <s v="238"/>
    <s v="鄭*倩"/>
    <s v="賣家宅配：大型/超重物品運送"/>
    <s v=""/>
    <s v=""/>
    <s v="信用卡"/>
    <s v="2026-04-08 23:59"/>
    <s v="新竹物流8179110564"/>
    <s v="2026-04-05 00:31"/>
    <m/>
    <s v="2026-04-12 22:43"/>
    <s v=""/>
    <m/>
    <s v="學習"/>
    <s v="蝦皮"/>
  </r>
  <r>
    <s v="2604050TXKB3PR"/>
    <x v="0"/>
    <s v=""/>
    <s v="已同意申請"/>
    <s v="g******s"/>
    <x v="4"/>
    <s v="2070.00"/>
    <s v="0.00"/>
    <s v="0.00"/>
    <s v="0.00"/>
    <s v="0.00"/>
    <s v="0.00"/>
    <s v="0"/>
    <s v="0.00"/>
    <s v="BENE0420;QMRWXBFKP"/>
    <s v="0.00"/>
    <s v="0.00"/>
    <s v="0.00"/>
    <s v="0.00"/>
    <s v="0.00"/>
    <s v="0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1"/>
    <s v="N"/>
    <s v="-"/>
    <s v="22******"/>
    <s v="****"/>
    <s v="0928000888,17977117#1"/>
    <s v=""/>
    <s v="新北市"/>
    <s v="板橋區"/>
    <s v="220"/>
    <s v="洪*芬"/>
    <s v="賣家宅配：大型/超重物品運送"/>
    <s v=""/>
    <s v=""/>
    <s v="信用卡"/>
    <s v="2026-04-08 23:59"/>
    <s v="新竹物流8179110656"/>
    <s v="2026-04-05 03:09"/>
    <m/>
    <s v="2026-04-13 19:33"/>
    <s v=""/>
    <m/>
    <s v="學習"/>
    <s v="蝦皮"/>
  </r>
  <r>
    <s v="2604050YYH7QAE"/>
    <x v="0"/>
    <s v=""/>
    <s v=""/>
    <s v="w******i"/>
    <x v="4"/>
    <s v="2961.00"/>
    <s v="0.00"/>
    <s v="0.00"/>
    <s v="0.00"/>
    <s v="2961.00"/>
    <s v="0.00"/>
    <s v="0"/>
    <s v="0.00"/>
    <s v="BENE0450;NMB76XG5J"/>
    <s v="50.00"/>
    <s v="0.00"/>
    <s v="189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1******"/>
    <s v="****"/>
    <s v="0928000888,74874722#1"/>
    <s v=""/>
    <s v="臺北市"/>
    <s v="北投區"/>
    <s v="112"/>
    <s v="張*棻"/>
    <s v="賣家宅配：大型/超重物品運送"/>
    <s v=""/>
    <s v=""/>
    <s v="信用卡"/>
    <s v="2026-04-08 23:59"/>
    <s v="新竹物流8179110240"/>
    <s v="2026-04-05 04:39"/>
    <m/>
    <s v="2026-04-08 16:54"/>
    <s v=""/>
    <m/>
    <s v="學習"/>
    <s v="蝦皮"/>
  </r>
  <r>
    <s v="2604051BKXC0NK"/>
    <x v="0"/>
    <s v=""/>
    <s v=""/>
    <s v="s******0"/>
    <x v="4"/>
    <s v="2426.00"/>
    <s v="0.00"/>
    <s v="0.00"/>
    <s v="0.00"/>
    <s v="2426.00"/>
    <s v="0.00"/>
    <s v="0"/>
    <s v="0.00"/>
    <s v="BENE0420;QMRWXBFKP"/>
    <s v="20.00"/>
    <s v="0.00"/>
    <s v="128.00"/>
    <s v="217.00"/>
    <s v="87.00"/>
    <s v="64.00"/>
    <s v="3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23******"/>
    <s v="****"/>
    <s v="0928000888,05488720#1"/>
    <s v=""/>
    <s v="新北市"/>
    <s v="土城區"/>
    <s v="236"/>
    <s v="許*萱"/>
    <s v="賣家宅配：大型/超重物品運送"/>
    <s v=""/>
    <s v=""/>
    <s v="信用卡分期付款"/>
    <s v="2026-04-08 23:59"/>
    <s v="新竹物流8179110660"/>
    <s v="2026-04-05 08:08"/>
    <m/>
    <s v="2026-04-28 14:32"/>
    <s v=""/>
    <m/>
    <s v="學習"/>
    <s v="蝦皮"/>
  </r>
  <r>
    <s v="2604051BKXC0NK"/>
    <x v="0"/>
    <s v=""/>
    <s v=""/>
    <s v="s******0"/>
    <x v="4"/>
    <s v="2426.00"/>
    <s v="0.00"/>
    <s v="0.00"/>
    <s v="0.00"/>
    <s v="2426.00"/>
    <s v="0.00"/>
    <s v="0"/>
    <s v="0.00"/>
    <s v="BENE0420;QMRWXBFKP"/>
    <s v="20.00"/>
    <s v="0.00"/>
    <s v="128.00"/>
    <s v="217.00"/>
    <s v="87.00"/>
    <s v="64.00"/>
    <s v="3"/>
    <s v="2.50%"/>
    <s v=""/>
    <x v="21"/>
    <s v="49555184608"/>
    <s v="潛能大挑戰(認識整點鐘)+貼紙"/>
    <s v="405475283662"/>
    <s v="49555184608_405475283662"/>
    <n v="375"/>
    <x v="30"/>
    <x v="25"/>
    <s v="20254CXAM"/>
    <n v="1"/>
    <s v="0"/>
    <s v="N"/>
    <s v="-"/>
    <s v="23******"/>
    <s v="****"/>
    <s v="0928000888,05488720#1"/>
    <s v=""/>
    <s v="新北市"/>
    <s v="土城區"/>
    <s v="236"/>
    <s v="許*萱"/>
    <s v="賣家宅配：大型/超重物品運送"/>
    <s v=""/>
    <s v=""/>
    <s v="信用卡分期付款"/>
    <s v="2026-04-08 23:59"/>
    <s v="新竹物流8179110660"/>
    <s v="2026-04-05 08:08"/>
    <m/>
    <s v="2026-04-28 14:32"/>
    <s v=""/>
    <m/>
    <s v="學習周邊"/>
    <s v="蝦皮"/>
  </r>
  <r>
    <s v="2604051J9TUQK0"/>
    <x v="0"/>
    <s v=""/>
    <s v=""/>
    <s v="h******5"/>
    <x v="4"/>
    <s v="292.00"/>
    <s v="100.00"/>
    <s v="0.00"/>
    <s v="0.00"/>
    <s v="392.00"/>
    <s v="0.00"/>
    <s v="7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24******"/>
    <s v="****"/>
    <s v="0928000888,83969815#1"/>
    <s v=""/>
    <s v="新北市"/>
    <s v="蘆洲區"/>
    <s v="247"/>
    <s v="黃*綺"/>
    <s v="賣家宅配：大型/超重物品運送"/>
    <s v=""/>
    <s v=""/>
    <s v="信用卡"/>
    <s v="2026-04-08 23:59"/>
    <s v="新竹物流8179110881"/>
    <s v="2026-04-05 10:07"/>
    <m/>
    <s v="2026-04-11 18:59"/>
    <s v=""/>
    <m/>
    <s v="學習周邊"/>
    <s v="蝦皮"/>
  </r>
  <r>
    <s v="2604051UQ0NSC2"/>
    <x v="1"/>
    <s v="被買家取消，原因 : 改變心意(例如:不想買了,發現更便宜的價格....)"/>
    <s v=""/>
    <s v="h******0"/>
    <x v="4"/>
    <s v="979.00"/>
    <s v="0.00"/>
    <s v="0.00"/>
    <s v="0.00"/>
    <s v="0.00"/>
    <s v="0.00"/>
    <s v="0"/>
    <s v="0.00"/>
    <s v="BENE0420"/>
    <s v="0.00"/>
    <s v="0.00"/>
    <s v="0.00"/>
    <s v="0.00"/>
    <s v="0.00"/>
    <s v="0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36******"/>
    <s v="****"/>
    <s v=""/>
    <s v=""/>
    <s v="苗栗縣"/>
    <s v="苗栗市"/>
    <s v="360"/>
    <s v="黃*君"/>
    <s v="賣家宅配：大型/超重物品運送"/>
    <s v=""/>
    <s v=""/>
    <s v="信用卡"/>
    <s v="2026-04-08 23:59"/>
    <s v=""/>
    <s v="2026-04-05 12:55"/>
    <m/>
    <s v=""/>
    <s v=""/>
    <m/>
    <s v="學習周邊"/>
    <s v="蝦皮"/>
  </r>
  <r>
    <s v="2604051V5TMTJ4"/>
    <x v="0"/>
    <s v=""/>
    <s v=""/>
    <s v="k******0"/>
    <x v="4"/>
    <s v="2449.00"/>
    <s v="0.00"/>
    <s v="0.00"/>
    <s v="0.00"/>
    <s v="2449.00"/>
    <s v="0.00"/>
    <s v="0"/>
    <s v="0.00"/>
    <s v="45A9RJJ3Q;BENE0420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3******"/>
    <s v="****"/>
    <s v="0928000888,75121976#1"/>
    <s v=""/>
    <s v="桃園市"/>
    <s v="蘆竹區"/>
    <s v="338"/>
    <s v="李*珊"/>
    <s v="賣家宅配：大型/超重物品運送"/>
    <s v=""/>
    <s v=""/>
    <s v="信用卡"/>
    <s v="2026-04-08 23:59"/>
    <s v="新竹物流8179110096"/>
    <s v="2026-04-05 13:04"/>
    <m/>
    <s v="2026-04-09 12:25"/>
    <s v=""/>
    <m/>
    <s v="學習"/>
    <s v="蝦皮"/>
  </r>
  <r>
    <s v="26040521PC6CKJ"/>
    <x v="0"/>
    <s v=""/>
    <s v=""/>
    <s v="s******n"/>
    <x v="4"/>
    <s v="2449.00"/>
    <s v="0.00"/>
    <s v="0.00"/>
    <s v="0.00"/>
    <s v="2449.00"/>
    <s v="0.00"/>
    <s v="0"/>
    <s v="0.00"/>
    <s v="BENE0420;45A9RJJ3Q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3******"/>
    <s v="****"/>
    <s v="0928000888,59533641#1"/>
    <s v=""/>
    <s v="桃園市"/>
    <s v="龜山區"/>
    <s v="333"/>
    <s v="朱*珺"/>
    <s v="賣家宅配：大型/超重物品運送"/>
    <s v=""/>
    <s v=""/>
    <s v="信用卡"/>
    <s v="2026-04-08 23:59"/>
    <s v="新竹物流8179110100"/>
    <s v="2026-04-05 14:43"/>
    <m/>
    <s v="2026-04-28 12:35"/>
    <s v=""/>
    <m/>
    <s v="學習"/>
    <s v="蝦皮"/>
  </r>
  <r>
    <s v="26040522N9713R"/>
    <x v="0"/>
    <s v=""/>
    <s v=""/>
    <s v="h****0"/>
    <x v="4"/>
    <s v="2449.00"/>
    <s v="0.00"/>
    <s v="0.00"/>
    <s v="0.00"/>
    <s v="2449.00"/>
    <s v="0.00"/>
    <s v="0"/>
    <s v="0.00"/>
    <s v="BENE0420;QMRWXBFKP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63******"/>
    <s v="****"/>
    <s v="0928000888,95251375#1"/>
    <s v=""/>
    <s v="雲林縣"/>
    <s v="土庫鎮"/>
    <s v="633"/>
    <s v="蕭*凌"/>
    <s v="賣家宅配：大型/超重物品運送"/>
    <s v=""/>
    <s v=""/>
    <s v="信用卡"/>
    <s v="2026-04-08 23:59"/>
    <s v="新竹物流8179110111"/>
    <s v="2026-04-05 15:00"/>
    <m/>
    <s v="2026-04-28 12:27"/>
    <s v=""/>
    <m/>
    <s v="學習"/>
    <s v="蝦皮"/>
  </r>
  <r>
    <s v="26040523RVT500"/>
    <x v="0"/>
    <s v=""/>
    <s v=""/>
    <s v="m******1"/>
    <x v="4"/>
    <s v="2703.00"/>
    <s v="0.00"/>
    <s v="0.00"/>
    <s v="0.00"/>
    <s v="2703.00"/>
    <s v="0.00"/>
    <s v="1"/>
    <s v="0.00"/>
    <s v="BENE0450;QMRWXBFKP"/>
    <s v="50.00"/>
    <s v="0.00"/>
    <s v="143.00"/>
    <s v="242.00"/>
    <s v="95.00"/>
    <s v="71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71******"/>
    <s v="****"/>
    <s v="0928000888,31728736#1"/>
    <s v=""/>
    <s v="臺南市"/>
    <s v="仁德區"/>
    <s v="717"/>
    <s v="蔡*琪"/>
    <s v="賣家宅配：大型/超重物品運送"/>
    <s v=""/>
    <s v=""/>
    <s v="信用卡"/>
    <s v="2026-04-08 23:59"/>
    <s v="新竹物流8179110763"/>
    <s v="2026-04-05 15:20"/>
    <m/>
    <s v="2026-04-09 00:03"/>
    <s v=""/>
    <m/>
    <s v="學習周邊"/>
    <s v="蝦皮"/>
  </r>
  <r>
    <s v="26040523RVT500"/>
    <x v="0"/>
    <s v=""/>
    <s v=""/>
    <s v="m******1"/>
    <x v="4"/>
    <s v="2703.00"/>
    <s v="0.00"/>
    <s v="0.00"/>
    <s v="0.00"/>
    <s v="2703.00"/>
    <s v="0.00"/>
    <s v="1"/>
    <s v="0.00"/>
    <s v="BENE0450;QMRWXBFKP"/>
    <s v="50.00"/>
    <s v="0.00"/>
    <s v="143.00"/>
    <s v="242.00"/>
    <s v="95.00"/>
    <s v="71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71******"/>
    <s v="****"/>
    <s v="0928000888,31728736#1"/>
    <s v=""/>
    <s v="臺南市"/>
    <s v="仁德區"/>
    <s v="717"/>
    <s v="蔡*琪"/>
    <s v="賣家宅配：大型/超重物品運送"/>
    <s v=""/>
    <s v=""/>
    <s v="信用卡"/>
    <s v="2026-04-08 23:59"/>
    <s v="新竹物流8179110763"/>
    <s v="2026-04-05 15:20"/>
    <m/>
    <s v="2026-04-09 00:03"/>
    <s v=""/>
    <m/>
    <s v="學習"/>
    <s v="蝦皮"/>
  </r>
  <r>
    <s v="2604052A0HGBVJ"/>
    <x v="0"/>
    <s v=""/>
    <s v=""/>
    <s v="l******g"/>
    <x v="4"/>
    <s v="2362.00"/>
    <s v="0.00"/>
    <s v="0.00"/>
    <s v="0.00"/>
    <s v="2362.00"/>
    <s v="0.00"/>
    <s v="87"/>
    <s v="0.00"/>
    <s v="BENE0420;QMRWXBFKP"/>
    <s v="20.00"/>
    <s v="0.00"/>
    <s v="129.00"/>
    <s v="219.00"/>
    <s v="87.00"/>
    <s v="64.00"/>
    <s v="3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2******"/>
    <s v="****"/>
    <s v="0928000888,78769465#1"/>
    <s v=""/>
    <s v="新北市"/>
    <s v="汐止區"/>
    <s v="221"/>
    <s v="黃*"/>
    <s v="賣家宅配：大型/超重物品運送"/>
    <s v=""/>
    <s v=""/>
    <s v="信用卡分期付款"/>
    <s v="2026-04-08 23:59"/>
    <s v="新竹物流8179110122"/>
    <s v="2026-04-05 17:12"/>
    <m/>
    <s v="2026-04-24 11:39"/>
    <s v=""/>
    <m/>
    <s v="學習"/>
    <s v="蝦皮"/>
  </r>
  <r>
    <s v="2604052CW3JK7T"/>
    <x v="0"/>
    <s v=""/>
    <s v=""/>
    <s v="e******8"/>
    <x v="4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73******"/>
    <s v="****"/>
    <s v="0928000888,13206882#1"/>
    <s v=""/>
    <s v="臺南市"/>
    <s v="新營區"/>
    <s v="730"/>
    <s v="謝*薰"/>
    <s v="賣家宅配：大型/超重物品運送"/>
    <s v=""/>
    <s v=""/>
    <s v="信用卡"/>
    <s v="2026-04-08 23:59"/>
    <s v="新竹物流8179110903"/>
    <s v="2026-04-05 18:04"/>
    <m/>
    <s v="2026-04-08 21:53"/>
    <s v=""/>
    <m/>
    <s v="學習周邊"/>
    <s v="蝦皮"/>
  </r>
  <r>
    <s v="2604052Q07B1CA"/>
    <x v="0"/>
    <s v=""/>
    <s v=""/>
    <s v="j******a"/>
    <x v="4"/>
    <s v="2992.00"/>
    <s v="0.00"/>
    <s v="0.00"/>
    <s v="0.00"/>
    <s v="2992.00"/>
    <s v="0.00"/>
    <s v="0"/>
    <s v="0.00"/>
    <s v="BENE0450;QMRWXBFKP"/>
    <s v="50.00"/>
    <s v="0.00"/>
    <s v="158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60******"/>
    <s v="****"/>
    <s v="0928000888,80177154#1"/>
    <s v=""/>
    <s v="嘉義市"/>
    <s v="東區"/>
    <s v="600"/>
    <s v="陳*爵"/>
    <s v="賣家宅配：大型/超重物品運送"/>
    <s v=""/>
    <s v=""/>
    <s v="信用卡"/>
    <s v="2026-04-08 23:59"/>
    <s v="新竹物流8179110752"/>
    <s v="2026-04-05 21:04"/>
    <m/>
    <s v="2026-04-25 18:25"/>
    <s v=""/>
    <m/>
    <s v="學習"/>
    <s v="蝦皮"/>
  </r>
  <r>
    <s v="2604052SUN7P4R"/>
    <x v="0"/>
    <s v=""/>
    <s v=""/>
    <s v="s******1"/>
    <x v="4"/>
    <s v="870.00"/>
    <s v="0.00"/>
    <s v="0.00"/>
    <s v="0.00"/>
    <s v="870.00"/>
    <s v="0.00"/>
    <s v="0"/>
    <s v="0.00"/>
    <s v="BENE0420"/>
    <s v="20.00"/>
    <s v="0.00"/>
    <s v="0.00"/>
    <s v="74.00"/>
    <s v="36.00"/>
    <s v="22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33******"/>
    <s v="****"/>
    <s v="0928000888,44412919#1"/>
    <s v=""/>
    <s v="桃園市"/>
    <s v="龜山區"/>
    <s v="333"/>
    <s v="陳*菱"/>
    <s v="賣家宅配：大型/超重物品運送"/>
    <s v=""/>
    <s v=""/>
    <s v="信用卡"/>
    <s v="2026-04-08 23:59"/>
    <s v="新竹物流8179110741"/>
    <s v="2026-04-05 21:55"/>
    <m/>
    <s v="2026-04-28 14:32"/>
    <s v=""/>
    <m/>
    <s v="學習周邊"/>
    <s v="蝦皮"/>
  </r>
  <r>
    <s v="2604052SUN7P4R"/>
    <x v="0"/>
    <s v=""/>
    <s v=""/>
    <s v="s******1"/>
    <x v="4"/>
    <s v="870.00"/>
    <s v="0.00"/>
    <s v="0.00"/>
    <s v="0.00"/>
    <s v="870.00"/>
    <s v="0.00"/>
    <s v="0"/>
    <s v="0.00"/>
    <s v="BENE0420"/>
    <s v="20.00"/>
    <s v="0.00"/>
    <s v="0.00"/>
    <s v="74.00"/>
    <s v="36.00"/>
    <s v="22.00"/>
    <s v="0"/>
    <s v="2.50%"/>
    <s v=""/>
    <x v="4"/>
    <s v="28604287513"/>
    <s v=""/>
    <s v="256123210658"/>
    <s v="28604287513_256123210658"/>
    <n v="300"/>
    <x v="4"/>
    <x v="4"/>
    <s v="20211C608"/>
    <n v="1"/>
    <s v="0"/>
    <s v="N"/>
    <s v="-"/>
    <s v="33******"/>
    <s v="****"/>
    <s v="0928000888,44412919#1"/>
    <s v=""/>
    <s v="桃園市"/>
    <s v="龜山區"/>
    <s v="333"/>
    <s v="陳*菱"/>
    <s v="賣家宅配：大型/超重物品運送"/>
    <s v=""/>
    <s v=""/>
    <s v="信用卡"/>
    <s v="2026-04-08 23:59"/>
    <s v="新竹物流8179110741"/>
    <s v="2026-04-05 21:55"/>
    <m/>
    <s v="2026-04-28 14:32"/>
    <s v=""/>
    <m/>
    <s v="學習周邊"/>
    <s v="蝦皮"/>
  </r>
  <r>
    <s v="2604052TBAVE04"/>
    <x v="0"/>
    <s v=""/>
    <s v=""/>
    <s v="f******6"/>
    <x v="4"/>
    <s v="2900.00"/>
    <s v="0.00"/>
    <s v="0.00"/>
    <s v="0.00"/>
    <s v="2900.00"/>
    <s v="0.00"/>
    <s v="0"/>
    <s v="0.00"/>
    <s v="TKBVIP2604C;BENE0450"/>
    <s v="50.00"/>
    <s v="0.00"/>
    <s v="25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3******"/>
    <s v="****"/>
    <s v="0928000888,15344509#1"/>
    <s v=""/>
    <s v="桃園市"/>
    <s v="龜山區"/>
    <s v="333"/>
    <s v="涂*薰"/>
    <s v="賣家宅配：大型/超重物品運送"/>
    <s v=""/>
    <s v=""/>
    <s v="信用卡"/>
    <s v="2026-04-08 23:59"/>
    <s v="新竹物流8179110251"/>
    <s v="2026-04-05 22:04"/>
    <m/>
    <s v="2026-04-09 22:53"/>
    <s v=""/>
    <m/>
    <s v="學習"/>
    <s v="蝦皮"/>
  </r>
  <r>
    <s v="2604052U819AJ1"/>
    <x v="0"/>
    <s v=""/>
    <s v=""/>
    <s v="y******1"/>
    <x v="4"/>
    <s v="2448.00"/>
    <s v="0.00"/>
    <s v="0.00"/>
    <s v="0.00"/>
    <s v="2448.00"/>
    <s v="0.00"/>
    <s v="1"/>
    <s v="0.00"/>
    <s v="BENE0420;45A9RJJ3Q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74******"/>
    <s v="****"/>
    <s v="0928000888,53929847#1"/>
    <s v=""/>
    <s v="臺南市"/>
    <s v="善化區"/>
    <s v="741"/>
    <s v="徐*詩"/>
    <s v="賣家宅配：大型/超重物品運送"/>
    <s v=""/>
    <s v=""/>
    <s v="信用卡"/>
    <s v="2026-04-08 23:59"/>
    <s v="新竹物流8179110133"/>
    <s v="2026-04-05 22:20"/>
    <m/>
    <s v="2026-04-09 01:01"/>
    <s v=""/>
    <m/>
    <s v="學習"/>
    <s v="蝦皮"/>
  </r>
  <r>
    <s v="2604052WT4KCUS"/>
    <x v="0"/>
    <s v=""/>
    <s v=""/>
    <s v="d***o"/>
    <x v="4"/>
    <s v="1988.00"/>
    <s v="0.00"/>
    <s v="0.00"/>
    <s v="0.00"/>
    <s v="1988.00"/>
    <s v="0.00"/>
    <s v="272"/>
    <s v="0.00"/>
    <s v="BENE0420;45A9RJJ3Q"/>
    <s v="20.00"/>
    <s v="0.00"/>
    <s v="119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93718899#1"/>
    <s v=""/>
    <s v="臺北市"/>
    <s v="信義區"/>
    <s v="110"/>
    <s v="郭*君"/>
    <s v="賣家宅配：大型/超重物品運送"/>
    <s v=""/>
    <s v=""/>
    <s v="信用卡"/>
    <s v="2026-04-08 23:59"/>
    <s v="新竹物流8179110483"/>
    <s v="2026-04-05 23:06"/>
    <m/>
    <s v="2026-04-08 16:59"/>
    <s v=""/>
    <m/>
    <s v="學習"/>
    <s v="蝦皮"/>
  </r>
  <r>
    <s v="2604052WXCXEPR"/>
    <x v="0"/>
    <s v=""/>
    <s v=""/>
    <s v="w*****2"/>
    <x v="4"/>
    <s v="2753.00"/>
    <s v="0.00"/>
    <s v="0.00"/>
    <s v="0.00"/>
    <s v="2753.00"/>
    <s v="0.00"/>
    <s v="0"/>
    <s v="0.00"/>
    <s v="QMRWXBFKP;MSV2604E"/>
    <s v="100.00"/>
    <s v="0.00"/>
    <s v="145.00"/>
    <s v="246.00"/>
    <s v="97.00"/>
    <s v="72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0******"/>
    <s v="****"/>
    <s v="0928000888,03526559#1"/>
    <s v=""/>
    <s v="新竹市"/>
    <s v="東區"/>
    <s v="300"/>
    <s v="吳*庭"/>
    <s v="賣家宅配：大型/超重物品運送"/>
    <s v=""/>
    <s v=""/>
    <s v="信用卡"/>
    <s v="2026-04-08 23:59"/>
    <s v="新竹物流8179110575"/>
    <s v="2026-04-05 23:08"/>
    <m/>
    <s v="2026-04-11 15:10"/>
    <s v=""/>
    <m/>
    <s v="學習"/>
    <s v="蝦皮"/>
  </r>
  <r>
    <s v="2604063N5UBJM4"/>
    <x v="0"/>
    <s v=""/>
    <s v=""/>
    <s v="o******3"/>
    <x v="5"/>
    <s v="565.00"/>
    <s v="0.00"/>
    <s v="0.00"/>
    <s v="0.00"/>
    <s v="565.00"/>
    <s v="0.00"/>
    <s v="0"/>
    <s v="0.00"/>
    <s v=""/>
    <s v="0.00"/>
    <s v="0.00"/>
    <s v="0.00"/>
    <s v="48.00"/>
    <s v="27.00"/>
    <s v="14.00"/>
    <s v="0"/>
    <s v="2.50%"/>
    <s v=""/>
    <x v="19"/>
    <s v="26780776252"/>
    <s v="小學幼兒園大不同"/>
    <s v="253328674404"/>
    <s v="26780776252_253328674404"/>
    <n v="375"/>
    <x v="20"/>
    <x v="26"/>
    <s v="20255CXAB"/>
    <n v="1"/>
    <s v="0"/>
    <s v="Y"/>
    <s v="3 件 4折"/>
    <s v="32******"/>
    <s v="****"/>
    <s v="0928000888,92586413#1"/>
    <s v=""/>
    <s v="桃園市"/>
    <s v="中壢區"/>
    <s v="320"/>
    <s v="張*靜"/>
    <s v="賣家宅配：大型/超重物品運送"/>
    <s v=""/>
    <s v=""/>
    <s v="信用卡"/>
    <s v="2026-04-08 23:59"/>
    <s v="新竹物流8179110730"/>
    <s v="2026-04-06 06:04"/>
    <m/>
    <s v="2026-04-08 17:11"/>
    <s v=""/>
    <m/>
    <s v="學習周邊"/>
    <s v="蝦皮"/>
  </r>
  <r>
    <s v="2604063N5UBJM4"/>
    <x v="0"/>
    <s v=""/>
    <s v=""/>
    <s v="o******3"/>
    <x v="5"/>
    <s v="565.00"/>
    <s v="0.00"/>
    <s v="0.00"/>
    <s v="0.00"/>
    <s v="565.00"/>
    <s v="0.00"/>
    <s v="0"/>
    <s v="0.00"/>
    <s v=""/>
    <s v="0.00"/>
    <s v="0.00"/>
    <s v="0.00"/>
    <s v="48.00"/>
    <s v="27.00"/>
    <s v="14.00"/>
    <s v="0"/>
    <s v="2.50%"/>
    <s v=""/>
    <x v="19"/>
    <s v="26780776252"/>
    <s v="情緒管理"/>
    <s v="253328674405"/>
    <s v="26780776252_253328674405"/>
    <n v="375"/>
    <x v="20"/>
    <x v="27"/>
    <s v="20235C903"/>
    <n v="1"/>
    <s v="0"/>
    <s v="Y"/>
    <s v="3 件 4折"/>
    <s v="32******"/>
    <s v="****"/>
    <s v="0928000888,92586413#1"/>
    <s v=""/>
    <s v="桃園市"/>
    <s v="中壢區"/>
    <s v="320"/>
    <s v="張*靜"/>
    <s v="賣家宅配：大型/超重物品運送"/>
    <s v=""/>
    <s v=""/>
    <s v="信用卡"/>
    <s v="2026-04-08 23:59"/>
    <s v="新竹物流8179110730"/>
    <s v="2026-04-06 06:04"/>
    <m/>
    <s v="2026-04-08 17:11"/>
    <s v=""/>
    <m/>
    <s v="學習周邊"/>
    <s v="蝦皮"/>
  </r>
  <r>
    <s v="2604063N5UBJM4"/>
    <x v="0"/>
    <s v=""/>
    <s v=""/>
    <s v="o******3"/>
    <x v="5"/>
    <s v="565.00"/>
    <s v="0.00"/>
    <s v="0.00"/>
    <s v="0.00"/>
    <s v="565.00"/>
    <s v="0.00"/>
    <s v="0"/>
    <s v="0.00"/>
    <s v=""/>
    <s v="0.00"/>
    <s v="0.00"/>
    <s v="0.00"/>
    <s v="48.00"/>
    <s v="27.00"/>
    <s v="14.00"/>
    <s v="0"/>
    <s v="2.50%"/>
    <s v=""/>
    <x v="19"/>
    <s v="26780776252"/>
    <s v="正確的讀寫姿勢"/>
    <s v="253328674406"/>
    <s v="26780776252_253328674406"/>
    <n v="375"/>
    <x v="20"/>
    <x v="21"/>
    <s v="20245C905"/>
    <n v="1"/>
    <s v="0"/>
    <s v="Y"/>
    <s v="3 件 4折"/>
    <s v="32******"/>
    <s v="****"/>
    <s v="0928000888,92586413#1"/>
    <s v=""/>
    <s v="桃園市"/>
    <s v="中壢區"/>
    <s v="320"/>
    <s v="張*靜"/>
    <s v="賣家宅配：大型/超重物品運送"/>
    <s v=""/>
    <s v=""/>
    <s v="信用卡"/>
    <s v="2026-04-08 23:59"/>
    <s v="新竹物流8179110730"/>
    <s v="2026-04-06 06:04"/>
    <m/>
    <s v="2026-04-08 17:11"/>
    <s v=""/>
    <m/>
    <s v="學習周邊"/>
    <s v="蝦皮"/>
  </r>
  <r>
    <s v="2604063N5UBJM4"/>
    <x v="0"/>
    <s v=""/>
    <s v=""/>
    <s v="o******3"/>
    <x v="5"/>
    <s v="565.00"/>
    <s v="0.00"/>
    <s v="0.00"/>
    <s v="0.00"/>
    <s v="565.00"/>
    <s v="0.00"/>
    <s v="0"/>
    <s v="0.00"/>
    <s v=""/>
    <s v="0.00"/>
    <s v="0.00"/>
    <s v="0.00"/>
    <s v="48.00"/>
    <s v="27.00"/>
    <s v="14.00"/>
    <s v="0"/>
    <s v="2.50%"/>
    <s v=""/>
    <x v="19"/>
    <s v="26780776252"/>
    <s v="培養專注力"/>
    <s v="253328674407"/>
    <s v="26780776252_253328674407"/>
    <n v="375"/>
    <x v="20"/>
    <x v="22"/>
    <s v="20255CXAC"/>
    <n v="1"/>
    <s v="0"/>
    <s v="Y"/>
    <s v="3 件 4折"/>
    <s v="32******"/>
    <s v="****"/>
    <s v="0928000888,92586413#1"/>
    <s v=""/>
    <s v="桃園市"/>
    <s v="中壢區"/>
    <s v="320"/>
    <s v="張*靜"/>
    <s v="賣家宅配：大型/超重物品運送"/>
    <s v=""/>
    <s v=""/>
    <s v="信用卡"/>
    <s v="2026-04-08 23:59"/>
    <s v="新竹物流8179110730"/>
    <s v="2026-04-06 06:04"/>
    <m/>
    <s v="2026-04-08 17:11"/>
    <s v=""/>
    <m/>
    <s v="學習周邊"/>
    <s v="蝦皮"/>
  </r>
  <r>
    <s v="2604063N5UBJM4"/>
    <x v="0"/>
    <s v=""/>
    <s v=""/>
    <s v="o******3"/>
    <x v="5"/>
    <s v="565.00"/>
    <s v="0.00"/>
    <s v="0.00"/>
    <s v="0.00"/>
    <s v="565.00"/>
    <s v="0.00"/>
    <s v="0"/>
    <s v="0.00"/>
    <s v=""/>
    <s v="0.00"/>
    <s v="0.00"/>
    <s v="0.00"/>
    <s v="48.00"/>
    <s v="27.00"/>
    <s v="14.00"/>
    <s v="0"/>
    <s v="2.50%"/>
    <s v=""/>
    <x v="21"/>
    <s v="49555184608"/>
    <s v="潛能大挑戰(認識整點鐘)+貼紙"/>
    <s v="405475283662"/>
    <s v="49555184608_405475283662"/>
    <n v="375"/>
    <x v="20"/>
    <x v="25"/>
    <s v="20254CXAM"/>
    <n v="1"/>
    <s v="0"/>
    <s v="Y"/>
    <s v="3 件 4折"/>
    <s v="32******"/>
    <s v="****"/>
    <s v="0928000888,92586413#1"/>
    <s v=""/>
    <s v="桃園市"/>
    <s v="中壢區"/>
    <s v="320"/>
    <s v="張*靜"/>
    <s v="賣家宅配：大型/超重物品運送"/>
    <s v=""/>
    <s v=""/>
    <s v="信用卡"/>
    <s v="2026-04-08 23:59"/>
    <s v="新竹物流8179110730"/>
    <s v="2026-04-06 06:04"/>
    <m/>
    <s v="2026-04-08 17:11"/>
    <s v=""/>
    <m/>
    <s v="學習周邊"/>
    <s v="蝦皮"/>
  </r>
  <r>
    <s v="2604063P4FQK5T"/>
    <x v="0"/>
    <s v=""/>
    <s v=""/>
    <s v="o******3"/>
    <x v="5"/>
    <s v="812.00"/>
    <s v="0.00"/>
    <s v="0.00"/>
    <s v="0.00"/>
    <s v="812.00"/>
    <s v="0.00"/>
    <s v="0"/>
    <s v="0.00"/>
    <s v="BENE0420;TKBSELLER2604"/>
    <s v="20.00"/>
    <s v="0.00"/>
    <s v="50.00"/>
    <s v="73.00"/>
    <s v="36.00"/>
    <s v="22.00"/>
    <s v="0"/>
    <s v="2.50%"/>
    <s v=""/>
    <x v="29"/>
    <s v="44002561214"/>
    <s v="小故事大發明"/>
    <s v="300210452440"/>
    <s v="44002561214_300210452440"/>
    <n v="299"/>
    <x v="22"/>
    <x v="39"/>
    <s v="2022FCV11"/>
    <n v="1"/>
    <s v="0"/>
    <s v="Y"/>
    <s v="3 件 4折"/>
    <s v="32******"/>
    <s v="****"/>
    <s v="0928000888,82489551#1"/>
    <s v=""/>
    <s v="桃園市"/>
    <s v="中壢區"/>
    <s v="320"/>
    <s v="張*靜"/>
    <s v="賣家宅配：大型/超重物品運送"/>
    <s v=""/>
    <s v=""/>
    <s v="信用卡"/>
    <s v="2026-04-08 23:59"/>
    <s v="新竹物流8179112093"/>
    <s v="2026-04-06 06:21"/>
    <m/>
    <s v="2026-04-08 23:29"/>
    <s v=""/>
    <m/>
    <s v="學習周邊"/>
    <s v="蝦皮"/>
  </r>
  <r>
    <s v="2604063P4FQK5T"/>
    <x v="0"/>
    <s v=""/>
    <s v=""/>
    <s v="o******3"/>
    <x v="5"/>
    <s v="812.00"/>
    <s v="0.00"/>
    <s v="0.00"/>
    <s v="0.00"/>
    <s v="812.00"/>
    <s v="0.00"/>
    <s v="0"/>
    <s v="0.00"/>
    <s v="BENE0420;TKBSELLER2604"/>
    <s v="20.00"/>
    <s v="0.00"/>
    <s v="50.00"/>
    <s v="73.00"/>
    <s v="36.00"/>
    <s v="22.00"/>
    <s v="0"/>
    <s v="2.50%"/>
    <s v=""/>
    <x v="29"/>
    <s v="44002561214"/>
    <s v="知識大哉問"/>
    <s v="325474847038"/>
    <s v="44002561214_325474847038"/>
    <n v="299"/>
    <x v="22"/>
    <x v="40"/>
    <s v="2020FC801"/>
    <n v="1"/>
    <s v="0"/>
    <s v="Y"/>
    <s v="3 件 4折"/>
    <s v="32******"/>
    <s v="****"/>
    <s v="0928000888,82489551#1"/>
    <s v=""/>
    <s v="桃園市"/>
    <s v="中壢區"/>
    <s v="320"/>
    <s v="張*靜"/>
    <s v="賣家宅配：大型/超重物品運送"/>
    <s v=""/>
    <s v=""/>
    <s v="信用卡"/>
    <s v="2026-04-08 23:59"/>
    <s v="新竹物流8179112093"/>
    <s v="2026-04-06 06:21"/>
    <m/>
    <s v="2026-04-08 23:29"/>
    <s v=""/>
    <m/>
    <s v="學習周邊"/>
    <s v="蝦皮"/>
  </r>
  <r>
    <s v="2604063P4FQK5T"/>
    <x v="0"/>
    <s v=""/>
    <s v=""/>
    <s v="o******3"/>
    <x v="5"/>
    <s v="812.00"/>
    <s v="0.00"/>
    <s v="0.00"/>
    <s v="0.00"/>
    <s v="812.00"/>
    <s v="0.00"/>
    <s v="0"/>
    <s v="0.00"/>
    <s v="BENE0420;TKBSELLER2604"/>
    <s v="20.00"/>
    <s v="0.00"/>
    <s v="50.00"/>
    <s v="73.00"/>
    <s v="36.00"/>
    <s v="22.00"/>
    <s v="0"/>
    <s v="2.50%"/>
    <s v=""/>
    <x v="25"/>
    <s v="53055235490"/>
    <s v="2410益智挑戰書+拼音語詞書(海神王)"/>
    <s v="320478078545"/>
    <s v="53055235490_320478078545"/>
    <n v="780"/>
    <x v="24"/>
    <x v="31"/>
    <s v="20255CXBD"/>
    <n v="1"/>
    <s v="0"/>
    <s v="Y"/>
    <s v="3 件 4折"/>
    <s v="32******"/>
    <s v="****"/>
    <s v="0928000888,82489551#1"/>
    <s v=""/>
    <s v="桃園市"/>
    <s v="中壢區"/>
    <s v="320"/>
    <s v="張*靜"/>
    <s v="賣家宅配：大型/超重物品運送"/>
    <s v=""/>
    <s v=""/>
    <s v="信用卡"/>
    <s v="2026-04-08 23:59"/>
    <s v="新竹物流8179112093"/>
    <s v="2026-04-06 06:21"/>
    <m/>
    <s v="2026-04-08 23:29"/>
    <s v=""/>
    <m/>
    <s v="學習周邊"/>
    <s v="蝦皮"/>
  </r>
  <r>
    <s v="2604063P4FQK5T"/>
    <x v="0"/>
    <s v=""/>
    <s v=""/>
    <s v="o******3"/>
    <x v="5"/>
    <s v="812.00"/>
    <s v="0.00"/>
    <s v="0.00"/>
    <s v="0.00"/>
    <s v="812.00"/>
    <s v="0.00"/>
    <s v="0"/>
    <s v="0.00"/>
    <s v="BENE0420;TKBSELLER2604"/>
    <s v="20.00"/>
    <s v="0.00"/>
    <s v="50.00"/>
    <s v="73.00"/>
    <s v="36.00"/>
    <s v="22.00"/>
    <s v="0"/>
    <s v="2.50%"/>
    <s v=""/>
    <x v="25"/>
    <s v="53055235490"/>
    <s v="2411益智挑戰書+拼音語詞書(地底世界"/>
    <s v="320478078546"/>
    <s v="53055235490_320478078546"/>
    <n v="780"/>
    <x v="24"/>
    <x v="33"/>
    <s v="20255CXBE"/>
    <n v="1"/>
    <s v="0"/>
    <s v="Y"/>
    <s v="3 件 4折"/>
    <s v="32******"/>
    <s v="****"/>
    <s v="0928000888,82489551#1"/>
    <s v=""/>
    <s v="桃園市"/>
    <s v="中壢區"/>
    <s v="320"/>
    <s v="張*靜"/>
    <s v="賣家宅配：大型/超重物品運送"/>
    <s v=""/>
    <s v=""/>
    <s v="信用卡"/>
    <s v="2026-04-08 23:59"/>
    <s v="新竹物流8179112093"/>
    <s v="2026-04-06 06:21"/>
    <m/>
    <s v="2026-04-08 23:29"/>
    <s v=""/>
    <m/>
    <s v="學習周邊"/>
    <s v="蝦皮"/>
  </r>
  <r>
    <s v="2604063P4FQK5T"/>
    <x v="0"/>
    <s v=""/>
    <s v=""/>
    <s v="o******3"/>
    <x v="5"/>
    <s v="812.00"/>
    <s v="0.00"/>
    <s v="0.00"/>
    <s v="0.00"/>
    <s v="812.00"/>
    <s v="0.00"/>
    <s v="0"/>
    <s v="0.00"/>
    <s v="BENE0420;TKBSELLER2604"/>
    <s v="20.00"/>
    <s v="0.00"/>
    <s v="50.00"/>
    <s v="73.00"/>
    <s v="36.00"/>
    <s v="22.00"/>
    <s v="0"/>
    <s v="2.50%"/>
    <s v=""/>
    <x v="25"/>
    <s v="53055235490"/>
    <s v="2502益智挑戰書+拼音語詞書(調皮巫婆"/>
    <s v="320478078549"/>
    <s v="53055235490_320478078549"/>
    <n v="780"/>
    <x v="24"/>
    <x v="36"/>
    <s v="20255CXBC"/>
    <n v="1"/>
    <s v="0"/>
    <s v="Y"/>
    <s v="3 件 4折"/>
    <s v="32******"/>
    <s v="****"/>
    <s v="0928000888,82489551#1"/>
    <s v=""/>
    <s v="桃園市"/>
    <s v="中壢區"/>
    <s v="320"/>
    <s v="張*靜"/>
    <s v="賣家宅配：大型/超重物品運送"/>
    <s v=""/>
    <s v=""/>
    <s v="信用卡"/>
    <s v="2026-04-08 23:59"/>
    <s v="新竹物流8179112093"/>
    <s v="2026-04-06 06:21"/>
    <m/>
    <s v="2026-04-08 23:29"/>
    <s v=""/>
    <m/>
    <s v="學習周邊"/>
    <s v="蝦皮"/>
  </r>
  <r>
    <s v="2604063PA3YF2W"/>
    <x v="0"/>
    <s v=""/>
    <s v=""/>
    <s v="o******3"/>
    <x v="5"/>
    <s v="761.00"/>
    <s v="0.00"/>
    <s v="0.00"/>
    <s v="0.00"/>
    <s v="761.00"/>
    <s v="0.00"/>
    <s v="0"/>
    <s v="0.00"/>
    <s v=""/>
    <s v="0.00"/>
    <s v="0.00"/>
    <s v="0.00"/>
    <s v="65.00"/>
    <s v="33.00"/>
    <s v="19.00"/>
    <s v="0"/>
    <s v="2.50%"/>
    <s v=""/>
    <x v="22"/>
    <s v="29406137869"/>
    <s v=""/>
    <s v="195263047363"/>
    <s v="29406137869_195263047363"/>
    <n v="300"/>
    <x v="22"/>
    <x v="28"/>
    <s v="2022FC801"/>
    <n v="1"/>
    <s v="0"/>
    <s v="Y"/>
    <s v="3 件 4折"/>
    <s v="32******"/>
    <s v="****"/>
    <s v="0928000888,34024237#1"/>
    <s v=""/>
    <s v="桃園市"/>
    <s v="中壢區"/>
    <s v="320"/>
    <s v="張*靜"/>
    <s v="賣家宅配：大型/超重物品運送"/>
    <s v=""/>
    <s v=""/>
    <s v="信用卡"/>
    <s v="2026-04-08 23:59"/>
    <s v="新竹物流8179112115"/>
    <s v="2026-04-06 06:24"/>
    <m/>
    <s v="2026-04-08 16:35"/>
    <s v=""/>
    <m/>
    <s v="學習周邊"/>
    <s v="蝦皮"/>
  </r>
  <r>
    <s v="2604063PA3YF2W"/>
    <x v="0"/>
    <s v=""/>
    <s v=""/>
    <s v="o******3"/>
    <x v="5"/>
    <s v="761.00"/>
    <s v="0.00"/>
    <s v="0.00"/>
    <s v="0.00"/>
    <s v="761.00"/>
    <s v="0.00"/>
    <s v="0"/>
    <s v="0.00"/>
    <s v=""/>
    <s v="0.00"/>
    <s v="0.00"/>
    <s v="0.00"/>
    <s v="65.00"/>
    <s v="33.00"/>
    <s v="19.00"/>
    <s v="0"/>
    <s v="2.50%"/>
    <s v=""/>
    <x v="29"/>
    <s v="44002561214"/>
    <s v="幽默創意寶典"/>
    <s v="300210452439"/>
    <s v="44002561214_300210452439"/>
    <n v="299"/>
    <x v="22"/>
    <x v="41"/>
    <s v="2021FCV02"/>
    <n v="1"/>
    <s v="0"/>
    <s v="Y"/>
    <s v="3 件 4折"/>
    <s v="32******"/>
    <s v="****"/>
    <s v="0928000888,34024237#1"/>
    <s v=""/>
    <s v="桃園市"/>
    <s v="中壢區"/>
    <s v="320"/>
    <s v="張*靜"/>
    <s v="賣家宅配：大型/超重物品運送"/>
    <s v=""/>
    <s v=""/>
    <s v="信用卡"/>
    <s v="2026-04-08 23:59"/>
    <s v="新竹物流8179112115"/>
    <s v="2026-04-06 06:24"/>
    <m/>
    <s v="2026-04-08 16:35"/>
    <s v=""/>
    <m/>
    <s v="學習周邊"/>
    <s v="蝦皮"/>
  </r>
  <r>
    <s v="2604063PA3YF2W"/>
    <x v="0"/>
    <s v=""/>
    <s v=""/>
    <s v="o******3"/>
    <x v="5"/>
    <s v="761.00"/>
    <s v="0.00"/>
    <s v="0.00"/>
    <s v="0.00"/>
    <s v="761.00"/>
    <s v="0.00"/>
    <s v="0"/>
    <s v="0.00"/>
    <s v=""/>
    <s v="0.00"/>
    <s v="0.00"/>
    <s v="0.00"/>
    <s v="65.00"/>
    <s v="33.00"/>
    <s v="19.00"/>
    <s v="0"/>
    <s v="2.50%"/>
    <s v=""/>
    <x v="21"/>
    <s v="49555184608"/>
    <s v="潛能大挑戰(合成)+貼紙"/>
    <s v="405475283658"/>
    <s v="49555184608_405475283658"/>
    <n v="375"/>
    <x v="20"/>
    <x v="24"/>
    <s v="20254CXAG"/>
    <n v="1"/>
    <s v="0"/>
    <s v="Y"/>
    <s v="3 件 4折"/>
    <s v="32******"/>
    <s v="****"/>
    <s v="0928000888,34024237#1"/>
    <s v=""/>
    <s v="桃園市"/>
    <s v="中壢區"/>
    <s v="320"/>
    <s v="張*靜"/>
    <s v="賣家宅配：大型/超重物品運送"/>
    <s v=""/>
    <s v=""/>
    <s v="信用卡"/>
    <s v="2026-04-08 23:59"/>
    <s v="新竹物流8179112115"/>
    <s v="2026-04-06 06:24"/>
    <m/>
    <s v="2026-04-08 16:35"/>
    <s v=""/>
    <m/>
    <s v="學習周邊"/>
    <s v="蝦皮"/>
  </r>
  <r>
    <s v="2604063PA3YF2W"/>
    <x v="0"/>
    <s v=""/>
    <s v=""/>
    <s v="o******3"/>
    <x v="5"/>
    <s v="761.00"/>
    <s v="0.00"/>
    <s v="0.00"/>
    <s v="0.00"/>
    <s v="761.00"/>
    <s v="0.00"/>
    <s v="0"/>
    <s v="0.00"/>
    <s v=""/>
    <s v="0.00"/>
    <s v="0.00"/>
    <s v="0.00"/>
    <s v="65.00"/>
    <s v="33.00"/>
    <s v="19.00"/>
    <s v="0"/>
    <s v="2.50%"/>
    <s v=""/>
    <x v="25"/>
    <s v="53055235490"/>
    <s v="2412益智挑戰書+拼音語詞書(耶誕樂園"/>
    <s v="320478078547"/>
    <s v="53055235490_320478078547"/>
    <n v="780"/>
    <x v="24"/>
    <x v="34"/>
    <s v="20255CXBF"/>
    <n v="1"/>
    <s v="0"/>
    <s v="Y"/>
    <s v="3 件 4折"/>
    <s v="32******"/>
    <s v="****"/>
    <s v="0928000888,34024237#1"/>
    <s v=""/>
    <s v="桃園市"/>
    <s v="中壢區"/>
    <s v="320"/>
    <s v="張*靜"/>
    <s v="賣家宅配：大型/超重物品運送"/>
    <s v=""/>
    <s v=""/>
    <s v="信用卡"/>
    <s v="2026-04-08 23:59"/>
    <s v="新竹物流8179112115"/>
    <s v="2026-04-06 06:24"/>
    <m/>
    <s v="2026-04-08 16:35"/>
    <s v=""/>
    <m/>
    <s v="學習周邊"/>
    <s v="蝦皮"/>
  </r>
  <r>
    <s v="2604063PA3YF2W"/>
    <x v="0"/>
    <s v=""/>
    <s v=""/>
    <s v="o******3"/>
    <x v="5"/>
    <s v="761.00"/>
    <s v="0.00"/>
    <s v="0.00"/>
    <s v="0.00"/>
    <s v="761.00"/>
    <s v="0.00"/>
    <s v="0"/>
    <s v="0.00"/>
    <s v=""/>
    <s v="0.00"/>
    <s v="0.00"/>
    <s v="0.00"/>
    <s v="65.00"/>
    <s v="33.00"/>
    <s v="19.00"/>
    <s v="0"/>
    <s v="2.50%"/>
    <s v=""/>
    <x v="25"/>
    <s v="53055235490"/>
    <s v="2501益智挑戰書+拼音語詞書(阿拉丁"/>
    <s v="320478078548"/>
    <s v="53055235490_320478078548"/>
    <n v="780"/>
    <x v="24"/>
    <x v="35"/>
    <s v="20255CXBB"/>
    <n v="1"/>
    <s v="0"/>
    <s v="Y"/>
    <s v="3 件 4折"/>
    <s v="32******"/>
    <s v="****"/>
    <s v="0928000888,34024237#1"/>
    <s v=""/>
    <s v="桃園市"/>
    <s v="中壢區"/>
    <s v="320"/>
    <s v="張*靜"/>
    <s v="賣家宅配：大型/超重物品運送"/>
    <s v=""/>
    <s v=""/>
    <s v="信用卡"/>
    <s v="2026-04-08 23:59"/>
    <s v="新竹物流8179112115"/>
    <s v="2026-04-06 06:24"/>
    <m/>
    <s v="2026-04-08 16:35"/>
    <s v=""/>
    <m/>
    <s v="學習周邊"/>
    <s v="蝦皮"/>
  </r>
  <r>
    <s v="2604063TKVTWTJ"/>
    <x v="1"/>
    <s v="系統自動判定訂單不成立，原因 : 未收到款項"/>
    <s v=""/>
    <s v="f******1"/>
    <x v="5"/>
    <s v="2948.00"/>
    <s v="0.00"/>
    <s v="0.00"/>
    <s v="0.00"/>
    <s v="0.00"/>
    <s v="0.00"/>
    <s v="0"/>
    <s v="0.00"/>
    <s v="BENE0450"/>
    <s v="0.00"/>
    <s v="0.00"/>
    <s v="0.00"/>
    <s v="0.00"/>
    <s v="0.00"/>
    <s v="0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54******"/>
    <s v="****"/>
    <s v=""/>
    <s v=""/>
    <s v="南投縣"/>
    <s v="草屯鎮"/>
    <s v="542"/>
    <s v="陳*瑛"/>
    <s v="賣家宅配：大型/超重物品運送"/>
    <s v=""/>
    <s v=""/>
    <s v="信用卡"/>
    <s v=""/>
    <s v=""/>
    <s v="-"/>
    <m/>
    <s v=""/>
    <s v=""/>
    <m/>
    <s v="學習"/>
    <s v="蝦皮"/>
  </r>
  <r>
    <s v="2604063TNYJPRH"/>
    <x v="1"/>
    <s v="系統自動判定訂單不成立，原因 : 未收到款項"/>
    <s v=""/>
    <s v="f******1"/>
    <x v="5"/>
    <s v="2978.00"/>
    <s v="0.00"/>
    <s v="0.00"/>
    <s v="0.00"/>
    <s v="0.00"/>
    <s v="0.00"/>
    <s v="0"/>
    <s v="0.00"/>
    <s v="BENE0420"/>
    <s v="0.00"/>
    <s v="0.00"/>
    <s v="0.00"/>
    <s v="0.00"/>
    <s v="0.00"/>
    <s v="0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54******"/>
    <s v="****"/>
    <s v=""/>
    <s v=""/>
    <s v="南投縣"/>
    <s v="草屯鎮"/>
    <s v="542"/>
    <s v="陳*瑛"/>
    <s v="賣家宅配：大型/超重物品運送"/>
    <s v=""/>
    <s v=""/>
    <s v="信用卡"/>
    <s v=""/>
    <s v=""/>
    <s v="-"/>
    <m/>
    <s v=""/>
    <s v=""/>
    <m/>
    <s v="學習"/>
    <s v="蝦皮"/>
  </r>
  <r>
    <s v="2604063Y12AVYK"/>
    <x v="0"/>
    <s v=""/>
    <s v=""/>
    <s v="z******3"/>
    <x v="5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3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6******"/>
    <s v="****"/>
    <s v="0928000888,23777047#1"/>
    <s v=""/>
    <s v="宜蘭縣"/>
    <s v="頭城鎮"/>
    <s v="261"/>
    <s v="林*蓉"/>
    <s v="賣家宅配：大型/超重物品運送"/>
    <s v=""/>
    <s v=""/>
    <s v="信用卡分期付款"/>
    <s v="2026-04-08 23:59"/>
    <s v="新竹物流8179110774"/>
    <s v="2026-04-06 09:00"/>
    <m/>
    <s v="2026-04-11 18:53"/>
    <s v=""/>
    <m/>
    <s v="學習"/>
    <s v="蝦皮"/>
  </r>
  <r>
    <s v="2604063YCATYES"/>
    <x v="0"/>
    <s v=""/>
    <s v=""/>
    <s v="z******p"/>
    <x v="5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53573681#1"/>
    <s v=""/>
    <s v="臺北市"/>
    <s v="內湖區"/>
    <s v="114"/>
    <s v="A**a"/>
    <s v="賣家宅配：大型/超重物品運送"/>
    <s v=""/>
    <s v=""/>
    <s v="信用卡"/>
    <s v="2026-04-08 23:59"/>
    <s v="新竹物流8179110494"/>
    <s v="2026-04-06 09:07"/>
    <m/>
    <s v="2026-04-28 12:32"/>
    <s v=""/>
    <m/>
    <s v="學習"/>
    <s v="蝦皮"/>
  </r>
  <r>
    <s v="260406455PPSEN"/>
    <x v="0"/>
    <s v=""/>
    <s v=""/>
    <s v="b******0"/>
    <x v="5"/>
    <s v="2299.00"/>
    <s v="0.00"/>
    <s v="0.00"/>
    <s v="0.00"/>
    <s v="2299.00"/>
    <s v="0.00"/>
    <s v="0"/>
    <s v="0.00"/>
    <s v="MSV2604E;HCTZYUTNG"/>
    <s v="100.00"/>
    <s v="0.00"/>
    <s v="0.00"/>
    <s v="195.00"/>
    <s v="79.00"/>
    <s v="57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45319805#1"/>
    <s v=""/>
    <s v="桃園市"/>
    <s v="桃園區"/>
    <s v="330"/>
    <s v="B****e"/>
    <s v="賣家宅配：大型/超重物品運送"/>
    <s v=""/>
    <s v=""/>
    <s v="信用卡"/>
    <s v="2026-04-08 23:59"/>
    <s v="新竹物流8179110505"/>
    <s v="2026-04-06 10:51"/>
    <m/>
    <s v="2026-04-08 16:56"/>
    <s v=""/>
    <m/>
    <s v="學習"/>
    <s v="蝦皮"/>
  </r>
  <r>
    <s v="260406460MT5CR"/>
    <x v="0"/>
    <s v=""/>
    <s v=""/>
    <s v="2******g"/>
    <x v="5"/>
    <s v="2748.00"/>
    <s v="0.00"/>
    <s v="0.00"/>
    <s v="0.00"/>
    <s v="2748.00"/>
    <s v="0.00"/>
    <s v="0"/>
    <s v="0.00"/>
    <s v="BENE0450"/>
    <s v="50.00"/>
    <s v="0.00"/>
    <s v="0.00"/>
    <s v="234.00"/>
    <s v="92.00"/>
    <s v="69.00"/>
    <s v="0"/>
    <s v="2.50%"/>
    <s v=""/>
    <x v="0"/>
    <s v="55104898742"/>
    <s v="(加購)白沙屯媽祖祈福禮盒 $399"/>
    <s v="370543746468"/>
    <s v="55104898742_370543746468"/>
    <n v="3800"/>
    <x v="15"/>
    <x v="17"/>
    <s v="20250FXBT"/>
    <n v="1"/>
    <s v="0"/>
    <s v="N"/>
    <s v="-"/>
    <s v="24******"/>
    <s v="****"/>
    <s v="0928000888,87172531#1"/>
    <s v=""/>
    <s v="新北市"/>
    <s v="三重區"/>
    <s v="241"/>
    <s v="韓*倫"/>
    <s v="賣家宅配：大型/超重物品運送"/>
    <s v=""/>
    <s v=""/>
    <s v="信用卡"/>
    <s v="2026-04-08 23:59"/>
    <s v="新竹物流8179110785"/>
    <s v="2026-04-06 11:05"/>
    <m/>
    <s v="2026-04-11 19:54"/>
    <s v=""/>
    <m/>
    <s v="學習"/>
    <s v="蝦皮"/>
  </r>
  <r>
    <s v="260406465STB2E"/>
    <x v="0"/>
    <s v=""/>
    <s v=""/>
    <s v="o******3"/>
    <x v="5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70******"/>
    <s v="****"/>
    <s v="0928000888,81675674#1"/>
    <s v=""/>
    <s v="臺南市"/>
    <s v="安南區"/>
    <s v="709"/>
    <s v="陳*晴"/>
    <s v="賣家宅配：大型/超重物品運送"/>
    <s v=""/>
    <s v=""/>
    <s v="信用卡"/>
    <s v="2026-04-08 23:59"/>
    <s v="新竹物流8179110914"/>
    <s v="2026-04-06 11:08"/>
    <m/>
    <s v="2026-04-09 01:05"/>
    <s v=""/>
    <m/>
    <s v="學習周邊"/>
    <s v="蝦皮"/>
  </r>
  <r>
    <s v="26040647K59FYA"/>
    <x v="0"/>
    <s v=""/>
    <s v=""/>
    <s v="l******7"/>
    <x v="5"/>
    <s v="5549.00"/>
    <s v="0.00"/>
    <s v="0.00"/>
    <s v="0.00"/>
    <s v="5549.00"/>
    <s v="0.00"/>
    <s v="0"/>
    <s v="0.00"/>
    <s v="BENE0450;HCTZYUTNG"/>
    <s v="50.00"/>
    <s v="0.00"/>
    <s v="0.00"/>
    <s v="472.00"/>
    <s v="176.00"/>
    <s v="13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83******"/>
    <s v="****"/>
    <s v="0928000888,70685468#1"/>
    <s v=""/>
    <s v="高雄市"/>
    <s v="大寮區"/>
    <s v="831"/>
    <s v="張**庭"/>
    <s v="賣家宅配：大型/超重物品運送"/>
    <s v=""/>
    <s v=""/>
    <s v="信用卡"/>
    <s v="2026-04-08 23:59"/>
    <s v="新竹物流8179110800"/>
    <s v="2026-04-06 11:33"/>
    <m/>
    <s v="2026-04-09 14:32"/>
    <s v=""/>
    <m/>
    <s v="學習"/>
    <s v="蝦皮"/>
  </r>
  <r>
    <s v="26040647K59FYA"/>
    <x v="0"/>
    <s v=""/>
    <s v=""/>
    <s v="l******7"/>
    <x v="5"/>
    <s v="5549.00"/>
    <s v="0.00"/>
    <s v="0.00"/>
    <s v="0.00"/>
    <s v="5549.00"/>
    <s v="0.00"/>
    <s v="0"/>
    <s v="0.00"/>
    <s v="BENE0450;HCTZYUTNG"/>
    <s v="50.00"/>
    <s v="0.00"/>
    <s v="0.00"/>
    <s v="472.00"/>
    <s v="176.00"/>
    <s v="13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3******"/>
    <s v="****"/>
    <s v="0928000888,70685468#1"/>
    <s v=""/>
    <s v="高雄市"/>
    <s v="大寮區"/>
    <s v="831"/>
    <s v="張**庭"/>
    <s v="賣家宅配：大型/超重物品運送"/>
    <s v=""/>
    <s v=""/>
    <s v="信用卡"/>
    <s v="2026-04-08 23:59"/>
    <s v="新竹物流8179110800"/>
    <s v="2026-04-06 11:33"/>
    <m/>
    <s v="2026-04-09 14:32"/>
    <s v=""/>
    <m/>
    <s v="學習"/>
    <s v="蝦皮"/>
  </r>
  <r>
    <s v="26040647SDM040"/>
    <x v="0"/>
    <s v=""/>
    <s v=""/>
    <s v="f******1"/>
    <x v="5"/>
    <s v="2948.00"/>
    <s v="0.00"/>
    <s v="0.00"/>
    <s v="0.00"/>
    <s v="2948.00"/>
    <s v="0.00"/>
    <s v="0"/>
    <s v="0.00"/>
    <s v="BENE0450"/>
    <s v="50.00"/>
    <s v="0.00"/>
    <s v="0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54******"/>
    <s v="****"/>
    <s v="0928000888,28292259#1"/>
    <s v=""/>
    <s v="南投縣"/>
    <s v="草屯鎮"/>
    <s v="542"/>
    <s v="陳*瑛"/>
    <s v="賣家宅配：大型/超重物品運送"/>
    <s v=""/>
    <s v=""/>
    <s v="信用卡"/>
    <s v="2026-04-08 23:59"/>
    <s v="新竹物流8179110586"/>
    <s v="2026-04-06 11:37"/>
    <m/>
    <s v="2026-04-28 13:29"/>
    <s v=""/>
    <m/>
    <s v="學習"/>
    <s v="蝦皮"/>
  </r>
  <r>
    <s v="26040648PVQPRX"/>
    <x v="0"/>
    <s v=""/>
    <s v=""/>
    <s v="u******5"/>
    <x v="5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30******"/>
    <s v="****"/>
    <s v="0928000888,97465395#1"/>
    <s v=""/>
    <s v="新竹縣"/>
    <s v="竹北市"/>
    <s v="302"/>
    <s v="林*華"/>
    <s v="賣家宅配：大型/超重物品運送"/>
    <s v=""/>
    <s v=""/>
    <s v="信用卡"/>
    <s v="2026-04-08 23:59"/>
    <s v="新竹物流8179110940"/>
    <s v="2026-04-06 11:53"/>
    <m/>
    <s v="2026-04-28 14:29"/>
    <s v=""/>
    <m/>
    <s v="學習周邊"/>
    <s v="蝦皮"/>
  </r>
  <r>
    <s v="2604064ABVDDD2"/>
    <x v="0"/>
    <s v=""/>
    <s v=""/>
    <s v="h******9"/>
    <x v="5"/>
    <s v="2379.00"/>
    <s v="0.00"/>
    <s v="0.00"/>
    <s v="0.00"/>
    <s v="2379.00"/>
    <s v="0.00"/>
    <s v="0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32686643#1"/>
    <s v=""/>
    <s v="臺北市"/>
    <s v="北投區"/>
    <s v="112"/>
    <s v="陳*涵"/>
    <s v="賣家宅配：大型/超重物品運送"/>
    <s v=""/>
    <s v=""/>
    <s v="信用卡"/>
    <s v="2026-04-08 23:59"/>
    <s v="新竹物流8179110516"/>
    <s v="2026-04-06 12:23"/>
    <m/>
    <s v="2026-04-19 22:23"/>
    <s v=""/>
    <m/>
    <s v="學習"/>
    <s v="蝦皮"/>
  </r>
  <r>
    <s v="2604064P2YAGYR"/>
    <x v="0"/>
    <s v=""/>
    <s v=""/>
    <s v="j******g"/>
    <x v="5"/>
    <s v="2697.00"/>
    <s v="0.00"/>
    <s v="0.00"/>
    <s v="0.00"/>
    <s v="2697.00"/>
    <s v="0.00"/>
    <s v="0"/>
    <s v="0.00"/>
    <s v="BENE0450;TKBSELLER2604"/>
    <s v="50.00"/>
    <s v="0.00"/>
    <s v="50.00"/>
    <s v="233.00"/>
    <s v="92.00"/>
    <s v="69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80******"/>
    <s v="****"/>
    <s v="0928000888,63591544#1"/>
    <s v=""/>
    <s v="高雄市"/>
    <s v="三民區"/>
    <s v="807"/>
    <s v="翁*珊"/>
    <s v="賣家宅配：大型/超重物品運送"/>
    <s v=""/>
    <s v=""/>
    <s v="信用卡"/>
    <s v="2026-04-08 23:59"/>
    <s v="新竹物流8179110822"/>
    <s v="2026-04-06 15:53"/>
    <m/>
    <s v="2026-04-13 19:49"/>
    <s v=""/>
    <m/>
    <s v="學習周邊"/>
    <s v="蝦皮"/>
  </r>
  <r>
    <s v="2604064P2YAGYR"/>
    <x v="0"/>
    <s v=""/>
    <s v=""/>
    <s v="j******g"/>
    <x v="5"/>
    <s v="2697.00"/>
    <s v="0.00"/>
    <s v="0.00"/>
    <s v="0.00"/>
    <s v="2697.00"/>
    <s v="0.00"/>
    <s v="0"/>
    <s v="0.00"/>
    <s v="BENE0450;TKBSELLER2604"/>
    <s v="50.00"/>
    <s v="0.00"/>
    <s v="50.00"/>
    <s v="233.00"/>
    <s v="92.00"/>
    <s v="69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******"/>
    <s v="****"/>
    <s v="0928000888,63591544#1"/>
    <s v=""/>
    <s v="高雄市"/>
    <s v="三民區"/>
    <s v="807"/>
    <s v="翁*珊"/>
    <s v="賣家宅配：大型/超重物品運送"/>
    <s v=""/>
    <s v=""/>
    <s v="信用卡"/>
    <s v="2026-04-08 23:59"/>
    <s v="新竹物流8179110822"/>
    <s v="2026-04-06 15:53"/>
    <m/>
    <s v="2026-04-13 19:49"/>
    <s v=""/>
    <m/>
    <s v="學習"/>
    <s v="蝦皮"/>
  </r>
  <r>
    <s v="2604064S1VSEU7"/>
    <x v="0"/>
    <s v=""/>
    <s v=""/>
    <s v="c*****s"/>
    <x v="5"/>
    <s v="2948.00"/>
    <s v="0.00"/>
    <s v="0.00"/>
    <s v="0.00"/>
    <s v="2948.00"/>
    <s v="0.00"/>
    <s v="0"/>
    <s v="0.00"/>
    <s v="BENE0450"/>
    <s v="50.00"/>
    <s v="0.00"/>
    <s v="0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0******"/>
    <s v="****"/>
    <s v="0928000888,21486661#1"/>
    <s v=""/>
    <s v="臺中市"/>
    <s v="南區"/>
    <s v="402"/>
    <s v="邱*媚"/>
    <s v="賣家宅配：大型/超重物品運送"/>
    <s v=""/>
    <s v=""/>
    <s v="信用卡"/>
    <s v="2026-04-08 23:59"/>
    <s v="新竹物流8179110590"/>
    <s v="2026-04-06 16:46"/>
    <m/>
    <s v="2026-04-08 19:32"/>
    <s v=""/>
    <m/>
    <s v="學習"/>
    <s v="蝦皮"/>
  </r>
  <r>
    <s v="2604065GU0NT7K"/>
    <x v="0"/>
    <s v=""/>
    <s v=""/>
    <s v="s****e"/>
    <x v="5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******"/>
    <s v="****"/>
    <s v="0928000888,61056585#1"/>
    <s v=""/>
    <s v="桃園市"/>
    <s v="中壢區"/>
    <s v="320"/>
    <s v="王*宇"/>
    <s v="賣家宅配：大型/超重物品運送"/>
    <s v=""/>
    <s v=""/>
    <s v="信用卡"/>
    <s v="2026-04-08 23:59"/>
    <s v="新竹物流8179110155"/>
    <s v="2026-04-07 00:06"/>
    <m/>
    <s v="2026-04-09 11:18"/>
    <s v=""/>
    <m/>
    <s v="學習"/>
    <s v="蝦皮"/>
  </r>
  <r>
    <s v="2604075HV0DE7A"/>
    <x v="1"/>
    <s v="被買家取消，原因 : 需要修改訂單內容"/>
    <s v=""/>
    <s v="d******u"/>
    <x v="6"/>
    <s v="1669.00"/>
    <s v="0.00"/>
    <s v="0.00"/>
    <s v="0.00"/>
    <s v="0.00"/>
    <s v="0.00"/>
    <s v="0"/>
    <s v="0.00"/>
    <s v="BENE0420;TKBSELLER2604"/>
    <s v="0.00"/>
    <s v="0.00"/>
    <s v="0.00"/>
    <s v="0.00"/>
    <s v="0.00"/>
    <s v="0.00"/>
    <s v="3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33******"/>
    <s v="****"/>
    <s v=""/>
    <s v=""/>
    <s v="桃園市"/>
    <s v="桃園區"/>
    <s v="330"/>
    <s v="劉*月"/>
    <s v="賣家宅配：大型/超重物品運送"/>
    <s v=""/>
    <s v=""/>
    <s v="信用卡分期付款"/>
    <s v=""/>
    <s v=""/>
    <s v="-"/>
    <m/>
    <s v=""/>
    <s v=""/>
    <m/>
    <s v="學習周邊"/>
    <s v="蝦皮"/>
  </r>
  <r>
    <s v="2604075HV0DE7A"/>
    <x v="1"/>
    <s v="被買家取消，原因 : 需要修改訂單內容"/>
    <s v=""/>
    <s v="d******u"/>
    <x v="6"/>
    <s v="1669.00"/>
    <s v="0.00"/>
    <s v="0.00"/>
    <s v="0.00"/>
    <s v="0.00"/>
    <s v="0.00"/>
    <s v="0"/>
    <s v="0.00"/>
    <s v="BENE0420;TKBSELLER2604"/>
    <s v="0.00"/>
    <s v="0.00"/>
    <s v="0.00"/>
    <s v="0.00"/>
    <s v="0.00"/>
    <s v="0.00"/>
    <s v="3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33******"/>
    <s v="****"/>
    <s v=""/>
    <s v=""/>
    <s v="桃園市"/>
    <s v="桃園區"/>
    <s v="330"/>
    <s v="劉*月"/>
    <s v="賣家宅配：大型/超重物品運送"/>
    <s v=""/>
    <s v=""/>
    <s v="信用卡分期付款"/>
    <s v=""/>
    <s v=""/>
    <s v="-"/>
    <m/>
    <s v=""/>
    <s v=""/>
    <m/>
    <s v="學習周邊"/>
    <s v="蝦皮"/>
  </r>
  <r>
    <s v="2604075HV0DE7A"/>
    <x v="1"/>
    <s v="被買家取消，原因 : 需要修改訂單內容"/>
    <s v=""/>
    <s v="d******u"/>
    <x v="6"/>
    <s v="1669.00"/>
    <s v="0.00"/>
    <s v="0.00"/>
    <s v="0.00"/>
    <s v="0.00"/>
    <s v="0.00"/>
    <s v="0"/>
    <s v="0.00"/>
    <s v="BENE0420;TKBSELLER2604"/>
    <s v="0.00"/>
    <s v="0.00"/>
    <s v="0.00"/>
    <s v="0.00"/>
    <s v="0.00"/>
    <s v="0.00"/>
    <s v="3"/>
    <s v="2.50%"/>
    <s v=""/>
    <x v="17"/>
    <s v="27630789688"/>
    <s v=""/>
    <s v="99141399810"/>
    <s v="27630789688_99141399810"/>
    <n v="600"/>
    <x v="18"/>
    <x v="19"/>
    <s v="20235C603"/>
    <n v="1"/>
    <s v="0"/>
    <s v="N"/>
    <s v="-"/>
    <s v="33******"/>
    <s v="****"/>
    <s v=""/>
    <s v=""/>
    <s v="桃園市"/>
    <s v="桃園區"/>
    <s v="330"/>
    <s v="劉*月"/>
    <s v="賣家宅配：大型/超重物品運送"/>
    <s v=""/>
    <s v=""/>
    <s v="信用卡分期付款"/>
    <s v=""/>
    <s v=""/>
    <s v="-"/>
    <m/>
    <s v=""/>
    <s v=""/>
    <m/>
    <s v="學習周邊"/>
    <s v="蝦皮"/>
  </r>
  <r>
    <s v="2604075JKFUYA5"/>
    <x v="0"/>
    <s v=""/>
    <s v=""/>
    <s v="h******7"/>
    <x v="6"/>
    <s v="523.00"/>
    <s v="0.00"/>
    <s v="0.00"/>
    <s v="0.00"/>
    <s v="523.00"/>
    <s v="0.00"/>
    <s v="75"/>
    <s v="0.00"/>
    <s v=""/>
    <s v="0.00"/>
    <s v="0.00"/>
    <s v="0.00"/>
    <s v="51.00"/>
    <s v="28.00"/>
    <s v="15.00"/>
    <s v="0"/>
    <s v="2.50%"/>
    <s v=""/>
    <x v="7"/>
    <s v="28157944827"/>
    <s v="無繪本"/>
    <s v="276894603061"/>
    <s v="28157944827_276894603061"/>
    <n v="399"/>
    <x v="6"/>
    <x v="6"/>
    <s v="20250FXAM"/>
    <n v="2"/>
    <s v="0"/>
    <s v="N"/>
    <s v="-"/>
    <s v="22******"/>
    <s v="****"/>
    <s v="0928000888,89664364#1"/>
    <s v=""/>
    <s v="新北市"/>
    <s v="板橋區"/>
    <s v="220"/>
    <s v="許*碩"/>
    <s v="賣家宅配：大型/超重物品運送"/>
    <s v=""/>
    <s v=""/>
    <s v="信用卡"/>
    <s v="2026-04-08 23:59"/>
    <s v="新竹物流8179114182"/>
    <s v="2026-04-07 00:23"/>
    <m/>
    <s v="2026-04-29 16:27"/>
    <s v=""/>
    <m/>
    <s v="學習周邊"/>
    <s v="蝦皮"/>
  </r>
  <r>
    <s v="2604075PM8PC8Q"/>
    <x v="0"/>
    <s v=""/>
    <s v=""/>
    <s v="l******0"/>
    <x v="6"/>
    <s v="3243.00"/>
    <s v="0.00"/>
    <s v="0.00"/>
    <s v="0.00"/>
    <s v="3243.00"/>
    <s v="0.00"/>
    <s v="5"/>
    <s v="0.00"/>
    <s v="BENE0450;HCTZYUTNG"/>
    <s v="50.00"/>
    <s v="0.00"/>
    <s v="0.00"/>
    <s v="276.00"/>
    <s v="107.00"/>
    <s v="81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23******"/>
    <s v="****"/>
    <s v="0928000888,27223509#1"/>
    <s v=""/>
    <s v="新北市"/>
    <s v="中和區"/>
    <s v="235"/>
    <s v="李*萱"/>
    <s v="賣家宅配：大型/超重物品運送"/>
    <s v=""/>
    <s v=""/>
    <s v="信用卡"/>
    <s v="2026-04-08 23:59"/>
    <s v="新竹物流8179114204"/>
    <s v="2026-04-07 01:35"/>
    <m/>
    <s v="2026-04-09 22:28"/>
    <s v=""/>
    <m/>
    <s v="學習周邊"/>
    <s v="蝦皮"/>
  </r>
  <r>
    <s v="2604075PM8PC8Q"/>
    <x v="0"/>
    <s v=""/>
    <s v=""/>
    <s v="l******0"/>
    <x v="6"/>
    <s v="3243.00"/>
    <s v="0.00"/>
    <s v="0.00"/>
    <s v="0.00"/>
    <s v="3243.00"/>
    <s v="0.00"/>
    <s v="5"/>
    <s v="0.00"/>
    <s v="BENE0450;HCTZYUTNG"/>
    <s v="50.00"/>
    <s v="0.00"/>
    <s v="0.00"/>
    <s v="276.00"/>
    <s v="107.00"/>
    <s v="81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3******"/>
    <s v="****"/>
    <s v="0928000888,27223509#1"/>
    <s v=""/>
    <s v="新北市"/>
    <s v="中和區"/>
    <s v="235"/>
    <s v="李*萱"/>
    <s v="賣家宅配：大型/超重物品運送"/>
    <s v=""/>
    <s v=""/>
    <s v="信用卡"/>
    <s v="2026-04-08 23:59"/>
    <s v="新竹物流8179114204"/>
    <s v="2026-04-07 01:35"/>
    <m/>
    <s v="2026-04-09 22:28"/>
    <s v=""/>
    <m/>
    <s v="學習"/>
    <s v="蝦皮"/>
  </r>
  <r>
    <s v="2604076MN0992R"/>
    <x v="0"/>
    <s v=""/>
    <s v=""/>
    <s v="s******6"/>
    <x v="6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24******"/>
    <s v="****"/>
    <s v="0928000888,30874315#1"/>
    <s v=""/>
    <s v="新北市"/>
    <s v="新莊區"/>
    <s v="242"/>
    <s v="謝*妤"/>
    <s v="賣家宅配：大型/超重物品運送"/>
    <s v=""/>
    <s v=""/>
    <s v="信用卡"/>
    <s v="2026-04-08 23:59"/>
    <s v="新竹物流8179114230"/>
    <s v="2026-04-07 10:34"/>
    <m/>
    <s v="2026-04-17 22:06"/>
    <s v=""/>
    <m/>
    <s v="學習周邊"/>
    <s v="蝦皮"/>
  </r>
  <r>
    <s v="260407757XX7XX"/>
    <x v="0"/>
    <s v=""/>
    <s v=""/>
    <s v="v******f"/>
    <x v="6"/>
    <s v="4448.00"/>
    <s v="0.00"/>
    <s v="0.00"/>
    <s v="0.00"/>
    <s v="4448.00"/>
    <s v="0.00"/>
    <s v="0"/>
    <s v="0.00"/>
    <s v="BENE0450;HCTZYUTNG"/>
    <s v="50.00"/>
    <s v="0.00"/>
    <s v="0.00"/>
    <s v="378.00"/>
    <s v="143.00"/>
    <s v="111.00"/>
    <s v="0"/>
    <s v="2.50%"/>
    <s v=""/>
    <x v="16"/>
    <s v="29710271443"/>
    <s v="(加購)巧虎手偶"/>
    <s v="249004683961"/>
    <s v="29710271443_249004683961"/>
    <n v="5699"/>
    <x v="32"/>
    <x v="42"/>
    <s v="20250FXAP"/>
    <n v="1"/>
    <s v="0"/>
    <s v="N"/>
    <s v="-"/>
    <s v="70******"/>
    <s v="****"/>
    <s v="0928000888,44067221#1"/>
    <s v=""/>
    <s v="臺南市"/>
    <s v="南區"/>
    <s v="702"/>
    <s v="吳*葳"/>
    <s v="賣家宅配：大型/超重物品運送"/>
    <s v=""/>
    <s v=""/>
    <s v="信用卡"/>
    <s v="2026-04-08 23:59"/>
    <s v="新竹物流8179114263"/>
    <s v="2026-04-07 15:30"/>
    <m/>
    <s v="2026-04-28 16:59"/>
    <s v=""/>
    <m/>
    <s v="學習"/>
    <s v="蝦皮"/>
  </r>
  <r>
    <s v="2604077NC9C94D"/>
    <x v="0"/>
    <s v=""/>
    <s v=""/>
    <s v="l******6"/>
    <x v="6"/>
    <s v="498.00"/>
    <s v="0.00"/>
    <s v="0.00"/>
    <s v="0.00"/>
    <s v="498.00"/>
    <s v="0.00"/>
    <s v="0"/>
    <s v="0.00"/>
    <s v="S5U3DJTMV"/>
    <s v="0.00"/>
    <s v="0.00"/>
    <s v="0.00"/>
    <s v="42.00"/>
    <s v="25.00"/>
    <s v="12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41******"/>
    <s v="****"/>
    <s v="0928000888,41989508#1"/>
    <s v=""/>
    <s v="臺中市"/>
    <s v="烏日區"/>
    <s v="414"/>
    <s v="莊*玲"/>
    <s v="賣家宅配：大型/超重物品運送"/>
    <s v=""/>
    <s v=""/>
    <s v="信用卡"/>
    <s v="2026-04-08 23:59"/>
    <s v="新竹物流8179114392"/>
    <s v="2026-04-07 20:18"/>
    <m/>
    <s v="2026-04-10 18:25"/>
    <s v=""/>
    <m/>
    <s v="學習周邊"/>
    <s v="蝦皮"/>
  </r>
  <r>
    <s v="2604077NC9C94D"/>
    <x v="0"/>
    <s v=""/>
    <s v=""/>
    <s v="l******6"/>
    <x v="6"/>
    <s v="498.00"/>
    <s v="0.00"/>
    <s v="0.00"/>
    <s v="0.00"/>
    <s v="498.00"/>
    <s v="0.00"/>
    <s v="0"/>
    <s v="0.00"/>
    <s v="S5U3DJTMV"/>
    <s v="0.00"/>
    <s v="0.00"/>
    <s v="0.00"/>
    <s v="42.00"/>
    <s v="25.00"/>
    <s v="12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41******"/>
    <s v="****"/>
    <s v="0928000888,41989508#1"/>
    <s v=""/>
    <s v="臺中市"/>
    <s v="烏日區"/>
    <s v="414"/>
    <s v="莊*玲"/>
    <s v="賣家宅配：大型/超重物品運送"/>
    <s v=""/>
    <s v=""/>
    <s v="信用卡"/>
    <s v="2026-04-08 23:59"/>
    <s v="新竹物流8179114392"/>
    <s v="2026-04-07 20:18"/>
    <m/>
    <s v="2026-04-10 18:25"/>
    <s v=""/>
    <m/>
    <s v="學習周邊"/>
    <s v="蝦皮"/>
  </r>
  <r>
    <s v="2604077QBYBP6P"/>
    <x v="0"/>
    <s v=""/>
    <s v=""/>
    <s v="n******4"/>
    <x v="6"/>
    <s v="598.00"/>
    <s v="0.00"/>
    <s v="0.00"/>
    <s v="0.00"/>
    <s v="598.00"/>
    <s v="0.00"/>
    <s v="0"/>
    <s v="0.00"/>
    <s v=""/>
    <s v="0.00"/>
    <s v="0.00"/>
    <s v="0.00"/>
    <s v="51.00"/>
    <s v="28.00"/>
    <s v="15.00"/>
    <s v="0"/>
    <s v="2.50%"/>
    <s v=""/>
    <x v="30"/>
    <s v="40272629657"/>
    <s v=""/>
    <s v="258985690764"/>
    <s v="40272629657_258985690764"/>
    <n v="399"/>
    <x v="6"/>
    <x v="6"/>
    <s v="20250FXAM"/>
    <n v="2"/>
    <s v="0"/>
    <s v="N"/>
    <s v="-"/>
    <s v="24******"/>
    <s v="****"/>
    <s v="0928000888,96216187#1"/>
    <s v=""/>
    <s v="新北市"/>
    <s v="新莊區"/>
    <s v="242"/>
    <s v="許*潔"/>
    <s v="賣家宅配：大型/超重物品運送"/>
    <s v=""/>
    <s v=""/>
    <s v="信用卡"/>
    <s v="2026-04-08 23:59"/>
    <s v="新竹物流8179114591"/>
    <s v="2026-04-07 20:54"/>
    <m/>
    <s v="2026-04-11 08:47"/>
    <s v=""/>
    <m/>
    <s v="學習周邊"/>
    <s v="蝦皮"/>
  </r>
  <r>
    <s v="2604077WDU11EJ"/>
    <x v="0"/>
    <s v=""/>
    <s v=""/>
    <s v="z******2"/>
    <x v="6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22426126#1"/>
    <s v=""/>
    <s v="臺中市"/>
    <s v="南屯區"/>
    <s v="408"/>
    <s v="何*柔"/>
    <s v="賣家宅配：大型/超重物品運送"/>
    <s v=""/>
    <s v=""/>
    <s v="信用卡"/>
    <s v="2026-04-08 23:59"/>
    <s v="新竹物流8179115066"/>
    <s v="2026-04-07 22:43"/>
    <m/>
    <s v="2026-04-09 11:40"/>
    <s v=""/>
    <m/>
    <s v="學習"/>
    <s v="蝦皮"/>
  </r>
  <r>
    <s v="2604077WKG7JG2"/>
    <x v="0"/>
    <s v=""/>
    <s v=""/>
    <s v="a*****y"/>
    <x v="6"/>
    <s v="2838.00"/>
    <s v="0.00"/>
    <s v="0.00"/>
    <s v="0.00"/>
    <s v="2838.00"/>
    <s v="0.00"/>
    <s v="111"/>
    <s v="0.00"/>
    <s v="BENE0450;KAR6AEA4K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3******"/>
    <s v="****"/>
    <s v="0928000888,64829276#1"/>
    <s v=""/>
    <s v="新北市"/>
    <s v="新店區"/>
    <s v="231"/>
    <s v="楊*潼"/>
    <s v="賣家宅配：大型/超重物品運送"/>
    <s v=""/>
    <s v=""/>
    <s v="信用卡"/>
    <s v="2026-04-08 23:59"/>
    <s v="新竹物流8179115195"/>
    <s v="2026-04-07 22:45"/>
    <m/>
    <s v="2026-04-13 20:53"/>
    <s v=""/>
    <m/>
    <s v="學習"/>
    <s v="蝦皮"/>
  </r>
  <r>
    <s v="26040881UEVH7C"/>
    <x v="0"/>
    <s v=""/>
    <s v=""/>
    <s v="d******h"/>
    <x v="7"/>
    <s v="4800.00"/>
    <s v="0.00"/>
    <s v="0.00"/>
    <s v="0.00"/>
    <s v="4800.00"/>
    <s v="0.00"/>
    <s v="0"/>
    <s v="0.00"/>
    <s v="MSV2604E"/>
    <s v="100.00"/>
    <s v="0.00"/>
    <s v="0.00"/>
    <s v="408.00"/>
    <s v="154.00"/>
    <s v="120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40******"/>
    <s v="****"/>
    <s v="0928000888,67634299#1"/>
    <s v=""/>
    <s v="臺中市"/>
    <s v="西屯區"/>
    <s v="407"/>
    <s v="吳*君"/>
    <s v="賣家宅配：大型/超重物品運送"/>
    <s v=""/>
    <s v=""/>
    <s v="信用卡"/>
    <s v="2026-04-09 23:59"/>
    <s v="新竹物流8179117870"/>
    <s v="2026-04-08 00:01"/>
    <m/>
    <s v="2026-04-30 14:36"/>
    <s v=""/>
    <m/>
    <s v="學習"/>
    <s v="蝦皮"/>
  </r>
  <r>
    <s v="26040881W0F1M8"/>
    <x v="0"/>
    <s v=""/>
    <s v="已同意申請"/>
    <s v="l******k"/>
    <x v="7"/>
    <s v="2299.00"/>
    <s v="0.00"/>
    <s v="0.00"/>
    <s v="0.00"/>
    <s v="0.00"/>
    <s v="0.00"/>
    <s v="0"/>
    <s v="0.00"/>
    <s v="MSV2604E;HCTZYUTNG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1"/>
    <s v="N"/>
    <s v="-"/>
    <s v="42******"/>
    <s v="****"/>
    <s v="0928000888,29494389#1"/>
    <s v=""/>
    <s v="臺中市"/>
    <s v="潭子區"/>
    <s v="427"/>
    <s v="吳*婷"/>
    <s v="賣家宅配：大型/超重物品運送"/>
    <s v=""/>
    <s v=""/>
    <s v="信用卡"/>
    <s v="2026-04-09 23:59"/>
    <s v="新竹物流8179117855"/>
    <s v="2026-04-08 00:02"/>
    <m/>
    <s v="2026-04-14 17:33"/>
    <s v=""/>
    <m/>
    <s v="學習"/>
    <s v="蝦皮"/>
  </r>
  <r>
    <s v="260408823FEBRH"/>
    <x v="0"/>
    <s v=""/>
    <s v=""/>
    <s v="c******3"/>
    <x v="7"/>
    <s v="2179.00"/>
    <s v="0.00"/>
    <s v="0.00"/>
    <s v="0.00"/>
    <s v="2179.00"/>
    <s v="0.00"/>
    <s v="0"/>
    <s v="0.00"/>
    <s v="BENE0420;TKB2604W32"/>
    <s v="20.00"/>
    <s v="0.00"/>
    <s v="2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91******"/>
    <s v="****"/>
    <s v="0928000888,21399559#1"/>
    <s v=""/>
    <s v="屏東縣"/>
    <s v="竹田鄉"/>
    <s v="911"/>
    <s v="李*妙"/>
    <s v="賣家宅配：大型/超重物品運送"/>
    <s v=""/>
    <s v=""/>
    <s v="信用卡"/>
    <s v="2026-04-09 23:59"/>
    <s v="新竹物流8179117833"/>
    <s v="2026-04-08 00:06"/>
    <m/>
    <s v="2026-04-30 14:36"/>
    <s v=""/>
    <m/>
    <s v="學習"/>
    <s v="蝦皮"/>
  </r>
  <r>
    <s v="26040882J4MSHN"/>
    <x v="0"/>
    <s v=""/>
    <s v=""/>
    <s v="c******e"/>
    <x v="7"/>
    <s v="2378.00"/>
    <s v="0.00"/>
    <s v="0.00"/>
    <s v="0.00"/>
    <s v="2378.00"/>
    <s v="0.00"/>
    <s v="0"/>
    <s v="0.00"/>
    <s v="BENE0420;TKB2604W32"/>
    <s v="20.00"/>
    <s v="0.00"/>
    <s v="20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41******"/>
    <s v="****"/>
    <s v="0928000888,66318878#1"/>
    <s v=""/>
    <s v="臺中市"/>
    <s v="太平區"/>
    <s v="411"/>
    <s v="陳*婷"/>
    <s v="賣家宅配：大型/超重物品運送"/>
    <s v=""/>
    <s v=""/>
    <s v="信用卡"/>
    <s v="2026-04-09 23:59"/>
    <s v="新竹物流8179117800"/>
    <s v="2026-04-08 00:14"/>
    <m/>
    <s v="2026-04-21 20:38"/>
    <s v=""/>
    <m/>
    <s v="學習"/>
    <s v="蝦皮"/>
  </r>
  <r>
    <s v="26040883WJ3WW4"/>
    <x v="0"/>
    <s v=""/>
    <s v=""/>
    <s v="a******n"/>
    <x v="7"/>
    <s v="4200.00"/>
    <s v="0.00"/>
    <s v="0.00"/>
    <s v="0.00"/>
    <s v="4200.00"/>
    <s v="0.00"/>
    <s v="0"/>
    <s v="0.00"/>
    <s v="MSV2604E;TKB2604W32"/>
    <s v="100.00"/>
    <s v="0.00"/>
    <s v="200.00"/>
    <s v="374.00"/>
    <s v="142.00"/>
    <s v="110.00"/>
    <s v="3"/>
    <s v="2.50%"/>
    <s v=""/>
    <x v="31"/>
    <s v="27004843078"/>
    <s v="(單套)"/>
    <s v="281830899971"/>
    <s v="27004843078_281830899971"/>
    <n v="5000"/>
    <x v="33"/>
    <x v="43"/>
    <s v="20220MY00"/>
    <n v="1"/>
    <s v="0"/>
    <s v="N"/>
    <s v="-"/>
    <s v="30******"/>
    <s v="****"/>
    <s v="0928000888,16829863#1"/>
    <s v=""/>
    <s v="新竹市"/>
    <s v="東區"/>
    <s v="300"/>
    <s v="呂*璋"/>
    <s v="賣家宅配：大型/超重物品運送"/>
    <s v=""/>
    <s v=""/>
    <s v="信用卡分期付款"/>
    <s v="2026-04-09 23:59"/>
    <s v="新竹物流8179117811"/>
    <s v="2026-04-08 00:39"/>
    <m/>
    <s v="2026-04-11 11:23"/>
    <s v=""/>
    <m/>
    <s v="學習"/>
    <s v="蝦皮"/>
  </r>
  <r>
    <s v="2604088454BSJU"/>
    <x v="0"/>
    <s v=""/>
    <s v=""/>
    <s v="s******0"/>
    <x v="7"/>
    <s v="2379.00"/>
    <s v="0.00"/>
    <s v="0.00"/>
    <s v="0.00"/>
    <s v="2379.00"/>
    <s v="0.00"/>
    <s v="0"/>
    <s v="0.00"/>
    <s v="BENE0420;LIVE-1379481357549568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50014497#1"/>
    <s v=""/>
    <s v="桃園市"/>
    <s v="桃園區"/>
    <s v="330"/>
    <s v="許*恩"/>
    <s v="賣家宅配：大型/超重物品運送"/>
    <s v=""/>
    <s v=""/>
    <s v="信用卡"/>
    <s v="2026-04-09 23:59"/>
    <s v="新竹物流8179117785"/>
    <s v="2026-04-08 00:42"/>
    <m/>
    <s v="2026-04-30 14:27"/>
    <s v=""/>
    <m/>
    <s v="學習"/>
    <s v="蝦皮"/>
  </r>
  <r>
    <s v="26040884DURU3X"/>
    <x v="1"/>
    <s v="被買家取消，原因 : 修改訂單內容"/>
    <s v=""/>
    <s v="d******n"/>
    <x v="7"/>
    <s v="1648.00"/>
    <s v="0.00"/>
    <s v="0.00"/>
    <s v="0.00"/>
    <s v="0.00"/>
    <s v="0.00"/>
    <s v="531"/>
    <s v="0.00"/>
    <s v="BENE0420;TKB2604W32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"/>
    <s v=""/>
    <s v="桃園市"/>
    <s v="八德區"/>
    <s v="334"/>
    <s v="林*雯"/>
    <s v="賣家宅配：大型/超重物品運送"/>
    <s v=""/>
    <s v=""/>
    <s v="信用卡"/>
    <s v="2026-04-09 23:59"/>
    <s v=""/>
    <s v="2026-04-08 00:49"/>
    <m/>
    <s v=""/>
    <s v=""/>
    <m/>
    <s v="學習"/>
    <s v="蝦皮"/>
  </r>
  <r>
    <s v="26040884R4S91Q"/>
    <x v="0"/>
    <s v=""/>
    <s v=""/>
    <s v="d******n"/>
    <x v="7"/>
    <s v="1648.00"/>
    <s v="0.00"/>
    <s v="0.00"/>
    <s v="0.00"/>
    <s v="1648.00"/>
    <s v="0.00"/>
    <s v="531"/>
    <s v="0.00"/>
    <s v="BENE0420;TKB2604W32"/>
    <s v="20.00"/>
    <s v="0.00"/>
    <s v="2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54837063#1"/>
    <s v=""/>
    <s v="桃園市"/>
    <s v="八德區"/>
    <s v="334"/>
    <s v="林*雯"/>
    <s v="賣家宅配：大型/超重物品運送"/>
    <s v=""/>
    <s v=""/>
    <s v="信用卡"/>
    <s v="2026-04-09 23:59"/>
    <s v="新竹物流8179117752"/>
    <s v="2026-04-08 00:53"/>
    <m/>
    <s v="2026-04-14 17:54"/>
    <s v=""/>
    <m/>
    <s v="學習"/>
    <s v="蝦皮"/>
  </r>
  <r>
    <s v="2604088TFMRJKQ"/>
    <x v="1"/>
    <s v="系統自動判定訂單不成立，原因 : 未收到款項"/>
    <s v=""/>
    <s v="f******n"/>
    <x v="7"/>
    <s v="674.00"/>
    <s v="0.00"/>
    <s v="0.00"/>
    <s v="0.00"/>
    <s v="0.00"/>
    <s v="0.00"/>
    <s v="0"/>
    <s v="0.00"/>
    <s v=""/>
    <s v="0.00"/>
    <s v="0.00"/>
    <s v="0.00"/>
    <s v="0.00"/>
    <s v="0.00"/>
    <s v="0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11******"/>
    <s v="****"/>
    <s v=""/>
    <s v=""/>
    <s v="臺北市"/>
    <s v="士林區"/>
    <s v="111"/>
    <s v="郭*倫"/>
    <s v="賣家宅配：大型/超重物品運送"/>
    <s v=""/>
    <s v=""/>
    <s v="信用卡"/>
    <s v=""/>
    <s v=""/>
    <s v="-"/>
    <m/>
    <s v=""/>
    <s v=""/>
    <m/>
    <s v="學習周邊"/>
    <s v="蝦皮"/>
  </r>
  <r>
    <s v="2604088TFMRJKQ"/>
    <x v="1"/>
    <s v="系統自動判定訂單不成立，原因 : 未收到款項"/>
    <s v=""/>
    <s v="f******n"/>
    <x v="7"/>
    <s v="674.00"/>
    <s v="0.00"/>
    <s v="0.00"/>
    <s v="0.00"/>
    <s v="0.00"/>
    <s v="0.00"/>
    <s v="0"/>
    <s v="0.00"/>
    <s v=""/>
    <s v="0.00"/>
    <s v="0.00"/>
    <s v="0.00"/>
    <s v="0.00"/>
    <s v="0.00"/>
    <s v="0.00"/>
    <s v="0"/>
    <s v="2.50%"/>
    <s v=""/>
    <x v="21"/>
    <s v="49555184608"/>
    <s v="潛能大挑戰(認識整點鐘)+貼紙"/>
    <s v="405475283662"/>
    <s v="49555184608_405475283662"/>
    <n v="375"/>
    <x v="30"/>
    <x v="25"/>
    <s v="20254CXAM"/>
    <n v="1"/>
    <s v="0"/>
    <s v="N"/>
    <s v="-"/>
    <s v="11******"/>
    <s v="****"/>
    <s v=""/>
    <s v=""/>
    <s v="臺北市"/>
    <s v="士林區"/>
    <s v="111"/>
    <s v="郭*倫"/>
    <s v="賣家宅配：大型/超重物品運送"/>
    <s v=""/>
    <s v=""/>
    <s v="信用卡"/>
    <s v=""/>
    <s v=""/>
    <s v="-"/>
    <m/>
    <s v=""/>
    <s v=""/>
    <m/>
    <s v="學習周邊"/>
    <s v="蝦皮"/>
  </r>
  <r>
    <s v="2604088UX6BTNX"/>
    <x v="0"/>
    <s v=""/>
    <s v=""/>
    <s v="o******3"/>
    <x v="7"/>
    <s v="2749.00"/>
    <s v="0.00"/>
    <s v="0.00"/>
    <s v="0.00"/>
    <s v="2749.00"/>
    <s v="0.00"/>
    <s v="0"/>
    <s v="0.00"/>
    <s v="BENE0450;TKB2604W32"/>
    <s v="50.00"/>
    <s v="0.00"/>
    <s v="20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2******"/>
    <s v="****"/>
    <s v="0928000888,91639846#1"/>
    <s v=""/>
    <s v="桃園市"/>
    <s v="中壢區"/>
    <s v="320"/>
    <s v="張*靜"/>
    <s v="賣家宅配：大型/超重物品運送"/>
    <s v=""/>
    <s v=""/>
    <s v="信用卡"/>
    <s v="2026-04-09 23:59"/>
    <s v="新竹物流8179117730"/>
    <s v="2026-04-08 07:48"/>
    <m/>
    <s v="2026-04-13 12:25"/>
    <s v=""/>
    <m/>
    <s v="學習"/>
    <s v="蝦皮"/>
  </r>
  <r>
    <s v="2604088X9M2CAW"/>
    <x v="1"/>
    <s v="被買家取消，原因 : 發現更便宜的價格"/>
    <s v=""/>
    <s v="a******0"/>
    <x v="7"/>
    <s v="2527.00"/>
    <s v="0.00"/>
    <s v="0.00"/>
    <s v="0.00"/>
    <s v="0.00"/>
    <s v="0.00"/>
    <s v="1"/>
    <s v="0.00"/>
    <s v="BENE0420;TKBSELLER2604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41******"/>
    <s v="****"/>
    <s v=""/>
    <s v=""/>
    <s v="臺中市"/>
    <s v="大里區"/>
    <s v="412"/>
    <s v="邱*蘋"/>
    <s v="賣家宅配：大型/超重物品運送"/>
    <s v=""/>
    <s v=""/>
    <s v="信用卡"/>
    <s v=""/>
    <s v=""/>
    <s v="-"/>
    <m/>
    <s v=""/>
    <s v=""/>
    <m/>
    <s v="學習"/>
    <s v="蝦皮"/>
  </r>
  <r>
    <s v="2604088XPUJW34"/>
    <x v="0"/>
    <s v=""/>
    <s v=""/>
    <s v="a******1"/>
    <x v="7"/>
    <s v="3747.00"/>
    <s v="0.00"/>
    <s v="0.00"/>
    <s v="0.00"/>
    <s v="3747.00"/>
    <s v="0.00"/>
    <s v="0"/>
    <s v="0.00"/>
    <s v="BENE0450"/>
    <s v="50.00"/>
    <s v="0.00"/>
    <s v="0.00"/>
    <s v="318.00"/>
    <s v="122.00"/>
    <s v="9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81******"/>
    <s v="****"/>
    <s v="0928000888,72003269#1"/>
    <s v=""/>
    <s v="高雄市"/>
    <s v="楠梓區"/>
    <s v="811"/>
    <s v="林*芳"/>
    <s v="賣家宅配：大型/超重物品運送"/>
    <s v=""/>
    <s v=""/>
    <s v="信用卡"/>
    <s v="2026-04-09 23:59"/>
    <s v="新竹物流8179117553"/>
    <s v="2026-04-08 08:38"/>
    <m/>
    <s v="2026-04-10 20:25"/>
    <s v=""/>
    <m/>
    <s v="學習周邊"/>
    <s v="蝦皮"/>
  </r>
  <r>
    <s v="2604088XPUJW34"/>
    <x v="0"/>
    <s v=""/>
    <s v=""/>
    <s v="a******1"/>
    <x v="7"/>
    <s v="3747.00"/>
    <s v="0.00"/>
    <s v="0.00"/>
    <s v="0.00"/>
    <s v="3747.00"/>
    <s v="0.00"/>
    <s v="0"/>
    <s v="0.00"/>
    <s v="BENE0450"/>
    <s v="50.00"/>
    <s v="0.00"/>
    <s v="0.00"/>
    <s v="318.00"/>
    <s v="122.00"/>
    <s v="94.00"/>
    <s v="0"/>
    <s v="2.50%"/>
    <s v=""/>
    <x v="0"/>
    <s v="55104898742"/>
    <s v="(加購)白沙屯媽祖祈福禮盒 $399"/>
    <s v="370543746468"/>
    <s v="55104898742_370543746468"/>
    <n v="3800"/>
    <x v="15"/>
    <x v="17"/>
    <s v="20250FXBT"/>
    <n v="1"/>
    <s v="0"/>
    <s v="N"/>
    <s v="-"/>
    <s v="81******"/>
    <s v="****"/>
    <s v="0928000888,72003269#1"/>
    <s v=""/>
    <s v="高雄市"/>
    <s v="楠梓區"/>
    <s v="811"/>
    <s v="林*芳"/>
    <s v="賣家宅配：大型/超重物品運送"/>
    <s v=""/>
    <s v=""/>
    <s v="信用卡"/>
    <s v="2026-04-09 23:59"/>
    <s v="新竹物流8179117553"/>
    <s v="2026-04-08 08:38"/>
    <m/>
    <s v="2026-04-10 20:25"/>
    <s v=""/>
    <m/>
    <s v="學習"/>
    <s v="蝦皮"/>
  </r>
  <r>
    <s v="2604088YTC94AN"/>
    <x v="1"/>
    <s v="被買家取消，原因 : 需要輸入/更換優惠券代碼"/>
    <s v=""/>
    <s v="a******0"/>
    <x v="7"/>
    <s v="2598.00"/>
    <s v="0.00"/>
    <s v="0.00"/>
    <s v="0.00"/>
    <s v="0.00"/>
    <s v="0.00"/>
    <s v="0"/>
    <s v="0.00"/>
    <s v="KPDDU5PSP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41******"/>
    <s v="****"/>
    <s v=""/>
    <s v=""/>
    <s v="臺中市"/>
    <s v="大里區"/>
    <s v="412"/>
    <s v="邱*蘋"/>
    <s v="賣家宅配：大型/超重物品運送"/>
    <s v=""/>
    <s v=""/>
    <s v="信用卡"/>
    <s v=""/>
    <s v=""/>
    <s v="-"/>
    <m/>
    <s v=""/>
    <s v=""/>
    <m/>
    <s v="學習"/>
    <s v="蝦皮"/>
  </r>
  <r>
    <s v="260408900A247J"/>
    <x v="1"/>
    <s v="被買家取消，原因 : 不想買了"/>
    <s v=""/>
    <s v="a******0"/>
    <x v="7"/>
    <s v="2577.00"/>
    <s v="0.00"/>
    <s v="0.00"/>
    <s v="0.00"/>
    <s v="0.00"/>
    <s v="0.00"/>
    <s v="1"/>
    <s v="0.00"/>
    <s v="BENE0420;KPDDU5PSP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41******"/>
    <s v="****"/>
    <s v=""/>
    <s v=""/>
    <s v="臺中市"/>
    <s v="大里區"/>
    <s v="412"/>
    <s v="邱*蘋"/>
    <s v="賣家宅配：大型/超重物品運送"/>
    <s v=""/>
    <s v=""/>
    <s v="信用卡"/>
    <s v=""/>
    <s v=""/>
    <s v="-"/>
    <m/>
    <s v=""/>
    <s v=""/>
    <m/>
    <s v="學習"/>
    <s v="蝦皮"/>
  </r>
  <r>
    <s v="260408974S0QA0"/>
    <x v="0"/>
    <s v=""/>
    <s v=""/>
    <s v="n*****0"/>
    <x v="7"/>
    <s v="2379.00"/>
    <s v="0.00"/>
    <s v="0.00"/>
    <s v="0.00"/>
    <s v="2379.00"/>
    <s v="0.00"/>
    <s v="0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0928000888,26910265#1"/>
    <s v=""/>
    <s v="新北市"/>
    <s v="三峽區"/>
    <s v="237"/>
    <s v="洪*敏"/>
    <s v="賣家宅配：大型/超重物品運送"/>
    <s v=""/>
    <s v=""/>
    <s v="信用卡"/>
    <s v="2026-04-09 23:59"/>
    <s v="新竹物流8179117542"/>
    <s v="2026-04-08 11:09"/>
    <m/>
    <s v="2026-04-16 11:16"/>
    <s v=""/>
    <m/>
    <s v="學習"/>
    <s v="蝦皮"/>
  </r>
  <r>
    <s v="26040897MCP040"/>
    <x v="0"/>
    <s v=""/>
    <s v="已同意申請"/>
    <s v="g******7"/>
    <x v="7"/>
    <s v="2299.00"/>
    <s v="0.00"/>
    <s v="0.00"/>
    <s v="0.00"/>
    <s v="0.00"/>
    <s v="0.00"/>
    <s v="0"/>
    <s v="0.00"/>
    <s v="MSV2604E;HCTZYUTNG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1"/>
    <s v="N"/>
    <s v="-"/>
    <s v="71******"/>
    <s v="****"/>
    <s v="0928000888,28367694#1"/>
    <s v=""/>
    <s v="臺南市"/>
    <s v="永康區"/>
    <s v="710"/>
    <s v="吳*蓉"/>
    <s v="賣家宅配：大型/超重物品運送"/>
    <s v=""/>
    <s v=""/>
    <s v="信用卡"/>
    <s v="2026-04-09 23:59"/>
    <s v="新竹物流8179117564"/>
    <s v="2026-04-08 11:17"/>
    <m/>
    <s v="2026-04-13 12:33"/>
    <s v=""/>
    <m/>
    <s v="學習"/>
    <s v="蝦皮"/>
  </r>
  <r>
    <s v="26040899DD39NY"/>
    <x v="0"/>
    <s v=""/>
    <s v=""/>
    <s v="t******3"/>
    <x v="7"/>
    <s v="3048.00"/>
    <s v="0.00"/>
    <s v="0.00"/>
    <s v="0.00"/>
    <s v="3048.00"/>
    <s v="0.00"/>
    <s v="0"/>
    <s v="0.00"/>
    <s v="BENE0450;TR95H33SP"/>
    <s v="50.00"/>
    <s v="0.00"/>
    <s v="0.00"/>
    <s v="259.00"/>
    <s v="101.00"/>
    <s v="76.00"/>
    <s v="0"/>
    <s v="2.50%"/>
    <s v=""/>
    <x v="32"/>
    <s v="26194465237"/>
    <s v="單購"/>
    <s v="430692463113"/>
    <s v="26194465237_430692463113"/>
    <n v="3000"/>
    <x v="0"/>
    <x v="0"/>
    <s v="20250FE00"/>
    <n v="1"/>
    <s v="0"/>
    <s v="N"/>
    <s v="-"/>
    <s v="70******"/>
    <s v="****"/>
    <s v="0928000888,63055889#1"/>
    <s v=""/>
    <s v="臺南市"/>
    <s v="安南區"/>
    <s v="709"/>
    <s v="翁*真"/>
    <s v="賣家宅配：大型/超重物品運送"/>
    <s v=""/>
    <s v=""/>
    <s v="信用卡"/>
    <s v="2026-04-09 23:59"/>
    <s v="新竹物流8179117726"/>
    <s v="2026-04-08 11:49"/>
    <m/>
    <s v="2026-04-11 10:46"/>
    <s v=""/>
    <m/>
    <s v="學習"/>
    <s v="蝦皮"/>
  </r>
  <r>
    <s v="26040899DD39NY"/>
    <x v="0"/>
    <s v=""/>
    <s v=""/>
    <s v="t******3"/>
    <x v="7"/>
    <s v="3048.00"/>
    <s v="0.00"/>
    <s v="0.00"/>
    <s v="0.00"/>
    <s v="3048.00"/>
    <s v="0.00"/>
    <s v="0"/>
    <s v="0.00"/>
    <s v="BENE0450;TR95H33SP"/>
    <s v="50.00"/>
    <s v="0.00"/>
    <s v="0.00"/>
    <s v="259.00"/>
    <s v="101.00"/>
    <s v="76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70******"/>
    <s v="****"/>
    <s v="0928000888,63055889#1"/>
    <s v=""/>
    <s v="臺南市"/>
    <s v="安南區"/>
    <s v="709"/>
    <s v="翁*真"/>
    <s v="賣家宅配：大型/超重物品運送"/>
    <s v=""/>
    <s v=""/>
    <s v="信用卡"/>
    <s v="2026-04-09 23:59"/>
    <s v="新竹物流8179117726"/>
    <s v="2026-04-08 11:49"/>
    <m/>
    <s v="2026-04-11 10:46"/>
    <s v=""/>
    <m/>
    <s v="學習周邊"/>
    <s v="蝦皮"/>
  </r>
  <r>
    <s v="2604089K2389RH"/>
    <x v="0"/>
    <s v=""/>
    <s v=""/>
    <s v="l******7"/>
    <x v="7"/>
    <s v="2379.00"/>
    <s v="0.00"/>
    <s v="0.00"/>
    <s v="0.00"/>
    <s v="2379.00"/>
    <s v="0.00"/>
    <s v="0"/>
    <s v="0.00"/>
    <s v="HCTZYUTNG;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46454513#1"/>
    <s v=""/>
    <s v="新竹縣"/>
    <s v="竹北市"/>
    <s v="302"/>
    <s v="葉*綾"/>
    <s v="賣家宅配：大型/超重物品運送"/>
    <s v=""/>
    <s v=""/>
    <s v="信用卡"/>
    <s v="2026-04-09 23:59"/>
    <s v="新竹物流8179117531"/>
    <s v="2026-04-08 14:42"/>
    <m/>
    <s v="2026-04-30 14:27"/>
    <s v=""/>
    <m/>
    <s v="學習"/>
    <s v="蝦皮"/>
  </r>
  <r>
    <s v="2604089KF24390"/>
    <x v="0"/>
    <s v=""/>
    <s v=""/>
    <s v="a******9"/>
    <x v="7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21500435#1"/>
    <s v=""/>
    <s v="高雄市"/>
    <s v="鼓山區"/>
    <s v="804"/>
    <s v="王*媛"/>
    <s v="賣家宅配：大型/超重物品運送"/>
    <s v=""/>
    <s v=""/>
    <s v="信用卡"/>
    <s v="2026-04-09 23:59"/>
    <s v="新竹物流8179117516"/>
    <s v="2026-04-08 14:49"/>
    <m/>
    <s v="2026-04-12 17:39"/>
    <s v=""/>
    <m/>
    <s v="學習"/>
    <s v="蝦皮"/>
  </r>
  <r>
    <s v="2604089NCATDFN"/>
    <x v="0"/>
    <s v=""/>
    <s v=""/>
    <s v="c******o"/>
    <x v="7"/>
    <s v="509.00"/>
    <s v="0.00"/>
    <s v="0.00"/>
    <s v="0.00"/>
    <s v="509.00"/>
    <s v="0.00"/>
    <s v="0"/>
    <s v="0.00"/>
    <s v=""/>
    <s v="0.00"/>
    <s v="0.00"/>
    <s v="0.00"/>
    <s v="43.00"/>
    <s v="25.00"/>
    <s v="13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40******"/>
    <s v="****"/>
    <s v="0928000888,29227476#1"/>
    <s v=""/>
    <s v="臺中市"/>
    <s v="西屯區"/>
    <s v="407"/>
    <s v="陳*宇"/>
    <s v="賣家宅配：大型/超重物品運送"/>
    <s v=""/>
    <s v=""/>
    <s v="信用卡"/>
    <s v="2026-04-09 23:59"/>
    <s v="新竹物流8179117446"/>
    <s v="2026-04-08 15:23"/>
    <m/>
    <s v="2026-04-11 12:17"/>
    <s v=""/>
    <m/>
    <s v="學習周邊"/>
    <s v="蝦皮"/>
  </r>
  <r>
    <s v="2604089NCATDFN"/>
    <x v="0"/>
    <s v=""/>
    <s v=""/>
    <s v="c******o"/>
    <x v="7"/>
    <s v="509.00"/>
    <s v="0.00"/>
    <s v="0.00"/>
    <s v="0.00"/>
    <s v="509.00"/>
    <s v="0.00"/>
    <s v="0"/>
    <s v="0.00"/>
    <s v=""/>
    <s v="0.00"/>
    <s v="0.00"/>
    <s v="0.00"/>
    <s v="43.00"/>
    <s v="25.00"/>
    <s v="13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40******"/>
    <s v="****"/>
    <s v="0928000888,29227476#1"/>
    <s v=""/>
    <s v="臺中市"/>
    <s v="西屯區"/>
    <s v="407"/>
    <s v="陳*宇"/>
    <s v="賣家宅配：大型/超重物品運送"/>
    <s v=""/>
    <s v=""/>
    <s v="信用卡"/>
    <s v="2026-04-09 23:59"/>
    <s v="新竹物流8179117446"/>
    <s v="2026-04-08 15:23"/>
    <m/>
    <s v="2026-04-11 12:17"/>
    <s v=""/>
    <m/>
    <s v="學習周邊"/>
    <s v="蝦皮"/>
  </r>
  <r>
    <s v="2604089QEC59N9"/>
    <x v="0"/>
    <s v=""/>
    <s v=""/>
    <s v="c******6"/>
    <x v="7"/>
    <s v="3150.00"/>
    <s v="0.00"/>
    <s v="0.00"/>
    <s v="0.00"/>
    <s v="3150.00"/>
    <s v="0.00"/>
    <s v="0"/>
    <s v="0.00"/>
    <s v="BENE0450;KAR6AEA4K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4******"/>
    <s v="****"/>
    <s v="0928000888,41370129#1"/>
    <s v=""/>
    <s v="新北市"/>
    <s v="五股區"/>
    <s v="248"/>
    <s v="陳*松"/>
    <s v="賣家宅配：大型/超重物品運送"/>
    <s v=""/>
    <s v=""/>
    <s v="信用卡"/>
    <s v="2026-04-09 23:59"/>
    <s v="新竹物流8179117505"/>
    <s v="2026-04-08 16:01"/>
    <m/>
    <s v="2026-04-11 11:55"/>
    <s v=""/>
    <m/>
    <s v="學習"/>
    <s v="蝦皮"/>
  </r>
  <r>
    <s v="2604089T5S8WX1"/>
    <x v="0"/>
    <s v=""/>
    <s v=""/>
    <s v="c******h"/>
    <x v="7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22******"/>
    <s v="****"/>
    <s v="0928000888,23318911#1"/>
    <s v=""/>
    <s v="新北市"/>
    <s v="板橋區"/>
    <s v="220"/>
    <s v="謝*杉"/>
    <s v="賣家宅配：大型/超重物品運送"/>
    <s v=""/>
    <s v=""/>
    <s v="信用卡"/>
    <s v="2026-04-09 23:59"/>
    <s v="新竹物流8179117494"/>
    <s v="2026-04-08 16:49"/>
    <m/>
    <s v="2026-04-30 14:31"/>
    <s v=""/>
    <m/>
    <s v="學習周邊"/>
    <s v="蝦皮"/>
  </r>
  <r>
    <s v="2604089UAH4UYF"/>
    <x v="0"/>
    <s v=""/>
    <s v=""/>
    <s v="m******0"/>
    <x v="7"/>
    <s v="2299.00"/>
    <s v="0.00"/>
    <s v="0.00"/>
    <s v="0.00"/>
    <s v="2299.00"/>
    <s v="0.00"/>
    <s v="0"/>
    <s v="0.00"/>
    <s v="MSV2604E;HCTZYUTNG"/>
    <s v="100.00"/>
    <s v="0.00"/>
    <s v="0.00"/>
    <s v="195.00"/>
    <s v="79.00"/>
    <s v="57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0928000888,89851029#1"/>
    <s v=""/>
    <s v="新北市"/>
    <s v="三峽區"/>
    <s v="237"/>
    <s v="蔡*芸"/>
    <s v="賣家宅配：大型/超重物品運送"/>
    <s v=""/>
    <s v=""/>
    <s v="信用卡"/>
    <s v="2026-04-09 23:59"/>
    <s v="新竹物流8179117483"/>
    <s v="2026-04-08 17:10"/>
    <m/>
    <s v="2026-04-30 14:36"/>
    <s v=""/>
    <m/>
    <s v="學習"/>
    <s v="蝦皮"/>
  </r>
  <r>
    <s v="260408A11SASNH"/>
    <x v="0"/>
    <s v=""/>
    <s v=""/>
    <s v="y*****6"/>
    <x v="7"/>
    <s v="598.00"/>
    <s v="0.00"/>
    <s v="0.00"/>
    <s v="0.00"/>
    <s v="598.00"/>
    <s v="0.00"/>
    <s v="0"/>
    <s v="0.00"/>
    <s v=""/>
    <s v="0.00"/>
    <s v="0.00"/>
    <s v="0.00"/>
    <s v="51.00"/>
    <s v="28.00"/>
    <s v="15.00"/>
    <s v="0"/>
    <s v="2.50%"/>
    <s v=""/>
    <x v="30"/>
    <s v="40272629657"/>
    <s v=""/>
    <s v="258985690764"/>
    <s v="40272629657_258985690764"/>
    <n v="399"/>
    <x v="6"/>
    <x v="6"/>
    <s v="20250FXAM"/>
    <n v="2"/>
    <s v="0"/>
    <s v="N"/>
    <s v="-"/>
    <s v="81******"/>
    <s v="****"/>
    <s v="0928000888,17762305#1"/>
    <s v=""/>
    <s v="高雄市"/>
    <s v="楠梓區"/>
    <s v="811"/>
    <s v="陳*伶"/>
    <s v="賣家宅配：大型/超重物品運送"/>
    <s v=""/>
    <s v=""/>
    <s v="信用卡"/>
    <s v="2026-04-09 23:59"/>
    <s v="新竹物流8179117461"/>
    <s v="2026-04-08 18:52"/>
    <m/>
    <s v="2026-04-12 16:38"/>
    <s v=""/>
    <m/>
    <s v="學習周邊"/>
    <s v="蝦皮"/>
  </r>
  <r>
    <s v="260408A37UD46K"/>
    <x v="0"/>
    <s v=""/>
    <s v=""/>
    <s v="j******1"/>
    <x v="7"/>
    <s v="3150.00"/>
    <s v="0.00"/>
    <s v="0.00"/>
    <s v="0.00"/>
    <s v="3150.00"/>
    <s v="0.00"/>
    <s v="0"/>
    <s v="0.00"/>
    <s v="BENE0450;HCTZYUTNG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92******"/>
    <s v="****"/>
    <s v="0928000888,14624422#1"/>
    <s v=""/>
    <s v="屏東縣"/>
    <s v="潮州鎮"/>
    <s v="920"/>
    <s v="陳*月"/>
    <s v="賣家宅配：大型/超重物品運送"/>
    <s v=""/>
    <s v=""/>
    <s v="信用卡"/>
    <s v="2026-04-09 23:59"/>
    <s v="新竹物流8179117472"/>
    <s v="2026-04-08 19:32"/>
    <m/>
    <s v="2026-04-10 18:51"/>
    <s v=""/>
    <m/>
    <s v="學習"/>
    <s v="蝦皮"/>
  </r>
  <r>
    <s v="260408A85DG91F"/>
    <x v="0"/>
    <s v=""/>
    <s v=""/>
    <s v="j******1"/>
    <x v="7"/>
    <s v="5149.00"/>
    <s v="0.00"/>
    <s v="0.00"/>
    <s v="0.00"/>
    <s v="5149.00"/>
    <s v="0.00"/>
    <s v="0"/>
    <s v="0.00"/>
    <s v="KAR6AEA4K;BENE0450"/>
    <s v="50.00"/>
    <s v="0.00"/>
    <s v="0.00"/>
    <s v="438.00"/>
    <s v="164.00"/>
    <s v="129.00"/>
    <s v="0"/>
    <s v="2.50%"/>
    <s v=""/>
    <x v="33"/>
    <s v="49906376227"/>
    <s v=""/>
    <s v="380574412015"/>
    <s v="49906376227_380574412015"/>
    <n v="7000"/>
    <x v="34"/>
    <x v="44"/>
    <s v="20250FXBC"/>
    <n v="1"/>
    <s v="0"/>
    <s v="N"/>
    <s v="-"/>
    <s v="30******"/>
    <s v="****"/>
    <s v="0928000888,44264111#1"/>
    <s v=""/>
    <s v="新竹縣"/>
    <s v="新埔鎮"/>
    <s v="305"/>
    <s v="陳*梅"/>
    <s v="賣家宅配：大型/超重物品運送"/>
    <s v=""/>
    <s v=""/>
    <s v="信用卡"/>
    <s v="2026-04-09 23:59"/>
    <s v="新竹物流8179117424"/>
    <s v="2026-04-08 21:01"/>
    <m/>
    <s v="2026-04-11 01:11"/>
    <s v=""/>
    <m/>
    <s v="學習周邊"/>
    <s v="蝦皮"/>
  </r>
  <r>
    <s v="260408A8RDXTJK"/>
    <x v="0"/>
    <s v=""/>
    <s v=""/>
    <s v="d******n"/>
    <x v="7"/>
    <s v="928.00"/>
    <s v="0.00"/>
    <s v="0.00"/>
    <s v="0.00"/>
    <s v="928.00"/>
    <s v="0.00"/>
    <s v="0"/>
    <s v="0.00"/>
    <s v="BENE0420;S5U3DJTMV"/>
    <s v="20.00"/>
    <s v="0.00"/>
    <s v="0.00"/>
    <s v="79.00"/>
    <s v="38.00"/>
    <s v="23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41******"/>
    <s v="****"/>
    <s v="0928000888,36484361#1"/>
    <s v=""/>
    <s v="臺中市"/>
    <s v="烏日區"/>
    <s v="414"/>
    <s v="黃*嘉"/>
    <s v="賣家宅配：大型/超重物品運送"/>
    <s v=""/>
    <s v=""/>
    <s v="信用卡"/>
    <s v="2026-04-09 23:59"/>
    <s v="新竹物流8179117450"/>
    <s v="2026-04-08 21:10"/>
    <m/>
    <s v="2026-04-15 11:25"/>
    <s v=""/>
    <m/>
    <s v="學習周邊"/>
    <s v="蝦皮"/>
  </r>
  <r>
    <s v="260408A8RDXTJK"/>
    <x v="0"/>
    <s v=""/>
    <s v=""/>
    <s v="d******n"/>
    <x v="7"/>
    <s v="928.00"/>
    <s v="0.00"/>
    <s v="0.00"/>
    <s v="0.00"/>
    <s v="928.00"/>
    <s v="0.00"/>
    <s v="0"/>
    <s v="0.00"/>
    <s v="BENE0420;S5U3DJTMV"/>
    <s v="20.00"/>
    <s v="0.00"/>
    <s v="0.00"/>
    <s v="79.00"/>
    <s v="38.00"/>
    <s v="23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41******"/>
    <s v="****"/>
    <s v="0928000888,36484361#1"/>
    <s v=""/>
    <s v="臺中市"/>
    <s v="烏日區"/>
    <s v="414"/>
    <s v="黃*嘉"/>
    <s v="賣家宅配：大型/超重物品運送"/>
    <s v=""/>
    <s v=""/>
    <s v="信用卡"/>
    <s v="2026-04-09 23:59"/>
    <s v="新竹物流8179117450"/>
    <s v="2026-04-08 21:10"/>
    <m/>
    <s v="2026-04-15 11:25"/>
    <s v=""/>
    <m/>
    <s v="學習周邊"/>
    <s v="蝦皮"/>
  </r>
  <r>
    <s v="260408A8RDXTJK"/>
    <x v="0"/>
    <s v=""/>
    <s v=""/>
    <s v="d******n"/>
    <x v="7"/>
    <s v="928.00"/>
    <s v="0.00"/>
    <s v="0.00"/>
    <s v="0.00"/>
    <s v="928.00"/>
    <s v="0.00"/>
    <s v="0"/>
    <s v="0.00"/>
    <s v="BENE0420;S5U3DJTMV"/>
    <s v="20.00"/>
    <s v="0.00"/>
    <s v="0.00"/>
    <s v="79.00"/>
    <s v="38.00"/>
    <s v="23.00"/>
    <s v="0"/>
    <s v="2.50%"/>
    <s v=""/>
    <x v="24"/>
    <s v="48855814036"/>
    <s v="記憶小高手"/>
    <s v="297387110146"/>
    <s v="48855814036_297387110146"/>
    <n v="350"/>
    <x v="35"/>
    <x v="30"/>
    <s v="20244C911"/>
    <n v="1"/>
    <s v="0"/>
    <s v="N"/>
    <s v="-"/>
    <s v="41******"/>
    <s v="****"/>
    <s v="0928000888,36484361#1"/>
    <s v=""/>
    <s v="臺中市"/>
    <s v="烏日區"/>
    <s v="414"/>
    <s v="黃*嘉"/>
    <s v="賣家宅配：大型/超重物品運送"/>
    <s v=""/>
    <s v=""/>
    <s v="信用卡"/>
    <s v="2026-04-09 23:59"/>
    <s v="新竹物流8179117450"/>
    <s v="2026-04-08 21:10"/>
    <m/>
    <s v="2026-04-15 11:25"/>
    <s v=""/>
    <m/>
    <s v="學習周邊"/>
    <s v="蝦皮"/>
  </r>
  <r>
    <s v="260408ACHRB166"/>
    <x v="0"/>
    <s v=""/>
    <s v=""/>
    <s v="i******h"/>
    <x v="7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10******"/>
    <s v="****"/>
    <s v="0928000888,46946878#1"/>
    <s v=""/>
    <s v="臺北市"/>
    <s v="萬華區"/>
    <s v="108"/>
    <s v="陳*純"/>
    <s v="賣家宅配：大型/超重物品運送"/>
    <s v=""/>
    <s v=""/>
    <s v="信用卡"/>
    <s v="2026-04-09 23:59"/>
    <s v="新竹物流8179117413"/>
    <s v="2026-04-08 22:18"/>
    <m/>
    <s v="2026-04-12 18:38"/>
    <s v=""/>
    <m/>
    <s v="學習周邊"/>
    <s v="蝦皮"/>
  </r>
  <r>
    <s v="260408AH4BFJ3P"/>
    <x v="0"/>
    <s v=""/>
    <s v=""/>
    <s v="s****o"/>
    <x v="7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3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4******"/>
    <s v="****"/>
    <s v="0928000888,74987476#1"/>
    <s v=""/>
    <s v="新北市"/>
    <s v="新莊區"/>
    <s v="242"/>
    <s v="陳*富"/>
    <s v="賣家宅配：大型/超重物品運送"/>
    <s v=""/>
    <s v=""/>
    <s v="信用卡分期付款"/>
    <s v="2026-04-09 23:59"/>
    <s v="新竹物流8179117402"/>
    <s v="2026-04-08 23:40"/>
    <m/>
    <s v="2026-04-15 16:25"/>
    <s v=""/>
    <m/>
    <s v="學習"/>
    <s v="蝦皮"/>
  </r>
  <r>
    <s v="260409AJEGY1F1"/>
    <x v="0"/>
    <s v=""/>
    <s v=""/>
    <s v="c******l"/>
    <x v="8"/>
    <s v="2379.00"/>
    <s v="0.00"/>
    <s v="0.00"/>
    <s v="0.00"/>
    <s v="2379.00"/>
    <s v="0.00"/>
    <s v="0"/>
    <s v="0.00"/>
    <s v="BENE0420;KAR6AEA4K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5******"/>
    <s v="****"/>
    <s v="0928000888,40854957#1"/>
    <s v=""/>
    <s v="新北市"/>
    <s v="淡水區"/>
    <s v="251"/>
    <s v="賴*璿"/>
    <s v="賣家宅配：大型/超重物品運送"/>
    <s v=""/>
    <s v=""/>
    <s v="信用卡"/>
    <s v="2026-04-10 23:59"/>
    <s v="新竹物流8179119686"/>
    <s v="2026-04-09 00:05"/>
    <m/>
    <s v="2026-04-17 00:30"/>
    <s v=""/>
    <m/>
    <s v="學習"/>
    <s v="蝦皮"/>
  </r>
  <r>
    <s v="260409AM901XNJ"/>
    <x v="0"/>
    <s v=""/>
    <s v=""/>
    <s v="d******u"/>
    <x v="8"/>
    <s v="2078.00"/>
    <s v="0.00"/>
    <s v="0.00"/>
    <s v="0.00"/>
    <s v="2078.00"/>
    <s v="0.00"/>
    <s v="91"/>
    <s v="0.00"/>
    <s v="BENE0420"/>
    <s v="20.00"/>
    <s v="0.00"/>
    <s v="0.00"/>
    <s v="184.00"/>
    <s v="75.00"/>
    <s v="54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33******"/>
    <s v="****"/>
    <s v="0928000888,32493577#1"/>
    <s v=""/>
    <s v="桃園市"/>
    <s v="桃園區"/>
    <s v="330"/>
    <s v="劉*月"/>
    <s v="賣家宅配：大型/超重物品運送"/>
    <s v=""/>
    <s v=""/>
    <s v="信用卡"/>
    <s v="2026-04-10 23:59"/>
    <s v="新竹物流8179119782"/>
    <s v="2026-04-09 00:38"/>
    <m/>
    <s v="2026-04-21 12:28"/>
    <s v=""/>
    <m/>
    <s v="學習周邊"/>
    <s v="蝦皮"/>
  </r>
  <r>
    <s v="260409AM901XNJ"/>
    <x v="0"/>
    <s v=""/>
    <s v=""/>
    <s v="d******u"/>
    <x v="8"/>
    <s v="2078.00"/>
    <s v="0.00"/>
    <s v="0.00"/>
    <s v="0.00"/>
    <s v="2078.00"/>
    <s v="0.00"/>
    <s v="91"/>
    <s v="0.00"/>
    <s v="BENE0420"/>
    <s v="20.00"/>
    <s v="0.00"/>
    <s v="0.00"/>
    <s v="184.00"/>
    <s v="75.00"/>
    <s v="54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33******"/>
    <s v="****"/>
    <s v="0928000888,32493577#1"/>
    <s v=""/>
    <s v="桃園市"/>
    <s v="桃園區"/>
    <s v="330"/>
    <s v="劉*月"/>
    <s v="賣家宅配：大型/超重物品運送"/>
    <s v=""/>
    <s v=""/>
    <s v="信用卡"/>
    <s v="2026-04-10 23:59"/>
    <s v="新竹物流8179119782"/>
    <s v="2026-04-09 00:38"/>
    <m/>
    <s v="2026-04-21 12:28"/>
    <s v=""/>
    <m/>
    <s v="學習周邊"/>
    <s v="蝦皮"/>
  </r>
  <r>
    <s v="260409AM901XNJ"/>
    <x v="0"/>
    <s v=""/>
    <s v=""/>
    <s v="d******u"/>
    <x v="8"/>
    <s v="2078.00"/>
    <s v="0.00"/>
    <s v="0.00"/>
    <s v="0.00"/>
    <s v="2078.00"/>
    <s v="0.00"/>
    <s v="91"/>
    <s v="0.00"/>
    <s v="BENE0420"/>
    <s v="20.00"/>
    <s v="0.00"/>
    <s v="0.00"/>
    <s v="184.00"/>
    <s v="75.00"/>
    <s v="54.00"/>
    <s v="0"/>
    <s v="2.50%"/>
    <s v=""/>
    <x v="34"/>
    <s v="27504286731"/>
    <s v=""/>
    <s v="256231616499"/>
    <s v="27504286731_256231616499"/>
    <n v="540"/>
    <x v="18"/>
    <x v="45"/>
    <s v="20241CXAA"/>
    <n v="1"/>
    <s v="0"/>
    <s v="N"/>
    <s v="-"/>
    <s v="33******"/>
    <s v="****"/>
    <s v="0928000888,32493577#1"/>
    <s v=""/>
    <s v="桃園市"/>
    <s v="桃園區"/>
    <s v="330"/>
    <s v="劉*月"/>
    <s v="賣家宅配：大型/超重物品運送"/>
    <s v=""/>
    <s v=""/>
    <s v="信用卡"/>
    <s v="2026-04-10 23:59"/>
    <s v="新竹物流8179119782"/>
    <s v="2026-04-09 00:38"/>
    <m/>
    <s v="2026-04-21 12:28"/>
    <s v=""/>
    <m/>
    <s v="學習周邊"/>
    <s v="蝦皮"/>
  </r>
  <r>
    <s v="260409AM901XNJ"/>
    <x v="0"/>
    <s v=""/>
    <s v=""/>
    <s v="d******u"/>
    <x v="8"/>
    <s v="2078.00"/>
    <s v="0.00"/>
    <s v="0.00"/>
    <s v="0.00"/>
    <s v="2078.00"/>
    <s v="0.00"/>
    <s v="91"/>
    <s v="0.00"/>
    <s v="BENE0420"/>
    <s v="20.00"/>
    <s v="0.00"/>
    <s v="0.00"/>
    <s v="184.00"/>
    <s v="75.00"/>
    <s v="54.00"/>
    <s v="0"/>
    <s v="2.50%"/>
    <s v=""/>
    <x v="17"/>
    <s v="27630789688"/>
    <s v=""/>
    <s v="99141399810"/>
    <s v="27630789688_99141399810"/>
    <n v="600"/>
    <x v="18"/>
    <x v="19"/>
    <s v="20235C603"/>
    <n v="1"/>
    <s v="0"/>
    <s v="N"/>
    <s v="-"/>
    <s v="33******"/>
    <s v="****"/>
    <s v="0928000888,32493577#1"/>
    <s v=""/>
    <s v="桃園市"/>
    <s v="桃園區"/>
    <s v="330"/>
    <s v="劉*月"/>
    <s v="賣家宅配：大型/超重物品運送"/>
    <s v=""/>
    <s v=""/>
    <s v="信用卡"/>
    <s v="2026-04-10 23:59"/>
    <s v="新竹物流8179119782"/>
    <s v="2026-04-09 00:38"/>
    <m/>
    <s v="2026-04-21 12:28"/>
    <s v=""/>
    <m/>
    <s v="學習周邊"/>
    <s v="蝦皮"/>
  </r>
  <r>
    <s v="260409AMUK5JA3"/>
    <x v="0"/>
    <s v=""/>
    <s v=""/>
    <s v="o******a"/>
    <x v="8"/>
    <s v="2980.00"/>
    <s v="0.00"/>
    <s v="0.00"/>
    <s v="0.00"/>
    <s v="2980.00"/>
    <s v="0.00"/>
    <s v="170"/>
    <s v="0.00"/>
    <s v="BENE0450;HCTZYUTNG"/>
    <s v="50.00"/>
    <s v="0.00"/>
    <s v="0.00"/>
    <s v="268.00"/>
    <s v="105.00"/>
    <s v="79.00"/>
    <s v="3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51******"/>
    <s v="****"/>
    <s v="0928000888,53741258#1"/>
    <s v=""/>
    <s v="彰化縣"/>
    <s v="永靖鄉"/>
    <s v="512"/>
    <s v="施*雅"/>
    <s v="賣家宅配：大型/超重物品運送"/>
    <s v=""/>
    <s v=""/>
    <s v="信用卡分期付款"/>
    <s v="2026-04-10 23:59"/>
    <s v="新竹物流8179119675"/>
    <s v="2026-04-09 00:47"/>
    <m/>
    <s v="2026-04-12 13:00"/>
    <s v=""/>
    <m/>
    <s v="學習"/>
    <s v="蝦皮"/>
  </r>
  <r>
    <s v="260409BCKQHHR4"/>
    <x v="0"/>
    <s v=""/>
    <s v=""/>
    <s v="c******u"/>
    <x v="8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0928000888,42261483#1"/>
    <s v=""/>
    <s v="新北市"/>
    <s v="中和區"/>
    <s v="235"/>
    <s v="陳*靜"/>
    <s v="賣家宅配：大型/超重物品運送"/>
    <s v=""/>
    <s v=""/>
    <s v="信用卡"/>
    <s v="2026-04-10 23:59"/>
    <s v="新竹物流8179119701"/>
    <s v="2026-04-09 07:52"/>
    <m/>
    <s v="2026-04-23 09:41"/>
    <s v=""/>
    <m/>
    <s v="學習"/>
    <s v="蝦皮"/>
  </r>
  <r>
    <s v="260409BGAA77X2"/>
    <x v="0"/>
    <s v=""/>
    <s v=""/>
    <s v="m******9"/>
    <x v="8"/>
    <s v="2379.00"/>
    <s v="0.00"/>
    <s v="0.00"/>
    <s v="0.00"/>
    <s v="2379.00"/>
    <s v="0.00"/>
    <s v="0"/>
    <s v="0.00"/>
    <s v="BENE0420;S5U3DJTMV"/>
    <s v="20.00"/>
    <s v="0.00"/>
    <s v="0.00"/>
    <s v="202.00"/>
    <s v="81.00"/>
    <s v="59.00"/>
    <s v="0"/>
    <s v="2.50%"/>
    <s v=""/>
    <x v="32"/>
    <s v="26194465237"/>
    <s v="單購"/>
    <s v="430692463113"/>
    <s v="26194465237_430692463113"/>
    <n v="3000"/>
    <x v="0"/>
    <x v="0"/>
    <s v="20250FE00"/>
    <n v="1"/>
    <s v="0"/>
    <s v="N"/>
    <s v="-"/>
    <s v="50******"/>
    <s v="****"/>
    <s v="0928000888,91021092#1"/>
    <s v=""/>
    <s v="彰化縣"/>
    <s v="和美鎮"/>
    <s v="508"/>
    <s v="葉*伶"/>
    <s v="賣家宅配：大型/超重物品運送"/>
    <s v=""/>
    <s v=""/>
    <s v="信用卡"/>
    <s v="2026-04-10 23:59"/>
    <s v="新竹物流8179119712"/>
    <s v="2026-04-09 08:58"/>
    <m/>
    <s v="2026-04-14 08:57"/>
    <s v=""/>
    <m/>
    <s v="學習"/>
    <s v="蝦皮"/>
  </r>
  <r>
    <s v="260409BHMXWCRF"/>
    <x v="0"/>
    <s v=""/>
    <s v=""/>
    <s v="y******9"/>
    <x v="8"/>
    <s v="2578.00"/>
    <s v="0.00"/>
    <s v="0.00"/>
    <s v="0.00"/>
    <s v="2578.00"/>
    <s v="0.00"/>
    <s v="0"/>
    <s v="0.00"/>
    <s v="BENE0420;HCTZYUTNG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3******"/>
    <s v="****"/>
    <s v="0928000888,77170345#1"/>
    <s v=""/>
    <s v="桃園市"/>
    <s v="龜山區"/>
    <s v="333"/>
    <s v="陳*霖"/>
    <s v="賣家宅配：大型/超重物品運送"/>
    <s v=""/>
    <s v=""/>
    <s v="信用卡"/>
    <s v="2026-04-10 23:59"/>
    <s v="新竹物流8179119841"/>
    <s v="2026-04-09 09:22"/>
    <m/>
    <s v="2026-04-15 23:34"/>
    <s v=""/>
    <m/>
    <s v="學習"/>
    <s v="蝦皮"/>
  </r>
  <r>
    <s v="260409BQDHXQ4B"/>
    <x v="0"/>
    <s v=""/>
    <s v=""/>
    <s v="a******4"/>
    <x v="8"/>
    <s v="3150.00"/>
    <s v="0.00"/>
    <s v="0.00"/>
    <s v="0.00"/>
    <s v="3150.00"/>
    <s v="0.00"/>
    <s v="0"/>
    <s v="0.00"/>
    <s v="BENE0450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0******"/>
    <s v="****"/>
    <s v="0928000888,01697599#1"/>
    <s v=""/>
    <s v="臺北市"/>
    <s v="大安區"/>
    <s v="106"/>
    <s v="呂*娟"/>
    <s v="賣家宅配：大型/超重物品運送"/>
    <s v=""/>
    <s v=""/>
    <s v="信用卡"/>
    <s v="2026-04-10 23:59"/>
    <s v="新竹物流8179119771"/>
    <s v="2026-04-09 11:06"/>
    <m/>
    <s v="2026-04-15 16:35"/>
    <s v=""/>
    <m/>
    <s v="學習"/>
    <s v="蝦皮"/>
  </r>
  <r>
    <s v="260409CHD85Q97"/>
    <x v="0"/>
    <s v=""/>
    <s v=""/>
    <s v="p******8"/>
    <x v="8"/>
    <s v="3997.00"/>
    <s v="0.00"/>
    <s v="0.00"/>
    <s v="0.00"/>
    <s v="3997.00"/>
    <s v="0.00"/>
    <s v="0"/>
    <s v="0.00"/>
    <s v="BENE0450"/>
    <s v="50.00"/>
    <s v="0.00"/>
    <s v="0.00"/>
    <s v="340.00"/>
    <s v="130.00"/>
    <s v="100.00"/>
    <s v="0"/>
    <s v="2.50%"/>
    <s v=""/>
    <x v="17"/>
    <s v="27630789688"/>
    <s v=""/>
    <s v="99141399810"/>
    <s v="27630789688_99141399810"/>
    <n v="600"/>
    <x v="18"/>
    <x v="19"/>
    <s v="20235C603"/>
    <n v="1"/>
    <s v="0"/>
    <s v="N"/>
    <s v="-"/>
    <s v="33******"/>
    <s v="****"/>
    <s v="0928000888,26661743#1"/>
    <s v=""/>
    <s v="桃園市"/>
    <s v="八德區"/>
    <s v="334"/>
    <s v="李*融"/>
    <s v="賣家宅配：大型/超重物品運送"/>
    <s v=""/>
    <s v=""/>
    <s v="信用卡"/>
    <s v="2026-04-10 23:59"/>
    <s v="新竹物流8179119826"/>
    <s v="2026-04-09 18:50"/>
    <m/>
    <s v="2026-04-14 21:57"/>
    <s v=""/>
    <m/>
    <s v="學習周邊"/>
    <s v="蝦皮"/>
  </r>
  <r>
    <s v="260409CHD85Q97"/>
    <x v="0"/>
    <s v=""/>
    <s v=""/>
    <s v="p******8"/>
    <x v="8"/>
    <s v="3997.00"/>
    <s v="0.00"/>
    <s v="0.00"/>
    <s v="0.00"/>
    <s v="3997.00"/>
    <s v="0.00"/>
    <s v="0"/>
    <s v="0.00"/>
    <s v="BENE0450"/>
    <s v="50.00"/>
    <s v="0.00"/>
    <s v="0.00"/>
    <s v="340.00"/>
    <s v="130.00"/>
    <s v="100.00"/>
    <s v="0"/>
    <s v="2.50%"/>
    <s v=""/>
    <x v="29"/>
    <s v="44002561214"/>
    <s v="笑談歇後語"/>
    <s v="325474847037"/>
    <s v="44002561214_325474847037"/>
    <n v="299"/>
    <x v="6"/>
    <x v="46"/>
    <s v="2020FC803"/>
    <n v="1"/>
    <s v="0"/>
    <s v="N"/>
    <s v="-"/>
    <s v="33******"/>
    <s v="****"/>
    <s v="0928000888,26661743#1"/>
    <s v=""/>
    <s v="桃園市"/>
    <s v="八德區"/>
    <s v="334"/>
    <s v="李*融"/>
    <s v="賣家宅配：大型/超重物品運送"/>
    <s v=""/>
    <s v=""/>
    <s v="信用卡"/>
    <s v="2026-04-10 23:59"/>
    <s v="新竹物流8179119826"/>
    <s v="2026-04-09 18:50"/>
    <m/>
    <s v="2026-04-14 21:57"/>
    <s v=""/>
    <m/>
    <s v="學習周邊"/>
    <s v="蝦皮"/>
  </r>
  <r>
    <s v="260409CHD85Q97"/>
    <x v="0"/>
    <s v=""/>
    <s v=""/>
    <s v="p******8"/>
    <x v="8"/>
    <s v="3997.00"/>
    <s v="0.00"/>
    <s v="0.00"/>
    <s v="0.00"/>
    <s v="3997.00"/>
    <s v="0.00"/>
    <s v="0"/>
    <s v="0.00"/>
    <s v="BENE0450"/>
    <s v="50.00"/>
    <s v="0.00"/>
    <s v="0.00"/>
    <s v="340.00"/>
    <s v="130.00"/>
    <s v="100.00"/>
    <s v="0"/>
    <s v="2.50%"/>
    <s v=""/>
    <x v="29"/>
    <s v="44002561214"/>
    <s v="知識大哉問"/>
    <s v="325474847038"/>
    <s v="44002561214_325474847038"/>
    <n v="299"/>
    <x v="6"/>
    <x v="40"/>
    <s v="2020FC801"/>
    <n v="1"/>
    <s v="0"/>
    <s v="N"/>
    <s v="-"/>
    <s v="33******"/>
    <s v="****"/>
    <s v="0928000888,26661743#1"/>
    <s v=""/>
    <s v="桃園市"/>
    <s v="八德區"/>
    <s v="334"/>
    <s v="李*融"/>
    <s v="賣家宅配：大型/超重物品運送"/>
    <s v=""/>
    <s v=""/>
    <s v="信用卡"/>
    <s v="2026-04-10 23:59"/>
    <s v="新竹物流8179119826"/>
    <s v="2026-04-09 18:50"/>
    <m/>
    <s v="2026-04-14 21:57"/>
    <s v=""/>
    <m/>
    <s v="學習周邊"/>
    <s v="蝦皮"/>
  </r>
  <r>
    <s v="260409CHD85Q97"/>
    <x v="0"/>
    <s v=""/>
    <s v=""/>
    <s v="p******8"/>
    <x v="8"/>
    <s v="3997.00"/>
    <s v="0.00"/>
    <s v="0.00"/>
    <s v="0.00"/>
    <s v="3997.00"/>
    <s v="0.00"/>
    <s v="0"/>
    <s v="0.00"/>
    <s v="BENE0450"/>
    <s v="50.00"/>
    <s v="0.00"/>
    <s v="0.00"/>
    <s v="340.00"/>
    <s v="130.00"/>
    <s v="100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3******"/>
    <s v="****"/>
    <s v="0928000888,26661743#1"/>
    <s v=""/>
    <s v="桃園市"/>
    <s v="八德區"/>
    <s v="334"/>
    <s v="李*融"/>
    <s v="賣家宅配：大型/超重物品運送"/>
    <s v=""/>
    <s v=""/>
    <s v="信用卡"/>
    <s v="2026-04-10 23:59"/>
    <s v="新竹物流8179119826"/>
    <s v="2026-04-09 18:50"/>
    <m/>
    <s v="2026-04-14 21:57"/>
    <s v=""/>
    <m/>
    <s v="學習"/>
    <s v="蝦皮"/>
  </r>
  <r>
    <s v="260409CMHXNBKE"/>
    <x v="0"/>
    <s v=""/>
    <s v=""/>
    <s v="r******1"/>
    <x v="8"/>
    <s v="2578.00"/>
    <s v="0.00"/>
    <s v="0.00"/>
    <s v="0.00"/>
    <s v="2578.00"/>
    <s v="0.00"/>
    <s v="0"/>
    <s v="0.00"/>
    <s v="KAR6AEA4K;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91726258#1"/>
    <s v=""/>
    <s v="新北市"/>
    <s v="中和區"/>
    <s v="235"/>
    <s v="周*萱"/>
    <s v="賣家宅配：大型/超重物品運送"/>
    <s v=""/>
    <s v=""/>
    <s v="信用卡"/>
    <s v="2026-04-10 23:59"/>
    <s v="新竹物流8179119804"/>
    <s v="2026-04-09 19:47"/>
    <m/>
    <s v="2026-04-14 14:28"/>
    <s v=""/>
    <m/>
    <s v="學習"/>
    <s v="蝦皮"/>
  </r>
  <r>
    <s v="260409CNQK2W65"/>
    <x v="0"/>
    <s v=""/>
    <s v=""/>
    <s v="t******1"/>
    <x v="8"/>
    <s v="2279.00"/>
    <s v="0.00"/>
    <s v="0.00"/>
    <s v="0.00"/>
    <s v="2279.00"/>
    <s v="0.00"/>
    <s v="0"/>
    <s v="0.00"/>
    <s v="BENE0420;M2HYHGQX04"/>
    <s v="20.00"/>
    <s v="0.00"/>
    <s v="1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48303291#1"/>
    <s v=""/>
    <s v="臺北市"/>
    <s v="北投區"/>
    <s v="11242"/>
    <s v="簡*玲"/>
    <s v="賣家宅配：大型/超重物品運送"/>
    <s v=""/>
    <s v=""/>
    <s v="信用卡"/>
    <s v="2026-04-10 23:59"/>
    <s v="新竹物流8179119723"/>
    <s v="2026-04-09 20:08"/>
    <m/>
    <s v="2026-04-14 15:00"/>
    <s v=""/>
    <m/>
    <s v="學習"/>
    <s v="蝦皮"/>
  </r>
  <r>
    <s v="260409CP25N7AW"/>
    <x v="0"/>
    <s v=""/>
    <s v=""/>
    <s v="l******u"/>
    <x v="8"/>
    <s v="2179.00"/>
    <s v="0.00"/>
    <s v="0.00"/>
    <s v="0.00"/>
    <s v="2179.00"/>
    <s v="0.00"/>
    <s v="0"/>
    <s v="0.00"/>
    <s v="BENE0420"/>
    <s v="20.00"/>
    <s v="0.00"/>
    <s v="0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40******"/>
    <s v="****"/>
    <s v="0928000888,57151093#1"/>
    <s v=""/>
    <s v="臺中市"/>
    <s v="西屯區"/>
    <s v="407"/>
    <s v="王*郁"/>
    <s v="賣家宅配：大型/超重物品運送"/>
    <s v=""/>
    <s v=""/>
    <s v="信用卡"/>
    <s v="2026-04-10 23:59"/>
    <s v="新竹物流8179119815"/>
    <s v="2026-04-09 20:14"/>
    <m/>
    <s v="2026-04-24 11:03"/>
    <s v=""/>
    <m/>
    <s v="學習"/>
    <s v="蝦皮"/>
  </r>
  <r>
    <s v="260409CXUP21BP"/>
    <x v="0"/>
    <s v=""/>
    <s v=""/>
    <s v="p******c"/>
    <x v="8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86093417#1"/>
    <s v=""/>
    <s v="高雄市"/>
    <s v="苓雅區"/>
    <s v="802"/>
    <s v="楊*希"/>
    <s v="賣家宅配：大型/超重物品運送"/>
    <s v=""/>
    <s v=""/>
    <s v="信用卡"/>
    <s v="2026-04-10 23:59"/>
    <s v="新竹物流8179119734"/>
    <s v="2026-04-09 22:51"/>
    <m/>
    <s v="2026-05-01 11:29"/>
    <s v=""/>
    <m/>
    <s v="學習"/>
    <s v="蝦皮"/>
  </r>
  <r>
    <s v="260409D1BRKXU5"/>
    <x v="0"/>
    <s v=""/>
    <s v=""/>
    <s v="m******8"/>
    <x v="8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95560008#1"/>
    <s v=""/>
    <s v="臺北市"/>
    <s v="內湖區"/>
    <s v="114"/>
    <s v="廖*淳"/>
    <s v="賣家宅配：大型/超重物品運送"/>
    <s v=""/>
    <s v=""/>
    <s v="信用卡"/>
    <s v="2026-04-10 23:59"/>
    <s v="新竹物流8179119745"/>
    <s v="2026-04-09 23:36"/>
    <m/>
    <s v="2026-04-28 15:04"/>
    <s v=""/>
    <m/>
    <s v="學習"/>
    <s v="蝦皮"/>
  </r>
  <r>
    <s v="260410D4G6HCR7"/>
    <x v="2"/>
    <s v=""/>
    <s v=""/>
    <s v="k******9"/>
    <x v="9"/>
    <s v="2680.00"/>
    <s v="0.00"/>
    <s v="0.00"/>
    <s v="0.00"/>
    <s v="2680.00"/>
    <s v="0.00"/>
    <s v="470"/>
    <s v="0.00"/>
    <s v="BENE0450;TR95H33SP"/>
    <s v="50.00"/>
    <s v="0.00"/>
    <s v="0.00"/>
    <s v="268.00"/>
    <s v="105.00"/>
    <s v="79.00"/>
    <s v="3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30******"/>
    <s v="****"/>
    <s v="0928000888,31327626#1"/>
    <s v=""/>
    <s v="新竹市"/>
    <s v="東區"/>
    <s v="300"/>
    <s v="陳*婕"/>
    <s v="賣家宅配：大型/超重物品運送"/>
    <s v=""/>
    <s v=""/>
    <s v="信用卡分期付款"/>
    <s v="2026-04-13 23:59"/>
    <s v="新竹物流8179123536"/>
    <s v="2026-04-10 00:32"/>
    <m/>
    <s v="2026-04-14 14:01"/>
    <s v=""/>
    <m/>
    <s v="學習"/>
    <s v="蝦皮"/>
  </r>
  <r>
    <s v="260410DF65XEMT"/>
    <x v="3"/>
    <s v=""/>
    <s v=""/>
    <s v="m******9"/>
    <x v="9"/>
    <s v="4249.00"/>
    <s v="0.00"/>
    <s v="0.00"/>
    <s v="0.00"/>
    <s v="4249.00"/>
    <s v="0.00"/>
    <s v="0"/>
    <s v="0.00"/>
    <s v="BENE0450"/>
    <s v="50.00"/>
    <s v="0.00"/>
    <s v="0.00"/>
    <s v="361.00"/>
    <s v="137.00"/>
    <s v="106.00"/>
    <s v="0"/>
    <s v="2.50%"/>
    <s v=""/>
    <x v="16"/>
    <s v="29710271443"/>
    <s v="(單套)"/>
    <s v="187914014572"/>
    <s v="29710271443_187914014572"/>
    <n v="5500"/>
    <x v="36"/>
    <x v="47"/>
    <s v="20240FA00"/>
    <n v="1"/>
    <s v="0"/>
    <s v="N"/>
    <s v="-"/>
    <s v="407 臺中市西屯區上安路60之6號11樓之10"/>
    <s v="****"/>
    <s v="0928000888,66992460#1"/>
    <s v=""/>
    <s v="臺中市"/>
    <s v="西屯區"/>
    <s v="407"/>
    <s v="郭盈霙"/>
    <s v="賣家宅配：大型/超重物品運送"/>
    <s v=""/>
    <s v=""/>
    <s v="信用卡"/>
    <s v="2026-04-13 23:59"/>
    <s v="新竹物流8179123540"/>
    <s v="2026-04-10 03:44"/>
    <m/>
    <s v=""/>
    <s v=""/>
    <m/>
    <s v="學習"/>
    <s v="蝦皮"/>
  </r>
  <r>
    <s v="260410DVAQ6U7G"/>
    <x v="2"/>
    <s v=""/>
    <s v=""/>
    <s v="p******3"/>
    <x v="9"/>
    <s v="6348.00"/>
    <s v="0.00"/>
    <s v="0.00"/>
    <s v="0.00"/>
    <s v="6348.00"/>
    <s v="0.00"/>
    <s v="2"/>
    <s v="0.00"/>
    <s v="BENE0450"/>
    <s v="50.00"/>
    <s v="0.00"/>
    <s v="0.00"/>
    <s v="540.00"/>
    <s v="201.00"/>
    <s v="15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10******"/>
    <s v="****"/>
    <s v="0928000888,43725795#1"/>
    <s v=""/>
    <s v="臺北市"/>
    <s v="中正區"/>
    <s v="100"/>
    <s v="賴*達"/>
    <s v="賣家宅配：大型/超重物品運送"/>
    <s v=""/>
    <s v=""/>
    <s v="信用卡"/>
    <s v="2026-04-13 23:59"/>
    <s v="新竹物流8179123595"/>
    <s v="2026-04-10 07:39"/>
    <m/>
    <s v="2026-04-21 18:30"/>
    <s v=""/>
    <m/>
    <s v="學習"/>
    <s v="蝦皮"/>
  </r>
  <r>
    <s v="260410DVAQ6U7G"/>
    <x v="2"/>
    <s v=""/>
    <s v=""/>
    <s v="p******3"/>
    <x v="9"/>
    <s v="6348.00"/>
    <s v="0.00"/>
    <s v="0.00"/>
    <s v="0.00"/>
    <s v="6348.00"/>
    <s v="0.00"/>
    <s v="2"/>
    <s v="0.00"/>
    <s v="BENE0450"/>
    <s v="50.00"/>
    <s v="0.00"/>
    <s v="0.00"/>
    <s v="540.00"/>
    <s v="201.00"/>
    <s v="15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0******"/>
    <s v="****"/>
    <s v="0928000888,43725795#1"/>
    <s v=""/>
    <s v="臺北市"/>
    <s v="中正區"/>
    <s v="100"/>
    <s v="賴*達"/>
    <s v="賣家宅配：大型/超重物品運送"/>
    <s v=""/>
    <s v=""/>
    <s v="信用卡"/>
    <s v="2026-04-13 23:59"/>
    <s v="新竹物流8179123595"/>
    <s v="2026-04-10 07:39"/>
    <m/>
    <s v="2026-04-21 18:30"/>
    <s v=""/>
    <m/>
    <s v="學習"/>
    <s v="蝦皮"/>
  </r>
  <r>
    <s v="260410DYMGSH0H"/>
    <x v="2"/>
    <s v=""/>
    <s v=""/>
    <s v="r******9"/>
    <x v="9"/>
    <s v="2327.00"/>
    <s v="0.00"/>
    <s v="0.00"/>
    <s v="0.00"/>
    <s v="2327.00"/>
    <s v="0.00"/>
    <s v="52"/>
    <s v="0.00"/>
    <s v="BENE0420;KAR6AEA4K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12704095#1"/>
    <s v=""/>
    <s v="桃園市"/>
    <s v="大園區"/>
    <s v="337"/>
    <s v="呂*"/>
    <s v="賣家宅配：大型/超重物品運送"/>
    <s v=""/>
    <s v=""/>
    <s v="信用卡"/>
    <s v="2026-04-13 23:59"/>
    <s v="新竹物流8179123256"/>
    <s v="2026-04-10 08:41"/>
    <m/>
    <s v="2026-04-14 23:11"/>
    <s v=""/>
    <m/>
    <s v="學習"/>
    <s v="蝦皮"/>
  </r>
  <r>
    <s v="260410E0RSDBD9"/>
    <x v="3"/>
    <s v=""/>
    <s v=""/>
    <s v="m******0"/>
    <x v="9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30 高雄市鳳山區大東二路59號"/>
    <s v="****"/>
    <s v="0928000888,44782278#1"/>
    <s v=""/>
    <s v="高雄市"/>
    <s v="鳳山區"/>
    <s v="830"/>
    <s v="陳淑華"/>
    <s v="賣家宅配：大型/超重物品運送"/>
    <s v=""/>
    <s v=""/>
    <s v="信用卡"/>
    <s v="2026-04-13 23:59"/>
    <s v="新竹物流8179123260"/>
    <s v="2026-04-10 09:00"/>
    <m/>
    <s v=""/>
    <s v=""/>
    <m/>
    <s v="學習"/>
    <s v="蝦皮"/>
  </r>
  <r>
    <s v="260410E5JYN001"/>
    <x v="2"/>
    <s v=""/>
    <s v=""/>
    <s v="t******1"/>
    <x v="9"/>
    <s v="2299.00"/>
    <s v="0.00"/>
    <s v="0.00"/>
    <s v="0.00"/>
    <s v="2299.00"/>
    <s v="0.00"/>
    <s v="0"/>
    <s v="0.00"/>
    <s v="MSV2604E"/>
    <s v="100.00"/>
    <s v="0.00"/>
    <s v="0.00"/>
    <s v="195.00"/>
    <s v="79.00"/>
    <s v="57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5******"/>
    <s v="****"/>
    <s v="0928000888,54457605#1"/>
    <s v=""/>
    <s v="苗栗縣"/>
    <s v="頭份市"/>
    <s v="351"/>
    <s v="林*瑄"/>
    <s v="賣家宅配：大型/超重物品運送"/>
    <s v=""/>
    <s v=""/>
    <s v="信用卡"/>
    <s v="2026-04-13 23:59"/>
    <s v="新竹物流8179123271"/>
    <s v="2026-04-10 10:24"/>
    <m/>
    <s v="2026-04-17 15:15"/>
    <s v=""/>
    <m/>
    <s v="學習"/>
    <s v="蝦皮"/>
  </r>
  <r>
    <s v="260410E8W2S5TA"/>
    <x v="3"/>
    <s v=""/>
    <s v=""/>
    <s v="c******3"/>
    <x v="9"/>
    <s v="599.00"/>
    <s v="0.00"/>
    <s v="0.00"/>
    <s v="0.00"/>
    <s v="599.00"/>
    <s v="0.00"/>
    <s v="0"/>
    <s v="0.00"/>
    <s v=""/>
    <s v="0.00"/>
    <s v="0.00"/>
    <s v="0.00"/>
    <s v="51.00"/>
    <s v="28.00"/>
    <s v="15.00"/>
    <s v="0"/>
    <s v="2.50%"/>
    <s v=""/>
    <x v="15"/>
    <s v="26004461505"/>
    <s v=""/>
    <s v="222957909377"/>
    <s v="26004461505_222957909377"/>
    <n v="690"/>
    <x v="8"/>
    <x v="16"/>
    <s v="20230H008"/>
    <n v="1"/>
    <s v="0"/>
    <s v="N"/>
    <s v="-"/>
    <s v="235 新北市中和區中原街122號11樓"/>
    <s v="****"/>
    <s v="0928000888,17937423#1"/>
    <s v=""/>
    <s v="新北市"/>
    <s v="中和區"/>
    <s v="235"/>
    <s v="李佩珊"/>
    <s v="賣家宅配：大型/超重物品運送"/>
    <s v=""/>
    <s v=""/>
    <s v="信用卡"/>
    <s v="2026-04-13 23:59"/>
    <s v="新竹物流8179123525"/>
    <s v="2026-04-10 11:23"/>
    <m/>
    <s v=""/>
    <s v=""/>
    <m/>
    <s v="生活周邊"/>
    <s v="蝦皮"/>
  </r>
  <r>
    <s v="260410EAHQX00E"/>
    <x v="2"/>
    <s v=""/>
    <s v=""/>
    <s v="a******1"/>
    <x v="9"/>
    <s v="2948.00"/>
    <s v="0.00"/>
    <s v="0.00"/>
    <s v="0.00"/>
    <s v="2948.00"/>
    <s v="0.00"/>
    <s v="0"/>
    <s v="0.00"/>
    <s v="BENE0450"/>
    <s v="50.00"/>
    <s v="0.00"/>
    <s v="0.00"/>
    <s v="251.00"/>
    <s v="98.00"/>
    <s v="74.00"/>
    <s v="3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0******"/>
    <s v="****"/>
    <s v="0928000888,92750595#1"/>
    <s v=""/>
    <s v="新竹縣"/>
    <s v="竹北市"/>
    <s v="302"/>
    <s v="陳*玫"/>
    <s v="賣家宅配：大型/超重物品運送"/>
    <s v=""/>
    <s v=""/>
    <s v="信用卡分期付款"/>
    <s v="2026-04-13 23:59"/>
    <s v="新竹物流8179123573"/>
    <s v="2026-04-10 11:53"/>
    <m/>
    <s v="2026-04-17 16:24"/>
    <s v=""/>
    <m/>
    <s v="學習"/>
    <s v="蝦皮"/>
  </r>
  <r>
    <s v="260410EF5DB427"/>
    <x v="3"/>
    <s v=""/>
    <s v=""/>
    <s v="c******n"/>
    <x v="9"/>
    <s v="2379.00"/>
    <s v="0.00"/>
    <s v="0.00"/>
    <s v="0.00"/>
    <s v="2379.00"/>
    <s v="0.00"/>
    <s v="0"/>
    <s v="0.00"/>
    <s v="BENE0420;KAR6AEA4K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500 彰化縣彰化市平順一街2巷19號"/>
    <s v="****"/>
    <s v="0928000888,89720669#1"/>
    <s v=""/>
    <s v="彰化縣"/>
    <s v="彰化市"/>
    <s v="500"/>
    <s v="紀惠心"/>
    <s v="賣家宅配：大型/超重物品運送"/>
    <s v=""/>
    <s v=""/>
    <s v="信用卡"/>
    <s v="2026-04-13 23:59"/>
    <s v="新竹物流8179123282"/>
    <s v="2026-04-10 13:16"/>
    <m/>
    <s v=""/>
    <s v=""/>
    <m/>
    <s v="學習"/>
    <s v="蝦皮"/>
  </r>
  <r>
    <s v="260410EM10ERSN"/>
    <x v="2"/>
    <s v=""/>
    <s v=""/>
    <s v="d****8"/>
    <x v="9"/>
    <s v="2379.00"/>
    <s v="0.00"/>
    <s v="0.00"/>
    <s v="0.00"/>
    <s v="2379.00"/>
    <s v="0.00"/>
    <s v="0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******"/>
    <s v="****"/>
    <s v="0928000888,17612375#1"/>
    <s v=""/>
    <s v="臺北市"/>
    <s v="內湖區"/>
    <s v="114"/>
    <s v="劉*浩"/>
    <s v="賣家宅配：大型/超重物品運送"/>
    <s v=""/>
    <s v=""/>
    <s v="信用卡"/>
    <s v="2026-04-13 23:59"/>
    <s v="新竹物流8179123293"/>
    <s v="2026-04-10 14:42"/>
    <m/>
    <s v="2026-04-16 14:39"/>
    <s v=""/>
    <m/>
    <s v="學習"/>
    <s v="蝦皮"/>
  </r>
  <r>
    <s v="260410EM6KS6C4"/>
    <x v="1"/>
    <s v="被買家取消，原因 : 修改訂單內容"/>
    <s v=""/>
    <s v="m******5"/>
    <x v="9"/>
    <s v="599.00"/>
    <s v="0.00"/>
    <s v="0.00"/>
    <s v="0.00"/>
    <s v="0.00"/>
    <s v="0.00"/>
    <s v="0"/>
    <s v="0.00"/>
    <s v=""/>
    <s v="0.00"/>
    <s v="0.00"/>
    <s v="0.00"/>
    <s v="0.00"/>
    <s v="0.00"/>
    <s v="0.00"/>
    <s v="0"/>
    <s v="2.50%"/>
    <s v=""/>
    <x v="15"/>
    <s v="26004461505"/>
    <s v=""/>
    <s v="222957909377"/>
    <s v="26004461505_222957909377"/>
    <n v="690"/>
    <x v="8"/>
    <x v="16"/>
    <s v="20230H008"/>
    <n v="1"/>
    <s v="0"/>
    <s v="N"/>
    <s v="-"/>
    <s v="30******"/>
    <s v="****"/>
    <s v=""/>
    <s v=""/>
    <s v="新竹縣"/>
    <s v="湖口鄉"/>
    <s v="303"/>
    <s v="薛*中"/>
    <s v="賣家宅配：大型/超重物品運送"/>
    <s v=""/>
    <s v=""/>
    <s v="信用卡"/>
    <s v="2026-04-13 23:59"/>
    <s v=""/>
    <s v="2026-04-10 14:48"/>
    <m/>
    <s v=""/>
    <s v=""/>
    <m/>
    <s v="生活周邊"/>
    <s v="蝦皮"/>
  </r>
  <r>
    <s v="260410EMQASAX5"/>
    <x v="2"/>
    <s v=""/>
    <s v=""/>
    <s v="j*****8"/>
    <x v="9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41298234#1"/>
    <s v=""/>
    <s v="新北市"/>
    <s v="蘆洲區"/>
    <s v="247"/>
    <s v="張*貞"/>
    <s v="賣家宅配：大型/超重物品運送"/>
    <s v=""/>
    <s v=""/>
    <s v="信用卡"/>
    <s v="2026-04-13 23:59"/>
    <s v="新竹物流8179123304"/>
    <s v="2026-04-10 14:56"/>
    <m/>
    <s v="2026-05-03 19:28"/>
    <s v=""/>
    <m/>
    <s v="學習"/>
    <s v="蝦皮"/>
  </r>
  <r>
    <s v="260410ESMK9RVJ"/>
    <x v="2"/>
    <s v=""/>
    <s v=""/>
    <s v="j*****3"/>
    <x v="9"/>
    <s v="398.00"/>
    <s v="100.00"/>
    <s v="0.00"/>
    <s v="0.00"/>
    <s v="498.00"/>
    <s v="0.00"/>
    <s v="0"/>
    <s v="0.00"/>
    <s v=""/>
    <s v="0.00"/>
    <s v="0.00"/>
    <s v="0.00"/>
    <s v="18.00"/>
    <s v="22.00"/>
    <s v="12.00"/>
    <s v="0"/>
    <s v="2.50%"/>
    <s v=""/>
    <x v="35"/>
    <s v="29404284709"/>
    <s v=""/>
    <s v="158690870458"/>
    <s v="29404284709_158690870458"/>
    <n v="299"/>
    <x v="10"/>
    <x v="48"/>
    <s v="20230H003"/>
    <n v="2"/>
    <s v="0"/>
    <s v="N"/>
    <s v="-"/>
    <s v="11******"/>
    <s v="****"/>
    <s v="0928000888,06249659#1"/>
    <s v=""/>
    <s v="臺北市"/>
    <s v="內湖區"/>
    <s v="114"/>
    <s v="林*朕"/>
    <s v="賣家宅配：大型/超重物品運送"/>
    <s v=""/>
    <s v=""/>
    <s v="信用卡"/>
    <s v="2026-04-13 23:59"/>
    <s v="新竹物流8179123503"/>
    <s v="2026-04-10 16:23"/>
    <m/>
    <s v="2026-04-16 12:59"/>
    <s v=""/>
    <m/>
    <s v="生活周邊"/>
    <s v="蝦皮"/>
  </r>
  <r>
    <s v="260410FHTDECXV"/>
    <x v="2"/>
    <s v=""/>
    <s v=""/>
    <s v="b******2"/>
    <x v="9"/>
    <s v="4698.00"/>
    <s v="0.00"/>
    <s v="0.00"/>
    <s v="0.00"/>
    <s v="4698.00"/>
    <s v="0.00"/>
    <s v="0"/>
    <s v="0.00"/>
    <s v="BENE0450;TKBVIP2604C"/>
    <s v="50.00"/>
    <s v="0.00"/>
    <s v="250.00"/>
    <s v="421.00"/>
    <s v="158.00"/>
    <s v="124.00"/>
    <s v="3"/>
    <s v="2.50%"/>
    <s v=""/>
    <x v="16"/>
    <s v="29710271443"/>
    <s v="(加購)專心吃飯立體書套組"/>
    <s v="301830926959"/>
    <s v="29710271443_301830926959"/>
    <n v="6199"/>
    <x v="16"/>
    <x v="18"/>
    <s v="20250FXAJ"/>
    <n v="1"/>
    <s v="0"/>
    <s v="N"/>
    <s v="-"/>
    <s v="81******"/>
    <s v="****"/>
    <s v="0928000888,53237462#1"/>
    <s v=""/>
    <s v="高雄市"/>
    <s v="仁武區"/>
    <s v="814"/>
    <s v="黃*伶"/>
    <s v="賣家宅配：大型/超重物品運送"/>
    <s v=""/>
    <s v=""/>
    <s v="信用卡分期付款"/>
    <s v="2026-04-13 23:59"/>
    <s v="新竹物流8179123514"/>
    <s v="2026-04-10 23:36"/>
    <m/>
    <s v="2026-04-22 22:50"/>
    <s v=""/>
    <m/>
    <s v="學習"/>
    <s v="蝦皮"/>
  </r>
  <r>
    <s v="260411FNV8NBC9"/>
    <x v="2"/>
    <s v=""/>
    <s v=""/>
    <s v="d******p"/>
    <x v="10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8******"/>
    <s v="****"/>
    <s v="0928000888,72558960#1"/>
    <s v=""/>
    <s v="澎湖縣"/>
    <s v="馬公市"/>
    <s v="880"/>
    <s v="黃*慈"/>
    <s v="賣家宅配：大型/超重物品運送"/>
    <s v=""/>
    <s v=""/>
    <s v="信用卡"/>
    <s v="2026-04-13 23:59"/>
    <s v="新竹物流8179123315"/>
    <s v="2026-04-11 00:48"/>
    <m/>
    <s v="2026-04-15 22:41"/>
    <s v=""/>
    <m/>
    <s v="學習"/>
    <s v="蝦皮"/>
  </r>
  <r>
    <s v="260411H06UYSWJ"/>
    <x v="3"/>
    <s v=""/>
    <s v=""/>
    <s v="a******4"/>
    <x v="10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1 新北市新店區安泰路30號5樓"/>
    <s v="****"/>
    <s v="0928000888,96102101#1"/>
    <s v=""/>
    <s v="新北市"/>
    <s v="新店區"/>
    <s v="231"/>
    <s v="劉安瑜"/>
    <s v="賣家宅配：大型/超重物品運送"/>
    <s v=""/>
    <s v=""/>
    <s v="信用卡"/>
    <s v="2026-04-13 23:59"/>
    <s v="新竹物流8179123326"/>
    <s v="2026-04-11 13:26"/>
    <m/>
    <s v=""/>
    <s v=""/>
    <m/>
    <s v="學習"/>
    <s v="蝦皮"/>
  </r>
  <r>
    <s v="260411HDFJT60N"/>
    <x v="2"/>
    <s v=""/>
    <s v=""/>
    <s v="a******g"/>
    <x v="10"/>
    <s v="4147.00"/>
    <s v="0.00"/>
    <s v="0.00"/>
    <s v="0.00"/>
    <s v="4147.00"/>
    <s v="0.00"/>
    <s v="0"/>
    <s v="0.00"/>
    <s v="BENE0450;KPDDU5PSP"/>
    <s v="50.00"/>
    <s v="0.00"/>
    <s v="0.00"/>
    <s v="352.00"/>
    <s v="134.00"/>
    <s v="104.00"/>
    <s v="0"/>
    <s v="2.50%"/>
    <s v=""/>
    <x v="36"/>
    <s v="27330771502"/>
    <s v="點點火箭車+動物園底圖"/>
    <s v="257983828359"/>
    <s v="27330771502_257983828359"/>
    <n v="1450"/>
    <x v="37"/>
    <x v="49"/>
    <s v="20252CXAC"/>
    <n v="1"/>
    <s v="0"/>
    <s v="N"/>
    <s v="-"/>
    <s v="80******"/>
    <s v="****"/>
    <s v="0928000888,14563121#1"/>
    <s v=""/>
    <s v="高雄市"/>
    <s v="鼓山區"/>
    <s v="804"/>
    <s v="梁*嵐"/>
    <s v="賣家宅配：大型/超重物品運送"/>
    <s v=""/>
    <s v=""/>
    <s v="信用卡"/>
    <s v="2026-04-13 23:59"/>
    <s v="新竹物流8179123584"/>
    <s v="2026-04-11 17:23"/>
    <m/>
    <s v="2026-04-16 11:44"/>
    <s v=""/>
    <m/>
    <s v="學習周邊"/>
    <s v="蝦皮"/>
  </r>
  <r>
    <s v="260411HDFJT60N"/>
    <x v="2"/>
    <s v=""/>
    <s v=""/>
    <s v="a******g"/>
    <x v="10"/>
    <s v="4147.00"/>
    <s v="0.00"/>
    <s v="0.00"/>
    <s v="0.00"/>
    <s v="4147.00"/>
    <s v="0.00"/>
    <s v="0"/>
    <s v="0.00"/>
    <s v="BENE0450;KPDDU5PSP"/>
    <s v="50.00"/>
    <s v="0.00"/>
    <s v="0.00"/>
    <s v="352.00"/>
    <s v="134.00"/>
    <s v="10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0******"/>
    <s v="****"/>
    <s v="0928000888,14563121#1"/>
    <s v=""/>
    <s v="高雄市"/>
    <s v="鼓山區"/>
    <s v="804"/>
    <s v="梁*嵐"/>
    <s v="賣家宅配：大型/超重物品運送"/>
    <s v=""/>
    <s v=""/>
    <s v="信用卡"/>
    <s v="2026-04-13 23:59"/>
    <s v="新竹物流8179123584"/>
    <s v="2026-04-11 17:23"/>
    <m/>
    <s v="2026-04-16 11:44"/>
    <s v=""/>
    <m/>
    <s v="學習"/>
    <s v="蝦皮"/>
  </r>
  <r>
    <s v="260411HHCNBFTM"/>
    <x v="2"/>
    <s v=""/>
    <s v=""/>
    <s v="i******8"/>
    <x v="10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84630038#1"/>
    <s v=""/>
    <s v="臺中市"/>
    <s v="南屯區"/>
    <s v="408"/>
    <s v="邱*棋"/>
    <s v="賣家宅配：大型/超重物品運送"/>
    <s v=""/>
    <s v=""/>
    <s v="信用卡"/>
    <s v="2026-04-13 23:59"/>
    <s v="新竹物流8179123330"/>
    <s v="2026-04-11 18:33"/>
    <m/>
    <s v="2026-04-14 20:34"/>
    <s v=""/>
    <m/>
    <s v="學習"/>
    <s v="蝦皮"/>
  </r>
  <r>
    <s v="260411HS9BK44G"/>
    <x v="2"/>
    <s v=""/>
    <s v=""/>
    <s v="f******3"/>
    <x v="10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33******"/>
    <s v="****"/>
    <s v="0928000888,10635581#1"/>
    <s v=""/>
    <s v="桃園市"/>
    <s v="蘆竹區"/>
    <s v="338"/>
    <s v="徐*志"/>
    <s v="賣家宅配：大型/超重物品運送"/>
    <s v=""/>
    <s v=""/>
    <s v="信用卡"/>
    <s v="2026-04-13 23:59"/>
    <s v="新竹物流8179123562"/>
    <s v="2026-04-11 20:55"/>
    <m/>
    <s v="2026-04-24 15:08"/>
    <s v=""/>
    <m/>
    <s v="學習周邊"/>
    <s v="蝦皮"/>
  </r>
  <r>
    <s v="260411HS9BK44G"/>
    <x v="2"/>
    <s v=""/>
    <s v=""/>
    <s v="f******3"/>
    <x v="10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33******"/>
    <s v="****"/>
    <s v="0928000888,10635581#1"/>
    <s v=""/>
    <s v="桃園市"/>
    <s v="蘆竹區"/>
    <s v="338"/>
    <s v="徐*志"/>
    <s v="賣家宅配：大型/超重物品運送"/>
    <s v=""/>
    <s v=""/>
    <s v="信用卡"/>
    <s v="2026-04-13 23:59"/>
    <s v="新竹物流8179123562"/>
    <s v="2026-04-11 20:55"/>
    <m/>
    <s v="2026-04-24 15:08"/>
    <s v=""/>
    <m/>
    <s v="學習周邊"/>
    <s v="蝦皮"/>
  </r>
  <r>
    <s v="260411HX47T3PV"/>
    <x v="1"/>
    <s v="被買家取消，原因 : 改變心意(例如:不想買了,發現更便宜的價格....)"/>
    <s v=""/>
    <s v="p*****a"/>
    <x v="10"/>
    <s v="2254.00"/>
    <s v="0.00"/>
    <s v="0.00"/>
    <s v="0.00"/>
    <s v="0.00"/>
    <s v="0.00"/>
    <s v="125"/>
    <s v="0.00"/>
    <s v="BENE0420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"/>
    <s v=""/>
    <s v="新竹市"/>
    <s v="東區"/>
    <s v="300"/>
    <s v="王*彥"/>
    <s v="賣家宅配：大型/超重物品運送"/>
    <s v=""/>
    <s v=""/>
    <s v="信用卡"/>
    <s v="2026-04-13 23:59"/>
    <s v=""/>
    <s v="2026-04-11 22:21"/>
    <m/>
    <s v=""/>
    <s v=""/>
    <m/>
    <s v="學習"/>
    <s v="蝦皮"/>
  </r>
  <r>
    <s v="260411HXQFWCS8"/>
    <x v="2"/>
    <s v=""/>
    <s v=""/>
    <s v="p*****a"/>
    <x v="10"/>
    <s v="2254.00"/>
    <s v="0.00"/>
    <s v="0.00"/>
    <s v="0.00"/>
    <s v="2254.00"/>
    <s v="0.00"/>
    <s v="125"/>
    <s v="0.00"/>
    <s v="BENE0420;TR95H33SP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62307598#1"/>
    <s v=""/>
    <s v="新竹市"/>
    <s v="東區"/>
    <s v="300"/>
    <s v="王*彥"/>
    <s v="賣家宅配：大型/超重物品運送"/>
    <s v=""/>
    <s v=""/>
    <s v="信用卡"/>
    <s v="2026-04-13 23:59"/>
    <s v="新竹物流8179123341"/>
    <s v="2026-04-11 22:32"/>
    <m/>
    <s v="2026-04-14 22:34"/>
    <s v=""/>
    <m/>
    <s v="學習"/>
    <s v="蝦皮"/>
  </r>
  <r>
    <s v="260411J2EMPM9C"/>
    <x v="2"/>
    <s v=""/>
    <s v=""/>
    <s v="m******8"/>
    <x v="10"/>
    <s v="450.00"/>
    <s v="100.00"/>
    <s v="0.00"/>
    <s v="0.00"/>
    <s v="550.00"/>
    <s v="0.00"/>
    <s v="0"/>
    <s v="0.00"/>
    <s v=""/>
    <s v="0.00"/>
    <s v="0.00"/>
    <s v="0.00"/>
    <s v="38.00"/>
    <s v="24.00"/>
    <s v="14.00"/>
    <s v="0"/>
    <s v="2.50%"/>
    <s v=""/>
    <x v="26"/>
    <s v="27555825378"/>
    <s v=""/>
    <s v="233018555454"/>
    <s v="27555825378_233018555454"/>
    <n v="300"/>
    <x v="22"/>
    <x v="32"/>
    <s v="2023FC809"/>
    <n v="1"/>
    <s v="0"/>
    <s v="Y"/>
    <s v="3 件 4折"/>
    <s v="40******"/>
    <s v="****"/>
    <s v="0928000888,17924976#1"/>
    <s v=""/>
    <s v="臺中市"/>
    <s v="北屯區"/>
    <s v="406"/>
    <s v="劉*伶"/>
    <s v="賣家宅配：大型/超重物品運送"/>
    <s v=""/>
    <s v=""/>
    <s v="信用卡"/>
    <s v="2026-04-13 23:59"/>
    <s v="新竹物流8179123610"/>
    <s v="2026-04-11 23:39"/>
    <m/>
    <s v="2026-04-15 19:49"/>
    <s v=""/>
    <m/>
    <s v="學習周邊"/>
    <s v="蝦皮"/>
  </r>
  <r>
    <s v="260411J2EMPM9C"/>
    <x v="2"/>
    <s v=""/>
    <s v=""/>
    <s v="m******8"/>
    <x v="10"/>
    <s v="450.00"/>
    <s v="100.00"/>
    <s v="0.00"/>
    <s v="0.00"/>
    <s v="550.00"/>
    <s v="0.00"/>
    <s v="0"/>
    <s v="0.00"/>
    <s v=""/>
    <s v="0.00"/>
    <s v="0.00"/>
    <s v="0.00"/>
    <s v="38.00"/>
    <s v="24.00"/>
    <s v="14.00"/>
    <s v="0"/>
    <s v="2.50%"/>
    <s v=""/>
    <x v="29"/>
    <s v="44002561214"/>
    <s v="幽默創意寶典"/>
    <s v="300210452439"/>
    <s v="44002561214_300210452439"/>
    <n v="299"/>
    <x v="22"/>
    <x v="41"/>
    <s v="2021FCV02"/>
    <n v="1"/>
    <s v="0"/>
    <s v="Y"/>
    <s v="3 件 4折"/>
    <s v="40******"/>
    <s v="****"/>
    <s v="0928000888,17924976#1"/>
    <s v=""/>
    <s v="臺中市"/>
    <s v="北屯區"/>
    <s v="406"/>
    <s v="劉*伶"/>
    <s v="賣家宅配：大型/超重物品運送"/>
    <s v=""/>
    <s v=""/>
    <s v="信用卡"/>
    <s v="2026-04-13 23:59"/>
    <s v="新竹物流8179123610"/>
    <s v="2026-04-11 23:39"/>
    <m/>
    <s v="2026-04-15 19:49"/>
    <s v=""/>
    <m/>
    <s v="學習周邊"/>
    <s v="蝦皮"/>
  </r>
  <r>
    <s v="260411J2EMPM9C"/>
    <x v="2"/>
    <s v=""/>
    <s v=""/>
    <s v="m******8"/>
    <x v="10"/>
    <s v="450.00"/>
    <s v="100.00"/>
    <s v="0.00"/>
    <s v="0.00"/>
    <s v="550.00"/>
    <s v="0.00"/>
    <s v="0"/>
    <s v="0.00"/>
    <s v=""/>
    <s v="0.00"/>
    <s v="0.00"/>
    <s v="0.00"/>
    <s v="38.00"/>
    <s v="24.00"/>
    <s v="14.00"/>
    <s v="0"/>
    <s v="2.50%"/>
    <s v=""/>
    <x v="29"/>
    <s v="44002561214"/>
    <s v="小故事大發明"/>
    <s v="300210452440"/>
    <s v="44002561214_300210452440"/>
    <n v="299"/>
    <x v="22"/>
    <x v="39"/>
    <s v="2022FCV11"/>
    <n v="1"/>
    <s v="0"/>
    <s v="Y"/>
    <s v="3 件 4折"/>
    <s v="40******"/>
    <s v="****"/>
    <s v="0928000888,17924976#1"/>
    <s v=""/>
    <s v="臺中市"/>
    <s v="北屯區"/>
    <s v="406"/>
    <s v="劉*伶"/>
    <s v="賣家宅配：大型/超重物品運送"/>
    <s v=""/>
    <s v=""/>
    <s v="信用卡"/>
    <s v="2026-04-13 23:59"/>
    <s v="新竹物流8179123610"/>
    <s v="2026-04-11 23:39"/>
    <m/>
    <s v="2026-04-15 19:49"/>
    <s v=""/>
    <m/>
    <s v="學習周邊"/>
    <s v="蝦皮"/>
  </r>
  <r>
    <s v="260411J2EMPM9C"/>
    <x v="2"/>
    <s v=""/>
    <s v=""/>
    <s v="m******8"/>
    <x v="10"/>
    <s v="450.00"/>
    <s v="100.00"/>
    <s v="0.00"/>
    <s v="0.00"/>
    <s v="550.00"/>
    <s v="0.00"/>
    <s v="0"/>
    <s v="0.00"/>
    <s v=""/>
    <s v="0.00"/>
    <s v="0.00"/>
    <s v="0.00"/>
    <s v="38.00"/>
    <s v="24.00"/>
    <s v="14.00"/>
    <s v="0"/>
    <s v="2.50%"/>
    <s v=""/>
    <x v="29"/>
    <s v="44002561214"/>
    <s v="笑談歇後語"/>
    <s v="325474847037"/>
    <s v="44002561214_325474847037"/>
    <n v="299"/>
    <x v="22"/>
    <x v="46"/>
    <s v="2020FC803"/>
    <n v="1"/>
    <s v="0"/>
    <s v="Y"/>
    <s v="3 件 4折"/>
    <s v="40******"/>
    <s v="****"/>
    <s v="0928000888,17924976#1"/>
    <s v=""/>
    <s v="臺中市"/>
    <s v="北屯區"/>
    <s v="406"/>
    <s v="劉*伶"/>
    <s v="賣家宅配：大型/超重物品運送"/>
    <s v=""/>
    <s v=""/>
    <s v="信用卡"/>
    <s v="2026-04-13 23:59"/>
    <s v="新竹物流8179123610"/>
    <s v="2026-04-11 23:39"/>
    <m/>
    <s v="2026-04-15 19:49"/>
    <s v=""/>
    <m/>
    <s v="學習周邊"/>
    <s v="蝦皮"/>
  </r>
  <r>
    <s v="260411J2EMPM9C"/>
    <x v="2"/>
    <s v=""/>
    <s v=""/>
    <s v="m******8"/>
    <x v="10"/>
    <s v="450.00"/>
    <s v="100.00"/>
    <s v="0.00"/>
    <s v="0.00"/>
    <s v="550.00"/>
    <s v="0.00"/>
    <s v="0"/>
    <s v="0.00"/>
    <s v=""/>
    <s v="0.00"/>
    <s v="0.00"/>
    <s v="0.00"/>
    <s v="38.00"/>
    <s v="24.00"/>
    <s v="14.00"/>
    <s v="0"/>
    <s v="2.50%"/>
    <s v=""/>
    <x v="29"/>
    <s v="44002561214"/>
    <s v="知識大哉問"/>
    <s v="325474847038"/>
    <s v="44002561214_325474847038"/>
    <n v="299"/>
    <x v="22"/>
    <x v="40"/>
    <s v="2020FC801"/>
    <n v="1"/>
    <s v="0"/>
    <s v="Y"/>
    <s v="3 件 4折"/>
    <s v="40******"/>
    <s v="****"/>
    <s v="0928000888,17924976#1"/>
    <s v=""/>
    <s v="臺中市"/>
    <s v="北屯區"/>
    <s v="406"/>
    <s v="劉*伶"/>
    <s v="賣家宅配：大型/超重物品運送"/>
    <s v=""/>
    <s v=""/>
    <s v="信用卡"/>
    <s v="2026-04-13 23:59"/>
    <s v="新竹物流8179123610"/>
    <s v="2026-04-11 23:39"/>
    <m/>
    <s v="2026-04-15 19:49"/>
    <s v=""/>
    <m/>
    <s v="學習周邊"/>
    <s v="蝦皮"/>
  </r>
  <r>
    <s v="260412J4FX5E71"/>
    <x v="3"/>
    <s v=""/>
    <s v=""/>
    <s v="h******2"/>
    <x v="11"/>
    <s v="979.00"/>
    <s v="0.00"/>
    <s v="0.00"/>
    <s v="0.00"/>
    <s v="979.00"/>
    <s v="0.00"/>
    <s v="0"/>
    <s v="0.00"/>
    <s v="BENE0420;KPDDU5PSP"/>
    <s v="20.00"/>
    <s v="0.00"/>
    <s v="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708 臺南市安平區台南市安平區健康二街52號"/>
    <s v="****"/>
    <s v="0928000888,88138423#1"/>
    <s v=""/>
    <s v="臺南市"/>
    <s v="安平區"/>
    <s v="708"/>
    <s v="趙烜"/>
    <s v="賣家宅配：大型/超重物品運送"/>
    <s v=""/>
    <s v=""/>
    <s v="信用卡"/>
    <s v="2026-04-13 23:59"/>
    <s v="新竹物流8179123551"/>
    <s v="2026-04-12 00:15"/>
    <m/>
    <s v=""/>
    <s v=""/>
    <m/>
    <s v="學習周邊"/>
    <s v="蝦皮"/>
  </r>
  <r>
    <s v="260412JXT61DG1"/>
    <x v="2"/>
    <s v=""/>
    <s v=""/>
    <s v="c******i"/>
    <x v="11"/>
    <s v="6149.00"/>
    <s v="0.00"/>
    <s v="0.00"/>
    <s v="0.00"/>
    <s v="6149.00"/>
    <s v="0.00"/>
    <s v="0"/>
    <s v="0.00"/>
    <s v="BENE0450;KPDDU5PSP"/>
    <s v="50.00"/>
    <s v="0.00"/>
    <s v="0.00"/>
    <s v="523.00"/>
    <s v="194.00"/>
    <s v="15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2******"/>
    <s v="****"/>
    <s v="0928000888,19940507#1"/>
    <s v=""/>
    <s v="高雄市"/>
    <s v="橋頭區"/>
    <s v="825"/>
    <s v="李*璇"/>
    <s v="賣家宅配：大型/超重物品運送"/>
    <s v=""/>
    <s v=""/>
    <s v="信用卡"/>
    <s v="2026-04-13 23:59"/>
    <s v="新竹物流8179123606"/>
    <s v="2026-04-12 08:07"/>
    <m/>
    <s v="2026-04-16 01:27"/>
    <s v=""/>
    <m/>
    <s v="學習"/>
    <s v="蝦皮"/>
  </r>
  <r>
    <s v="260412JXT61DG1"/>
    <x v="2"/>
    <s v=""/>
    <s v=""/>
    <s v="c******i"/>
    <x v="11"/>
    <s v="6149.00"/>
    <s v="0.00"/>
    <s v="0.00"/>
    <s v="0.00"/>
    <s v="6149.00"/>
    <s v="0.00"/>
    <s v="0"/>
    <s v="0.00"/>
    <s v="BENE0450;KPDDU5PSP"/>
    <s v="50.00"/>
    <s v="0.00"/>
    <s v="0.00"/>
    <s v="523.00"/>
    <s v="194.00"/>
    <s v="154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82******"/>
    <s v="****"/>
    <s v="0928000888,19940507#1"/>
    <s v=""/>
    <s v="高雄市"/>
    <s v="橋頭區"/>
    <s v="825"/>
    <s v="李*璇"/>
    <s v="賣家宅配：大型/超重物品運送"/>
    <s v=""/>
    <s v=""/>
    <s v="信用卡"/>
    <s v="2026-04-13 23:59"/>
    <s v="新竹物流8179123606"/>
    <s v="2026-04-12 08:07"/>
    <m/>
    <s v="2026-04-16 01:27"/>
    <s v=""/>
    <m/>
    <s v="學習"/>
    <s v="蝦皮"/>
  </r>
  <r>
    <s v="260412JYEHA57P"/>
    <x v="3"/>
    <s v=""/>
    <s v=""/>
    <s v="c******1"/>
    <x v="11"/>
    <s v="5034.00"/>
    <s v="0.00"/>
    <s v="0.00"/>
    <s v="0.00"/>
    <s v="5034.00"/>
    <s v="0.00"/>
    <s v="0"/>
    <s v="0.00"/>
    <s v="MSV2604E;RV3JRF7G7"/>
    <s v="100.00"/>
    <s v="0.00"/>
    <s v="265.00"/>
    <s v="450.00"/>
    <s v="169.00"/>
    <s v="132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407 臺中市西屯區寶慶街9號17樓之一"/>
    <s v="****"/>
    <s v="0928000888,16876172#1"/>
    <s v=""/>
    <s v="臺中市"/>
    <s v="西屯區"/>
    <s v="407"/>
    <s v="徐竹君"/>
    <s v="賣家宅配：大型/超重物品運送"/>
    <s v=""/>
    <s v=""/>
    <s v="信用卡"/>
    <s v="2026-04-13 23:59"/>
    <s v="新竹物流8179123470"/>
    <s v="2026-04-12 08:18"/>
    <m/>
    <s v=""/>
    <s v=""/>
    <m/>
    <s v="學習"/>
    <s v="蝦皮"/>
  </r>
  <r>
    <s v="260412JYEHA57P"/>
    <x v="3"/>
    <s v=""/>
    <s v=""/>
    <s v="c******1"/>
    <x v="11"/>
    <s v="5034.00"/>
    <s v="0.00"/>
    <s v="0.00"/>
    <s v="0.00"/>
    <s v="5034.00"/>
    <s v="0.00"/>
    <s v="0"/>
    <s v="0.00"/>
    <s v="MSV2604E;RV3JRF7G7"/>
    <s v="100.00"/>
    <s v="0.00"/>
    <s v="265.00"/>
    <s v="450.00"/>
    <s v="169.00"/>
    <s v="132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407 臺中市西屯區寶慶街9號17樓之一"/>
    <s v="****"/>
    <s v="0928000888,16876172#1"/>
    <s v=""/>
    <s v="臺中市"/>
    <s v="西屯區"/>
    <s v="407"/>
    <s v="徐竹君"/>
    <s v="賣家宅配：大型/超重物品運送"/>
    <s v=""/>
    <s v=""/>
    <s v="信用卡"/>
    <s v="2026-04-13 23:59"/>
    <s v="新竹物流8179123470"/>
    <s v="2026-04-12 08:18"/>
    <m/>
    <s v=""/>
    <s v=""/>
    <m/>
    <s v="學習"/>
    <s v="蝦皮"/>
  </r>
  <r>
    <s v="260412K3ETVG19"/>
    <x v="2"/>
    <s v=""/>
    <s v=""/>
    <s v="j******6"/>
    <x v="11"/>
    <s v="4530.00"/>
    <s v="0.00"/>
    <s v="0.00"/>
    <s v="0.00"/>
    <s v="4530.00"/>
    <s v="0.00"/>
    <s v="29"/>
    <s v="0.00"/>
    <s v="BENE0450;FKB53T5XG"/>
    <s v="50.00"/>
    <s v="0.00"/>
    <s v="291.00"/>
    <s v="412.00"/>
    <s v="156.00"/>
    <s v="12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32******"/>
    <s v="****"/>
    <s v="0928000888,77865370#1"/>
    <s v=""/>
    <s v="桃園市"/>
    <s v="中壢區"/>
    <s v="320"/>
    <s v="林*賢"/>
    <s v="賣家宅配：大型/超重物品運送"/>
    <s v=""/>
    <s v=""/>
    <s v="信用卡"/>
    <s v="2026-04-13 23:59"/>
    <s v="新竹物流8179123492"/>
    <s v="2026-04-12 09:29"/>
    <m/>
    <s v="2026-04-15 07:59"/>
    <s v=""/>
    <m/>
    <s v="學習"/>
    <s v="蝦皮"/>
  </r>
  <r>
    <s v="260412K95C4TVH"/>
    <x v="2"/>
    <s v=""/>
    <s v=""/>
    <s v="j******j"/>
    <x v="11"/>
    <s v="2260.00"/>
    <s v="0.00"/>
    <s v="0.00"/>
    <s v="0.00"/>
    <s v="2260.00"/>
    <s v="0.00"/>
    <s v="0"/>
    <s v="0.00"/>
    <s v="BENE0420;RV3JRF7G7"/>
    <s v="20.00"/>
    <s v="0.00"/>
    <s v="119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61******"/>
    <s v="****"/>
    <s v="0928000888,75649230#1"/>
    <s v=""/>
    <s v="嘉義縣"/>
    <s v="朴子市"/>
    <s v="613"/>
    <s v="殷*翔"/>
    <s v="賣家宅配：大型/超重物品運送"/>
    <s v=""/>
    <s v=""/>
    <s v="信用卡"/>
    <s v="2026-04-13 23:59"/>
    <s v="新竹物流8179123352"/>
    <s v="2026-04-12 11:11"/>
    <m/>
    <s v="2026-04-29 18:56"/>
    <s v=""/>
    <m/>
    <s v="學習"/>
    <s v="蝦皮"/>
  </r>
  <r>
    <s v="260412KAFPBMFG"/>
    <x v="2"/>
    <s v=""/>
    <s v=""/>
    <s v="k****a"/>
    <x v="11"/>
    <s v="3150.00"/>
    <s v="0.00"/>
    <s v="0.00"/>
    <s v="0.00"/>
    <s v="3150.00"/>
    <s v="0.00"/>
    <s v="0"/>
    <s v="0.00"/>
    <s v="BENE0450;KAR6AEA4K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3******"/>
    <s v="****"/>
    <s v="0928000888,19822760#1"/>
    <s v=""/>
    <s v="新北市"/>
    <s v="土城區"/>
    <s v="236"/>
    <s v="譚*薰"/>
    <s v="賣家宅配：大型/超重物品運送"/>
    <s v=""/>
    <s v=""/>
    <s v="信用卡"/>
    <s v="2026-04-13 23:59"/>
    <s v="新竹物流8179123455"/>
    <s v="2026-04-12 11:35"/>
    <m/>
    <s v="2026-04-16 14:47"/>
    <s v=""/>
    <m/>
    <s v="學習"/>
    <s v="蝦皮"/>
  </r>
  <r>
    <s v="260412KAR73EXS"/>
    <x v="2"/>
    <s v=""/>
    <s v=""/>
    <s v="m******8"/>
    <x v="11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32"/>
    <s v="26194465237"/>
    <s v="單購"/>
    <s v="430692463113"/>
    <s v="26194465237_430692463113"/>
    <n v="3000"/>
    <x v="0"/>
    <x v="0"/>
    <s v="20250FE00"/>
    <n v="1"/>
    <s v="0"/>
    <s v="N"/>
    <s v="-"/>
    <s v="10******"/>
    <s v="****"/>
    <s v="0928000888,93643352#1"/>
    <s v=""/>
    <s v="臺北市"/>
    <s v="大安區"/>
    <s v="106"/>
    <s v="李*生"/>
    <s v="賣家宅配：大型/超重物品運送"/>
    <s v=""/>
    <s v=""/>
    <s v="信用卡"/>
    <s v="2026-04-13 23:59"/>
    <s v="新竹物流8179123363"/>
    <s v="2026-04-12 11:40"/>
    <m/>
    <s v="2026-04-30 18:42"/>
    <s v=""/>
    <m/>
    <s v="學習"/>
    <s v="蝦皮"/>
  </r>
  <r>
    <s v="260412KCGQAHRK"/>
    <x v="2"/>
    <s v=""/>
    <s v=""/>
    <s v="w******0"/>
    <x v="11"/>
    <s v="847.00"/>
    <s v="0.00"/>
    <s v="0.00"/>
    <s v="0.00"/>
    <s v="847.00"/>
    <s v="0.00"/>
    <s v="0"/>
    <s v="0.00"/>
    <s v="MUM2604E"/>
    <s v="0.00"/>
    <s v="0.00"/>
    <s v="50.00"/>
    <s v="76.00"/>
    <s v="37.00"/>
    <s v="22.00"/>
    <s v="0"/>
    <s v="2.50%"/>
    <s v=""/>
    <x v="7"/>
    <s v="28157944827"/>
    <s v="無繪本"/>
    <s v="276894603061"/>
    <s v="28157944827_276894603061"/>
    <n v="399"/>
    <x v="6"/>
    <x v="6"/>
    <s v="20250FXAM"/>
    <n v="3"/>
    <s v="0"/>
    <s v="N"/>
    <s v="-"/>
    <s v="74******"/>
    <s v="****"/>
    <s v="0928000888,47691605#1"/>
    <s v=""/>
    <s v="臺南市"/>
    <s v="安定區"/>
    <s v="745"/>
    <s v="王*蓁"/>
    <s v="賣家宅配：大型/超重物品運送"/>
    <s v=""/>
    <s v=""/>
    <s v="信用卡"/>
    <s v="2026-04-13 23:59"/>
    <s v="新竹物流8179123411"/>
    <s v="2026-04-12 12:12"/>
    <m/>
    <s v="2026-04-24 09:41"/>
    <s v=""/>
    <m/>
    <s v="學習周邊"/>
    <s v="蝦皮"/>
  </r>
  <r>
    <s v="260412KRH01402"/>
    <x v="2"/>
    <s v=""/>
    <s v=""/>
    <s v="s******8"/>
    <x v="11"/>
    <s v="2070.00"/>
    <s v="0.00"/>
    <s v="0.00"/>
    <s v="0.00"/>
    <s v="2070.00"/>
    <s v="0.00"/>
    <s v="0"/>
    <s v="0.00"/>
    <s v="BENE0420;RV3JRF7G7"/>
    <s v="20.00"/>
    <s v="0.00"/>
    <s v="109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10******"/>
    <s v="****"/>
    <s v="0928000888,66622132#1"/>
    <s v=""/>
    <s v="臺北市"/>
    <s v="中山區"/>
    <s v="104"/>
    <s v="張*華"/>
    <s v="賣家宅配：大型/超重物品運送"/>
    <s v=""/>
    <s v=""/>
    <s v="信用卡"/>
    <s v="2026-04-13 23:59"/>
    <s v="新竹物流8179123433"/>
    <s v="2026-04-12 15:47"/>
    <m/>
    <s v="2026-04-17 21:51"/>
    <s v=""/>
    <m/>
    <s v="學習"/>
    <s v="蝦皮"/>
  </r>
  <r>
    <s v="260412M030QRRP"/>
    <x v="2"/>
    <s v=""/>
    <s v=""/>
    <s v="l******k"/>
    <x v="11"/>
    <s v="2200.00"/>
    <s v="0.00"/>
    <s v="0.00"/>
    <s v="0.00"/>
    <s v="2200.00"/>
    <s v="0.00"/>
    <s v="31"/>
    <s v="0.00"/>
    <s v="MUM2604E;DZAF9CCMW"/>
    <s v="0.00"/>
    <s v="0.00"/>
    <s v="168.00"/>
    <s v="204.00"/>
    <s v="82.00"/>
    <s v="6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2******"/>
    <s v="****"/>
    <s v="0928000888,78586160#1"/>
    <s v=""/>
    <s v="臺中市"/>
    <s v="潭子區"/>
    <s v="427"/>
    <s v="吳*婷"/>
    <s v="賣家宅配：大型/超重物品運送"/>
    <s v=""/>
    <s v=""/>
    <s v="信用卡"/>
    <s v="2026-04-13 23:59"/>
    <s v="新竹物流8179123374"/>
    <s v="2026-04-12 18:02"/>
    <m/>
    <s v="2026-04-14 19:02"/>
    <s v=""/>
    <m/>
    <s v="學習"/>
    <s v="蝦皮"/>
  </r>
  <r>
    <s v="260412M03KT6UB"/>
    <x v="2"/>
    <s v=""/>
    <s v=""/>
    <s v="p******6"/>
    <x v="11"/>
    <s v="2178.00"/>
    <s v="0.00"/>
    <s v="0.00"/>
    <s v="0.00"/>
    <s v="2178.00"/>
    <s v="0.00"/>
    <s v="82"/>
    <s v="0.00"/>
    <s v="BENE0420;DZAF9CCMW"/>
    <s v="20.00"/>
    <s v="0.00"/>
    <s v="119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88092671#1"/>
    <s v=""/>
    <s v="臺中市"/>
    <s v="西屯區"/>
    <s v="407"/>
    <s v="洪*婷"/>
    <s v="賣家宅配：大型/超重物品運送"/>
    <s v=""/>
    <s v=""/>
    <s v="信用卡"/>
    <s v="2026-04-13 23:59"/>
    <s v="新竹物流8179123385"/>
    <s v="2026-04-12 18:02"/>
    <m/>
    <s v="2026-04-16 16:20"/>
    <s v=""/>
    <m/>
    <s v="學習"/>
    <s v="蝦皮"/>
  </r>
  <r>
    <s v="260412M2RY4AC7"/>
    <x v="2"/>
    <s v=""/>
    <s v=""/>
    <s v="f*****5"/>
    <x v="11"/>
    <s v="2260.00"/>
    <s v="0.00"/>
    <s v="0.00"/>
    <s v="0.00"/>
    <s v="2260.00"/>
    <s v="0.00"/>
    <s v="0"/>
    <s v="0.00"/>
    <s v="RV3JRF7G7;BENE0420"/>
    <s v="20.00"/>
    <s v="0.00"/>
    <s v="119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1******"/>
    <s v="****"/>
    <s v="0928000888,08078842#1"/>
    <s v=""/>
    <s v="高雄市"/>
    <s v="小港區"/>
    <s v="812"/>
    <s v="莊*萍"/>
    <s v="賣家宅配：大型/超重物品運送"/>
    <s v=""/>
    <s v=""/>
    <s v="信用卡"/>
    <s v="2026-04-13 23:59"/>
    <s v="新竹物流8179123396"/>
    <s v="2026-04-12 18:50"/>
    <m/>
    <s v="2026-04-19 23:57"/>
    <s v=""/>
    <m/>
    <s v="學習"/>
    <s v="蝦皮"/>
  </r>
  <r>
    <s v="260412M7RYE4ME"/>
    <x v="2"/>
    <s v=""/>
    <s v=""/>
    <s v="c******6"/>
    <x v="11"/>
    <s v="2029.00"/>
    <s v="0.00"/>
    <s v="0.00"/>
    <s v="0.00"/>
    <s v="2029.00"/>
    <s v="0.00"/>
    <s v="0"/>
    <s v="0.00"/>
    <s v="CRYF5YUUP;MUM2604E"/>
    <s v="0.00"/>
    <s v="0.00"/>
    <s v="170.00"/>
    <s v="187.00"/>
    <s v="76.00"/>
    <s v="55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30******"/>
    <s v="****"/>
    <s v="0928000888,63544257#1"/>
    <s v=""/>
    <s v="新竹縣"/>
    <s v="湖口鄉"/>
    <s v="303"/>
    <s v="謝*蓉"/>
    <s v="賣家宅配：大型/超重物品運送"/>
    <s v=""/>
    <s v=""/>
    <s v="信用卡"/>
    <s v="2026-04-13 23:59"/>
    <s v="新竹物流8179123422"/>
    <s v="2026-04-12 20:19"/>
    <m/>
    <s v="2026-04-18 08:09"/>
    <s v=""/>
    <m/>
    <s v="學習"/>
    <s v="蝦皮"/>
  </r>
  <r>
    <s v="260412M9N5TPDU"/>
    <x v="2"/>
    <s v=""/>
    <s v=""/>
    <s v="c******6"/>
    <x v="11"/>
    <s v="2900.00"/>
    <s v="0.00"/>
    <s v="0.00"/>
    <s v="0.00"/>
    <s v="2900.00"/>
    <s v="0.00"/>
    <s v="0"/>
    <s v="0.00"/>
    <s v="BENE0450;TKBVIP2604C"/>
    <s v="50.00"/>
    <s v="0.00"/>
    <s v="25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83302364#1"/>
    <s v=""/>
    <s v="新竹縣"/>
    <s v="湖口鄉"/>
    <s v="303"/>
    <s v="謝*蓉"/>
    <s v="賣家宅配：大型/超重物品運送"/>
    <s v=""/>
    <s v=""/>
    <s v="信用卡"/>
    <s v="2026-04-13 23:59"/>
    <s v="新竹物流8179123444"/>
    <s v="2026-04-12 20:53"/>
    <m/>
    <s v="2026-04-18 08:08"/>
    <s v=""/>
    <m/>
    <s v="學習"/>
    <s v="蝦皮"/>
  </r>
  <r>
    <s v="260412MB4P1KPB"/>
    <x v="2"/>
    <s v=""/>
    <s v=""/>
    <s v="m******5"/>
    <x v="11"/>
    <s v="2811.00"/>
    <s v="0.00"/>
    <s v="0.00"/>
    <s v="0.00"/>
    <s v="2811.00"/>
    <s v="0.00"/>
    <s v="339"/>
    <s v="0.00"/>
    <s v="BENE0450;HCTZYUTNG"/>
    <s v="50.00"/>
    <s v="0.00"/>
    <s v="0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33******"/>
    <s v="****"/>
    <s v="0928000888,36415999#1"/>
    <s v=""/>
    <s v="桃園市"/>
    <s v="龜山區"/>
    <s v="333"/>
    <s v="桃******心"/>
    <s v="賣家宅配：大型/超重物品運送"/>
    <s v=""/>
    <s v=""/>
    <s v="信用卡"/>
    <s v="2026-04-13 23:59"/>
    <s v="新竹物流8179123466"/>
    <s v="2026-04-12 21:20"/>
    <m/>
    <s v="2026-05-02 15:53"/>
    <s v=""/>
    <m/>
    <s v="學習"/>
    <s v="蝦皮"/>
  </r>
  <r>
    <s v="260412MC3XERSP"/>
    <x v="2"/>
    <s v=""/>
    <s v=""/>
    <s v="z****u"/>
    <x v="11"/>
    <s v="2379.00"/>
    <s v="0.00"/>
    <s v="0.00"/>
    <s v="0.00"/>
    <s v="2379.00"/>
    <s v="0.00"/>
    <s v="0"/>
    <s v="0.00"/>
    <s v="BENE0420;KAR6AEA4K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0928000888,63871626#1"/>
    <s v=""/>
    <s v="新北市"/>
    <s v="三峽區"/>
    <s v="237"/>
    <s v="傅*諭"/>
    <s v="賣家宅配：大型/超重物品運送"/>
    <s v=""/>
    <s v=""/>
    <s v="信用卡"/>
    <s v="2026-04-13 23:59"/>
    <s v="新竹物流8179123400"/>
    <s v="2026-04-12 21:37"/>
    <m/>
    <s v="2026-04-24 21:34"/>
    <s v=""/>
    <m/>
    <s v="學習"/>
    <s v="蝦皮"/>
  </r>
  <r>
    <s v="260412MGYW132N"/>
    <x v="2"/>
    <s v=""/>
    <s v=""/>
    <s v="h******3"/>
    <x v="11"/>
    <s v="979.00"/>
    <s v="0.00"/>
    <s v="0.00"/>
    <s v="0.00"/>
    <s v="979.00"/>
    <s v="0.00"/>
    <s v="0"/>
    <s v="0.00"/>
    <s v="BENE0420"/>
    <s v="20.00"/>
    <s v="0.00"/>
    <s v="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35******"/>
    <s v="****"/>
    <s v="0928000888,88081140#1"/>
    <s v=""/>
    <s v="苗栗縣"/>
    <s v="竹南鎮"/>
    <s v="350"/>
    <s v="林*彤"/>
    <s v="賣家宅配：大型/超重物品運送"/>
    <s v=""/>
    <s v=""/>
    <s v="信用卡"/>
    <s v="2026-04-13 23:59"/>
    <s v="新竹物流8179123481"/>
    <s v="2026-04-12 23:04"/>
    <m/>
    <s v="2026-04-17 11:12"/>
    <s v=""/>
    <m/>
    <s v="學習周邊"/>
    <s v="蝦皮"/>
  </r>
  <r>
    <s v="260413MSCAQ5FM"/>
    <x v="4"/>
    <s v=""/>
    <s v=""/>
    <s v="b******e"/>
    <x v="12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2******"/>
    <s v="****"/>
    <s v="0928000888,50430704#1"/>
    <s v=""/>
    <s v="新北市"/>
    <s v="汐止區"/>
    <s v="221"/>
    <s v="何*怡"/>
    <s v="賣家宅配：大型/超重物品運送"/>
    <s v=""/>
    <s v=""/>
    <s v="信用卡"/>
    <s v="2026-04-14 23:59"/>
    <s v="新竹物流8179127375"/>
    <s v="2026-04-13 01:34"/>
    <m/>
    <s v="2026-04-23 10:17"/>
    <s v=""/>
    <m/>
    <s v="學習"/>
    <s v="蝦皮"/>
  </r>
  <r>
    <s v="260413NWKTCWMF"/>
    <x v="3"/>
    <s v=""/>
    <s v=""/>
    <s v="c******2"/>
    <x v="12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22 新北市深坑區北深路2段123巷9號2樓"/>
    <s v="****"/>
    <s v="0928000888,35861003#1"/>
    <s v=""/>
    <s v="新北市"/>
    <s v="深坑區"/>
    <s v="222"/>
    <s v="曹君暐"/>
    <s v="賣家宅配：大型/超重物品運送"/>
    <s v=""/>
    <s v=""/>
    <s v="信用卡"/>
    <s v="2026-04-14 23:59"/>
    <s v="新竹物流8179127401"/>
    <s v="2026-04-13 12:23"/>
    <m/>
    <s v=""/>
    <s v=""/>
    <m/>
    <s v="學習"/>
    <s v="蝦皮"/>
  </r>
  <r>
    <s v="260413NY8GHB2J"/>
    <x v="3"/>
    <s v=""/>
    <s v=""/>
    <s v="z******0"/>
    <x v="12"/>
    <s v="5049.00"/>
    <s v="0.00"/>
    <s v="0.00"/>
    <s v="0.00"/>
    <s v="5049.00"/>
    <s v="0.00"/>
    <s v="0"/>
    <s v="0.00"/>
    <s v="BENE0450;KAR6AEA4K"/>
    <s v="50.00"/>
    <s v="0.00"/>
    <s v="0.00"/>
    <s v="429.00"/>
    <s v="161.00"/>
    <s v="126.00"/>
    <s v="0"/>
    <s v="2.50%"/>
    <s v=""/>
    <x v="5"/>
    <s v="29842502974"/>
    <s v="(加購)巧虎手偶"/>
    <s v="259020882902"/>
    <s v="29842502974_259020882902"/>
    <n v="6799"/>
    <x v="5"/>
    <x v="5"/>
    <s v="20250FXAR"/>
    <n v="1"/>
    <s v="0"/>
    <s v="N"/>
    <s v="-"/>
    <s v="911 屏東縣竹田鄉中正路96號"/>
    <s v="****"/>
    <s v="0928000888,43958434#1"/>
    <s v=""/>
    <s v="屏東縣"/>
    <s v="竹田鄉"/>
    <s v="911"/>
    <s v="陳薏如"/>
    <s v="賣家宅配：大型/超重物品運送"/>
    <s v=""/>
    <s v=""/>
    <s v="信用卡"/>
    <s v="2026-04-14 23:59"/>
    <s v="新竹物流8179127482"/>
    <s v="2026-04-13 12:52"/>
    <m/>
    <s v=""/>
    <s v=""/>
    <m/>
    <s v="學習"/>
    <s v="蝦皮"/>
  </r>
  <r>
    <s v="260413P36XW1MP"/>
    <x v="1"/>
    <s v="被買家取消，原因 : 修改訂單內容"/>
    <s v=""/>
    <s v="c******g"/>
    <x v="12"/>
    <s v="2948.00"/>
    <s v="0.00"/>
    <s v="0.00"/>
    <s v="0.00"/>
    <s v="0.00"/>
    <s v="0.00"/>
    <s v="0"/>
    <s v="0.00"/>
    <s v="BENE0450;HCTZYUTNG"/>
    <s v="0.00"/>
    <s v="0.00"/>
    <s v="0.00"/>
    <s v="0.00"/>
    <s v="0.00"/>
    <s v="0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23******"/>
    <s v="****"/>
    <s v=""/>
    <s v=""/>
    <s v="新北市"/>
    <s v="土城區"/>
    <s v="236"/>
    <s v="葉*瀅"/>
    <s v="賣家宅配：大型/超重物品運送"/>
    <s v=""/>
    <s v=""/>
    <s v="信用卡"/>
    <s v="2026-04-14 23:59"/>
    <s v=""/>
    <s v="2026-04-13 14:03"/>
    <m/>
    <s v=""/>
    <s v=""/>
    <m/>
    <s v="學習"/>
    <s v="蝦皮"/>
  </r>
  <r>
    <s v="260413P3BC3YED"/>
    <x v="3"/>
    <s v=""/>
    <s v=""/>
    <s v="c******h"/>
    <x v="12"/>
    <s v="2269.00"/>
    <s v="0.00"/>
    <s v="0.00"/>
    <s v="0.00"/>
    <s v="2269.00"/>
    <s v="0.00"/>
    <s v="30"/>
    <s v="0.00"/>
    <s v="MSV2604E;KPDDU5PSP"/>
    <s v="100.00"/>
    <s v="0.00"/>
    <s v="0.00"/>
    <s v="195.00"/>
    <s v="79.00"/>
    <s v="57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4 新北市林口區文化二路一段42號12樓"/>
    <s v="****"/>
    <s v="0928000888,20930881#1"/>
    <s v=""/>
    <s v="新北市"/>
    <s v="林口區"/>
    <s v="244"/>
    <s v="鍾瓊儀"/>
    <s v="賣家宅配：大型/超重物品運送"/>
    <s v=""/>
    <s v=""/>
    <s v="信用卡分期付款"/>
    <s v="2026-04-14 23:59"/>
    <s v="新竹物流8179127423"/>
    <s v="2026-04-13 14:05"/>
    <m/>
    <s v=""/>
    <s v=""/>
    <m/>
    <s v="學習"/>
    <s v="蝦皮"/>
  </r>
  <r>
    <s v="260413P3EF805F"/>
    <x v="4"/>
    <s v=""/>
    <s v=""/>
    <s v="c******g"/>
    <x v="12"/>
    <s v="3638.00"/>
    <s v="0.00"/>
    <s v="0.00"/>
    <s v="0.00"/>
    <s v="3638.00"/>
    <s v="0.00"/>
    <s v="0"/>
    <s v="0.00"/>
    <s v="BENE0450;HCTZYUTNG"/>
    <s v="50.00"/>
    <s v="0.00"/>
    <s v="0.00"/>
    <s v="309.00"/>
    <s v="119.00"/>
    <s v="91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23******"/>
    <s v="****"/>
    <s v="0928000888,84073147#1"/>
    <s v=""/>
    <s v="新北市"/>
    <s v="土城區"/>
    <s v="236"/>
    <s v="葉*瀅"/>
    <s v="賣家宅配：大型/超重物品運送"/>
    <s v=""/>
    <s v=""/>
    <s v="信用卡"/>
    <s v="2026-04-14 23:59"/>
    <s v="新竹物流8179127460"/>
    <s v="2026-04-13 14:07"/>
    <m/>
    <s v="2026-04-15 18:56"/>
    <s v=""/>
    <m/>
    <s v="學習周邊"/>
    <s v="蝦皮"/>
  </r>
  <r>
    <s v="260413P3EF805F"/>
    <x v="4"/>
    <s v=""/>
    <s v=""/>
    <s v="c******g"/>
    <x v="12"/>
    <s v="3638.00"/>
    <s v="0.00"/>
    <s v="0.00"/>
    <s v="0.00"/>
    <s v="3638.00"/>
    <s v="0.00"/>
    <s v="0"/>
    <s v="0.00"/>
    <s v="BENE0450;HCTZYUTNG"/>
    <s v="50.00"/>
    <s v="0.00"/>
    <s v="0.00"/>
    <s v="309.00"/>
    <s v="119.00"/>
    <s v="91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23******"/>
    <s v="****"/>
    <s v="0928000888,84073147#1"/>
    <s v=""/>
    <s v="新北市"/>
    <s v="土城區"/>
    <s v="236"/>
    <s v="葉*瀅"/>
    <s v="賣家宅配：大型/超重物品運送"/>
    <s v=""/>
    <s v=""/>
    <s v="信用卡"/>
    <s v="2026-04-14 23:59"/>
    <s v="新竹物流8179127460"/>
    <s v="2026-04-13 14:07"/>
    <m/>
    <s v="2026-04-15 18:56"/>
    <s v=""/>
    <m/>
    <s v="學習"/>
    <s v="蝦皮"/>
  </r>
  <r>
    <s v="260413P4XV2F20"/>
    <x v="3"/>
    <s v=""/>
    <s v=""/>
    <s v="y******6"/>
    <x v="12"/>
    <s v="979.00"/>
    <s v="0.00"/>
    <s v="0.00"/>
    <s v="0.00"/>
    <s v="979.00"/>
    <s v="0.00"/>
    <s v="0"/>
    <s v="0.00"/>
    <s v="BENE0420"/>
    <s v="20.00"/>
    <s v="0.00"/>
    <s v="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104 臺北市中山區明水路565號3樓"/>
    <s v="****"/>
    <s v="0928000888,61251032#1"/>
    <s v=""/>
    <s v="臺北市"/>
    <s v="中山區"/>
    <s v="104"/>
    <s v="張逸筑"/>
    <s v="賣家宅配：大型/超重物品運送"/>
    <s v=""/>
    <s v=""/>
    <s v="信用卡"/>
    <s v="2026-04-14 23:59"/>
    <s v="新竹物流8179127250"/>
    <s v="2026-04-13 14:34"/>
    <m/>
    <s v=""/>
    <s v=""/>
    <m/>
    <s v="學習周邊"/>
    <s v="蝦皮"/>
  </r>
  <r>
    <s v="260413PP3AH9TX"/>
    <x v="4"/>
    <s v=""/>
    <s v=""/>
    <s v="o******5"/>
    <x v="12"/>
    <s v="525.00"/>
    <s v="0.00"/>
    <s v="0.00"/>
    <s v="0.00"/>
    <s v="525.00"/>
    <s v="0.00"/>
    <s v="174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80******"/>
    <s v="****"/>
    <s v="0928000888,49047603#1"/>
    <s v=""/>
    <s v="高雄市"/>
    <s v="三民區"/>
    <s v="807"/>
    <s v="黃*綸"/>
    <s v="賣家宅配：大型/超重物品運送"/>
    <s v=""/>
    <s v=""/>
    <s v="信用卡"/>
    <s v="2026-04-14 23:59"/>
    <s v="新竹物流8179127191"/>
    <s v="2026-04-13 19:41"/>
    <m/>
    <s v="2026-04-19 15:06"/>
    <s v=""/>
    <m/>
    <s v="學習周邊"/>
    <s v="蝦皮"/>
  </r>
  <r>
    <s v="260413PQM8F4GN"/>
    <x v="4"/>
    <s v=""/>
    <s v=""/>
    <s v="a******z"/>
    <x v="12"/>
    <s v="2948.00"/>
    <s v="0.00"/>
    <s v="0.00"/>
    <s v="0.00"/>
    <s v="2948.00"/>
    <s v="0.00"/>
    <s v="0"/>
    <s v="0.00"/>
    <s v="BENE0450;TKB2604CCB2"/>
    <s v="50.00"/>
    <s v="0.00"/>
    <s v="0.00"/>
    <s v="251.00"/>
    <s v="98.00"/>
    <s v="74.00"/>
    <s v="3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0******"/>
    <s v="****"/>
    <s v="0928000888,23970246#1"/>
    <s v=""/>
    <s v="臺中市"/>
    <s v="南屯區"/>
    <s v="408"/>
    <s v="黃*華"/>
    <s v="賣家宅配：大型/超重物品運送"/>
    <s v=""/>
    <s v=""/>
    <s v="信用卡分期付款"/>
    <s v="2026-04-14 23:59"/>
    <s v="新竹物流8179127445"/>
    <s v="2026-04-13 20:08"/>
    <m/>
    <s v="2026-04-15 18:59"/>
    <s v=""/>
    <m/>
    <s v="學習"/>
    <s v="蝦皮"/>
  </r>
  <r>
    <s v="260413PQNYR0G9"/>
    <x v="1"/>
    <s v="被買家取消，原因 : 需要修改收貨地址"/>
    <s v=""/>
    <s v="g******7"/>
    <x v="12"/>
    <s v="2349.00"/>
    <s v="0.00"/>
    <s v="0.00"/>
    <s v="0.00"/>
    <s v="0.00"/>
    <s v="0.00"/>
    <s v="0"/>
    <s v="0.00"/>
    <s v="MUM2604E;HCTZYUTNG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1******"/>
    <s v="****"/>
    <s v=""/>
    <s v=""/>
    <s v="臺南市"/>
    <s v="永康區"/>
    <s v="710"/>
    <s v="吳*蓉"/>
    <s v="賣家宅配：大型/超重物品運送"/>
    <s v=""/>
    <s v=""/>
    <s v="信用卡"/>
    <s v=""/>
    <s v=""/>
    <s v="-"/>
    <m/>
    <s v=""/>
    <s v=""/>
    <m/>
    <s v="學習"/>
    <s v="蝦皮"/>
  </r>
  <r>
    <s v="260413PTQ7JYJ5"/>
    <x v="1"/>
    <s v="被買家取消，原因 : 修改訂單內容"/>
    <s v=""/>
    <s v="s******i"/>
    <x v="12"/>
    <s v="2298.00"/>
    <s v="0.00"/>
    <s v="0.00"/>
    <s v="0.00"/>
    <s v="0.00"/>
    <s v="0.00"/>
    <s v="0"/>
    <s v="0.00"/>
    <s v="MUM2604E;EF3MZE2PU"/>
    <s v="0.00"/>
    <s v="0.00"/>
    <s v="0.00"/>
    <s v="0.00"/>
    <s v="0.00"/>
    <s v="0.00"/>
    <s v="0"/>
    <s v="2.50%"/>
    <s v=""/>
    <x v="18"/>
    <s v="43300564167"/>
    <s v="(加購)巧虎手偶"/>
    <s v="208744991582"/>
    <s v="43300564167_208744991582"/>
    <n v="3199"/>
    <x v="38"/>
    <x v="50"/>
    <s v="20250FXAN"/>
    <n v="1"/>
    <s v="0"/>
    <s v="N"/>
    <s v="-"/>
    <s v="24******"/>
    <s v="****"/>
    <s v=""/>
    <s v=""/>
    <s v="新北市"/>
    <s v="蘆洲區"/>
    <s v="247"/>
    <s v="蔡*文"/>
    <s v="賣家宅配：大型/超重物品運送"/>
    <s v=""/>
    <s v=""/>
    <s v="信用卡"/>
    <s v="2026-04-14 23:59"/>
    <s v=""/>
    <s v="2026-04-13 21:04"/>
    <m/>
    <s v=""/>
    <s v=""/>
    <m/>
    <s v="學習"/>
    <s v="蝦皮"/>
  </r>
  <r>
    <s v="260413PV0EHCJN"/>
    <x v="4"/>
    <s v=""/>
    <s v=""/>
    <s v="s******i"/>
    <x v="12"/>
    <s v="2298.00"/>
    <s v="0.00"/>
    <s v="0.00"/>
    <s v="0.00"/>
    <s v="2298.00"/>
    <s v="0.00"/>
    <s v="0"/>
    <s v="0.00"/>
    <s v="MUM2604E;EF3MZE2PU"/>
    <s v="0.00"/>
    <s v="0.00"/>
    <s v="100.00"/>
    <s v="204.00"/>
    <s v="82.00"/>
    <s v="60.00"/>
    <s v="0"/>
    <s v="2.50%"/>
    <s v=""/>
    <x v="18"/>
    <s v="43300564167"/>
    <s v="(加購)巧虎手偶"/>
    <s v="208744991582"/>
    <s v="43300564167_208744991582"/>
    <n v="3199"/>
    <x v="38"/>
    <x v="50"/>
    <s v="20250FXAN"/>
    <n v="1"/>
    <s v="0"/>
    <s v="N"/>
    <s v="-"/>
    <s v="24******"/>
    <s v="****"/>
    <s v="0928000888,18558821#1"/>
    <s v=""/>
    <s v="新北市"/>
    <s v="蘆洲區"/>
    <s v="247"/>
    <s v="蔡*文"/>
    <s v="賣家宅配：大型/超重物品運送"/>
    <s v=""/>
    <s v=""/>
    <s v="信用卡"/>
    <s v="2026-04-14 23:59"/>
    <s v="新竹物流8179127342"/>
    <s v="2026-04-13 21:27"/>
    <m/>
    <s v="2026-04-16 19:46"/>
    <s v=""/>
    <m/>
    <s v="學習"/>
    <s v="蝦皮"/>
  </r>
  <r>
    <s v="260413PW8UQG89"/>
    <x v="4"/>
    <s v=""/>
    <s v=""/>
    <s v="b******7"/>
    <x v="12"/>
    <s v="3947.00"/>
    <s v="0.00"/>
    <s v="0.00"/>
    <s v="0.00"/>
    <s v="3947.00"/>
    <s v="0.00"/>
    <s v="0"/>
    <s v="0.00"/>
    <s v="BENE0450;KAR6AEA4K"/>
    <s v="50.00"/>
    <s v="0.00"/>
    <s v="0.00"/>
    <s v="335.00"/>
    <s v="128.00"/>
    <s v="99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33******"/>
    <s v="****"/>
    <s v="0928000888,96310924#1"/>
    <s v=""/>
    <s v="桃園市"/>
    <s v="蘆竹區"/>
    <s v="338"/>
    <s v="林*容"/>
    <s v="賣家宅配：大型/超重物品運送"/>
    <s v=""/>
    <s v=""/>
    <s v="信用卡"/>
    <s v="2026-04-14 23:59"/>
    <s v="新竹物流8179127493"/>
    <s v="2026-04-13 21:49"/>
    <m/>
    <s v="2026-04-16 01:17"/>
    <s v=""/>
    <m/>
    <s v="學習周邊"/>
    <s v="蝦皮"/>
  </r>
  <r>
    <s v="260413PW8UQG89"/>
    <x v="4"/>
    <s v=""/>
    <s v=""/>
    <s v="b******7"/>
    <x v="12"/>
    <s v="3947.00"/>
    <s v="0.00"/>
    <s v="0.00"/>
    <s v="0.00"/>
    <s v="3947.00"/>
    <s v="0.00"/>
    <s v="0"/>
    <s v="0.00"/>
    <s v="BENE0450;KAR6AEA4K"/>
    <s v="50.00"/>
    <s v="0.00"/>
    <s v="0.00"/>
    <s v="335.00"/>
    <s v="128.00"/>
    <s v="99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3******"/>
    <s v="****"/>
    <s v="0928000888,96310924#1"/>
    <s v=""/>
    <s v="桃園市"/>
    <s v="蘆竹區"/>
    <s v="338"/>
    <s v="林*容"/>
    <s v="賣家宅配：大型/超重物品運送"/>
    <s v=""/>
    <s v=""/>
    <s v="信用卡"/>
    <s v="2026-04-14 23:59"/>
    <s v="新竹物流8179127493"/>
    <s v="2026-04-13 21:49"/>
    <m/>
    <s v="2026-04-16 01:17"/>
    <s v=""/>
    <m/>
    <s v="學習"/>
    <s v="蝦皮"/>
  </r>
  <r>
    <s v="260413Q28XSQAJ"/>
    <x v="4"/>
    <s v=""/>
    <s v=""/>
    <s v="s******2"/>
    <x v="12"/>
    <s v="3150.00"/>
    <s v="0.00"/>
    <s v="0.00"/>
    <s v="0.00"/>
    <s v="3150.00"/>
    <s v="0.00"/>
    <s v="0"/>
    <s v="0.00"/>
    <s v="BENE0450;KAR6AEA4K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33322924#1"/>
    <s v=""/>
    <s v="新竹市"/>
    <s v="北區"/>
    <s v="300"/>
    <s v="謝*娟"/>
    <s v="賣家宅配：大型/超重物品運送"/>
    <s v=""/>
    <s v=""/>
    <s v="信用卡"/>
    <s v="2026-04-14 23:59"/>
    <s v="新竹物流8179127305"/>
    <s v="2026-04-13 23:19"/>
    <m/>
    <s v="2026-04-18 10:20"/>
    <s v=""/>
    <m/>
    <s v="學習"/>
    <s v="蝦皮"/>
  </r>
  <r>
    <s v="260413Q4F9HVFF"/>
    <x v="4"/>
    <s v=""/>
    <s v=""/>
    <s v="o******f"/>
    <x v="12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3******"/>
    <s v="****"/>
    <s v="0928000888,64693761#1"/>
    <s v=""/>
    <s v="桃園市"/>
    <s v="八德區"/>
    <s v="334"/>
    <s v="莊*媚"/>
    <s v="賣家宅配：大型/超重物品運送"/>
    <s v=""/>
    <s v=""/>
    <s v="信用卡"/>
    <s v="2026-04-14 23:59"/>
    <s v="新竹物流8179127434"/>
    <s v="2026-04-13 23:58"/>
    <m/>
    <s v="2026-04-21 16:08"/>
    <s v=""/>
    <m/>
    <s v="學習"/>
    <s v="蝦皮"/>
  </r>
  <r>
    <s v="260414R0UA1WDP"/>
    <x v="3"/>
    <s v=""/>
    <s v=""/>
    <s v="g******7"/>
    <x v="13"/>
    <s v="2349.00"/>
    <s v="0.00"/>
    <s v="0.00"/>
    <s v="0.00"/>
    <s v="2349.00"/>
    <s v="0.00"/>
    <s v="0"/>
    <s v="0.00"/>
    <s v="MUM2604E;HCTZYUTNG"/>
    <s v="0.00"/>
    <s v="0.00"/>
    <s v="50.00"/>
    <s v="204.00"/>
    <s v="82.00"/>
    <s v="6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10 臺南市永康區永榮路59號七樓之二"/>
    <s v="****"/>
    <s v="0928000888,38985281#1"/>
    <s v=""/>
    <s v="臺南市"/>
    <s v="永康區"/>
    <s v="710"/>
    <s v="吳姱蓉"/>
    <s v="賣家宅配：大型/超重物品運送"/>
    <s v=""/>
    <s v=""/>
    <s v="信用卡"/>
    <s v="2026-04-15 23:59"/>
    <s v="新竹物流8179132290"/>
    <s v="2026-04-14 08:26"/>
    <m/>
    <s v=""/>
    <s v=""/>
    <m/>
    <s v="學習"/>
    <s v="蝦皮"/>
  </r>
  <r>
    <s v="260414R2KYWUW0"/>
    <x v="5"/>
    <s v=""/>
    <s v=""/>
    <s v="y******g"/>
    <x v="13"/>
    <s v="599.00"/>
    <s v="0.00"/>
    <s v="0.00"/>
    <s v="0.00"/>
    <s v="599.00"/>
    <s v="0.00"/>
    <s v="0"/>
    <s v="0.00"/>
    <s v=""/>
    <s v="0.00"/>
    <s v="0.00"/>
    <s v="0.00"/>
    <s v="51.00"/>
    <s v="28.00"/>
    <s v="15.00"/>
    <s v="0"/>
    <s v="2.50%"/>
    <s v=""/>
    <x v="15"/>
    <s v="26004461505"/>
    <s v=""/>
    <s v="222957909377"/>
    <s v="26004461505_222957909377"/>
    <n v="690"/>
    <x v="8"/>
    <x v="16"/>
    <s v="20230H008"/>
    <n v="1"/>
    <s v="0"/>
    <s v="N"/>
    <s v="-"/>
    <s v="24******"/>
    <s v="****"/>
    <s v="0928000888,59439387#1"/>
    <s v=""/>
    <s v="新北市"/>
    <s v="泰山區"/>
    <s v="243"/>
    <s v="蔡*叡"/>
    <s v="賣家宅配：大型/超重物品運送"/>
    <s v=""/>
    <s v=""/>
    <s v="信用卡"/>
    <s v="2026-04-15 23:59"/>
    <s v="新竹物流8179132393"/>
    <s v="2026-04-14 08:58"/>
    <m/>
    <s v="2026-04-16 13:44"/>
    <s v=""/>
    <m/>
    <s v="生活周邊"/>
    <s v="蝦皮"/>
  </r>
  <r>
    <s v="260414R95GAQT8"/>
    <x v="5"/>
    <s v=""/>
    <s v=""/>
    <s v="l******2"/>
    <x v="13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3******"/>
    <s v="****"/>
    <s v="0928000888,49239380#1"/>
    <s v=""/>
    <s v="高雄市"/>
    <s v="鳳山區"/>
    <s v="830"/>
    <s v="黃*婷"/>
    <s v="賣家宅配：大型/超重物品運送"/>
    <s v=""/>
    <s v=""/>
    <s v="信用卡"/>
    <s v="2026-04-15 23:59"/>
    <s v="新竹物流8179132323"/>
    <s v="2026-04-14 10:55"/>
    <m/>
    <s v="2026-04-19 13:33"/>
    <s v=""/>
    <m/>
    <s v="學習"/>
    <s v="蝦皮"/>
  </r>
  <r>
    <s v="260414RCRYQYST"/>
    <x v="5"/>
    <s v=""/>
    <s v=""/>
    <s v="j******9"/>
    <x v="13"/>
    <s v="2354.00"/>
    <s v="0.00"/>
    <s v="0.00"/>
    <s v="0.00"/>
    <s v="2354.00"/>
    <s v="0.00"/>
    <s v="25"/>
    <s v="0.00"/>
    <s v="KAR6AEA4K;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0******"/>
    <s v="****"/>
    <s v="0928000888,84745578#1"/>
    <s v=""/>
    <s v="臺北市"/>
    <s v="中正區"/>
    <s v="100"/>
    <s v="盧*璇"/>
    <s v="賣家宅配：大型/超重物品運送"/>
    <s v=""/>
    <s v=""/>
    <s v="信用卡"/>
    <s v="2026-04-15 23:59"/>
    <s v="新竹物流8179132334"/>
    <s v="2026-04-14 12:00"/>
    <m/>
    <s v="2026-04-17 16:19"/>
    <s v=""/>
    <m/>
    <s v="學習"/>
    <s v="蝦皮"/>
  </r>
  <r>
    <s v="260414RGK1185F"/>
    <x v="3"/>
    <s v=""/>
    <s v=""/>
    <s v="s******8"/>
    <x v="13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900 屏東縣屏東市徐州路164巷7號"/>
    <s v="****"/>
    <s v="0928000888,48055436#1"/>
    <s v=""/>
    <s v="屏東縣"/>
    <s v="屏東市"/>
    <s v="900"/>
    <s v="黃乙軒"/>
    <s v="賣家宅配：大型/超重物品運送"/>
    <s v=""/>
    <s v=""/>
    <s v="信用卡"/>
    <s v="2026-04-15 23:59"/>
    <s v="新竹物流8179132345"/>
    <s v="2026-04-14 13:08"/>
    <m/>
    <s v=""/>
    <s v=""/>
    <m/>
    <s v="學習"/>
    <s v="蝦皮"/>
  </r>
  <r>
    <s v="260414RP9R0QKV"/>
    <x v="3"/>
    <s v=""/>
    <s v=""/>
    <s v="m******1"/>
    <x v="13"/>
    <s v="2748.00"/>
    <s v="0.00"/>
    <s v="0.00"/>
    <s v="0.00"/>
    <s v="2748.00"/>
    <s v="0.00"/>
    <s v="0"/>
    <s v="0.00"/>
    <s v="BENE0450"/>
    <s v="50.00"/>
    <s v="0.00"/>
    <s v="0.00"/>
    <s v="234.00"/>
    <s v="92.00"/>
    <s v="69.00"/>
    <s v="0"/>
    <s v="2.50%"/>
    <s v=""/>
    <x v="0"/>
    <s v="55104898742"/>
    <s v="(加購)白沙屯媽祖祈福禮盒 $399"/>
    <s v="370543746468"/>
    <s v="55104898742_370543746468"/>
    <n v="3800"/>
    <x v="15"/>
    <x v="17"/>
    <s v="20250FXBT"/>
    <n v="1"/>
    <s v="0"/>
    <s v="N"/>
    <s v="-"/>
    <s v="333 桃園市龜山區明興街61巷5弄10號"/>
    <s v="****"/>
    <s v="0928000888,37336641#1"/>
    <s v=""/>
    <s v="桃園市"/>
    <s v="龜山區"/>
    <s v="333"/>
    <s v="吳維傑"/>
    <s v="賣家宅配：大型/超重物品運送"/>
    <s v=""/>
    <s v=""/>
    <s v="信用卡"/>
    <s v="2026-04-15 23:59"/>
    <s v="新竹物流8179132356"/>
    <s v="2026-04-14 14:50"/>
    <m/>
    <s v=""/>
    <s v=""/>
    <m/>
    <s v="學習"/>
    <s v="蝦皮"/>
  </r>
  <r>
    <s v="260414SHDCC0KT"/>
    <x v="5"/>
    <s v=""/>
    <s v=""/>
    <s v="b******6"/>
    <x v="13"/>
    <s v="2379.00"/>
    <s v="0.00"/>
    <s v="0.00"/>
    <s v="0.00"/>
    <s v="2379.00"/>
    <s v="0.00"/>
    <s v="0"/>
    <s v="0.00"/>
    <s v="KAR6AEA4K;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0******"/>
    <s v="****"/>
    <s v="0928000888,72534619#1"/>
    <s v=""/>
    <s v="臺南市"/>
    <s v="東區"/>
    <s v="701"/>
    <s v="白*雯"/>
    <s v="賣家宅配：大型/超重物品運送"/>
    <s v=""/>
    <s v=""/>
    <s v="信用卡"/>
    <s v="2026-04-15 23:59"/>
    <s v="新竹物流8179132360"/>
    <s v="2026-04-14 22:55"/>
    <m/>
    <s v="2026-04-16 14:15"/>
    <s v=""/>
    <m/>
    <s v="學習"/>
    <s v="蝦皮"/>
  </r>
  <r>
    <s v="260415TG6B8BH6"/>
    <x v="6"/>
    <s v=""/>
    <s v=""/>
    <s v="t******5"/>
    <x v="14"/>
    <s v="2578.00"/>
    <s v="0.00"/>
    <s v="0.00"/>
    <s v="0.00"/>
    <s v="2578.00"/>
    <s v="0.00"/>
    <s v="0"/>
    <s v="0.00"/>
    <s v="BENE0420;KAR6AEA4K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******"/>
    <s v="****"/>
    <s v="0928000888,38088259#1"/>
    <s v=""/>
    <s v="高雄市"/>
    <s v="新興區"/>
    <s v="800"/>
    <s v="阮*樺"/>
    <s v="賣家宅配：大型/超重物品運送"/>
    <s v=""/>
    <s v=""/>
    <s v="信用卡"/>
    <s v="2026-04-16 23:59"/>
    <s v="新竹物流8179135031"/>
    <s v="2026-04-15 08:06"/>
    <m/>
    <s v="2026-04-30 07:33"/>
    <s v=""/>
    <m/>
    <s v="學習"/>
    <s v="蝦皮"/>
  </r>
  <r>
    <s v="260415TJWJNS1V"/>
    <x v="6"/>
    <s v=""/>
    <s v=""/>
    <s v="z******z"/>
    <x v="14"/>
    <s v="2299.00"/>
    <s v="0.00"/>
    <s v="0.00"/>
    <s v="0.00"/>
    <s v="2299.00"/>
    <s v="0.00"/>
    <s v="0"/>
    <s v="0.00"/>
    <s v="MSV2604E;KAR6AEA4K"/>
    <s v="100.00"/>
    <s v="0.00"/>
    <s v="0.00"/>
    <s v="195.00"/>
    <s v="79.00"/>
    <s v="57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64244169#1"/>
    <s v=""/>
    <s v="桃園市"/>
    <s v="桃園區"/>
    <s v="330"/>
    <s v="李*慧"/>
    <s v="賣家宅配：大型/超重物品運送"/>
    <s v=""/>
    <s v=""/>
    <s v="信用卡"/>
    <s v="2026-04-16 23:59"/>
    <s v="新竹物流8179134972"/>
    <s v="2026-04-15 08:55"/>
    <m/>
    <s v="2026-04-17 21:11"/>
    <s v=""/>
    <m/>
    <s v="學習"/>
    <s v="蝦皮"/>
  </r>
  <r>
    <s v="260415TMGVW8VD"/>
    <x v="6"/>
    <s v=""/>
    <s v=""/>
    <s v="p******4"/>
    <x v="14"/>
    <s v="3150.00"/>
    <s v="0.00"/>
    <s v="0.00"/>
    <s v="0.00"/>
    <s v="3150.00"/>
    <s v="0.00"/>
    <s v="0"/>
    <s v="0.00"/>
    <s v="BENE0450;KAR6AEA4K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1******"/>
    <s v="****"/>
    <s v="0928000888,45020269#1"/>
    <s v=""/>
    <s v="臺北市"/>
    <s v="北投區"/>
    <s v="112"/>
    <s v="李*寧"/>
    <s v="賣家宅配：大型/超重物品運送"/>
    <s v=""/>
    <s v=""/>
    <s v="信用卡"/>
    <s v="2026-04-16 23:59"/>
    <s v="新竹物流8179134994"/>
    <s v="2026-04-15 09:23"/>
    <m/>
    <s v="2026-04-18 16:22"/>
    <s v=""/>
    <m/>
    <s v="學習"/>
    <s v="蝦皮"/>
  </r>
  <r>
    <s v="260415TQ27FPN4"/>
    <x v="3"/>
    <s v=""/>
    <s v=""/>
    <s v="g******7"/>
    <x v="14"/>
    <s v="2379.00"/>
    <s v="0.00"/>
    <s v="0.00"/>
    <s v="0.00"/>
    <s v="2379.00"/>
    <s v="0.00"/>
    <s v="0"/>
    <s v="0.00"/>
    <s v="KAR6AEA4K;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510 彰化縣員林市龍富街42號7樓之3"/>
    <s v="****"/>
    <s v="0928000888,66902333#1"/>
    <s v=""/>
    <s v="彰化縣"/>
    <s v="員林市"/>
    <s v="510"/>
    <s v="廖子緣"/>
    <s v="賣家宅配：大型/超重物品運送"/>
    <s v=""/>
    <s v=""/>
    <s v="信用卡"/>
    <s v="2026-04-16 23:59"/>
    <s v="新竹物流8179134983"/>
    <s v="2026-04-15 10:09"/>
    <m/>
    <s v=""/>
    <s v=""/>
    <m/>
    <s v="學習"/>
    <s v="蝦皮"/>
  </r>
  <r>
    <s v="260415U257PMAK"/>
    <x v="3"/>
    <s v=""/>
    <s v=""/>
    <s v="i****y"/>
    <x v="14"/>
    <s v="398.00"/>
    <s v="100.00"/>
    <s v="0.00"/>
    <s v="0.00"/>
    <s v="498.00"/>
    <s v="0.00"/>
    <s v="0"/>
    <s v="0.00"/>
    <s v=""/>
    <s v="0.00"/>
    <s v="0.00"/>
    <s v="0.00"/>
    <s v="18.00"/>
    <s v="22.00"/>
    <s v="12.00"/>
    <s v="0"/>
    <s v="2.50%"/>
    <s v=""/>
    <x v="35"/>
    <s v="29404284709"/>
    <s v=""/>
    <s v="158690870458"/>
    <s v="29404284709_158690870458"/>
    <n v="299"/>
    <x v="10"/>
    <x v="48"/>
    <s v="20230H003"/>
    <n v="2"/>
    <s v="0"/>
    <s v="N"/>
    <s v="-"/>
    <s v="360 苗栗縣苗栗市府前路86-2號"/>
    <s v="****"/>
    <s v="0928000888,29223355#1"/>
    <s v=""/>
    <s v="苗栗縣"/>
    <s v="苗栗市"/>
    <s v="360"/>
    <s v="謝家琳"/>
    <s v="賣家宅配：大型/超重物品運送"/>
    <s v=""/>
    <s v=""/>
    <s v="信用卡"/>
    <s v="2026-04-16 23:59"/>
    <s v="新竹物流8179135112"/>
    <s v="2026-04-15 13:28"/>
    <m/>
    <s v=""/>
    <s v=""/>
    <m/>
    <s v="生活周邊"/>
    <s v="蝦皮"/>
  </r>
  <r>
    <s v="260415U4SGM5GY"/>
    <x v="0"/>
    <s v=""/>
    <s v="已同意申請"/>
    <s v="h***j"/>
    <x v="14"/>
    <s v="2897.00"/>
    <s v="0.00"/>
    <s v="0.00"/>
    <s v="0.00"/>
    <s v="0.00"/>
    <s v="0.00"/>
    <s v="3"/>
    <s v="0.00"/>
    <s v="BENE0450;TKBVIP2604C"/>
    <s v="0.00"/>
    <s v="0.00"/>
    <s v="0.00"/>
    <s v="0.00"/>
    <s v="0.00"/>
    <s v="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1"/>
    <s v="N"/>
    <s v="-"/>
    <s v="24******"/>
    <s v="****"/>
    <s v="0928000888,00324987#1"/>
    <s v=""/>
    <s v="新北市"/>
    <s v="蘆洲區"/>
    <s v="247"/>
    <s v="黃*靜"/>
    <s v="賣家宅配：大型/超重物品運送"/>
    <s v=""/>
    <s v=""/>
    <s v="信用卡"/>
    <s v="2026-04-16 23:59"/>
    <s v="新竹物流8179135016"/>
    <s v="2026-04-15 14:14"/>
    <m/>
    <s v="2026-04-23 00:36"/>
    <s v=""/>
    <m/>
    <s v="學習"/>
    <s v="蝦皮"/>
  </r>
  <r>
    <s v="260415U6D2FNRC"/>
    <x v="6"/>
    <s v=""/>
    <s v=""/>
    <s v="d******0"/>
    <x v="14"/>
    <s v="798.00"/>
    <s v="0.00"/>
    <s v="0.00"/>
    <s v="0.00"/>
    <s v="798.00"/>
    <s v="0.00"/>
    <s v="0"/>
    <s v="0.00"/>
    <s v=""/>
    <s v="0.00"/>
    <s v="0.00"/>
    <s v="0.00"/>
    <s v="60.00"/>
    <s v="34.00"/>
    <s v="20.00"/>
    <s v="0"/>
    <s v="2.50%"/>
    <s v=""/>
    <x v="37"/>
    <s v="44022645178"/>
    <s v=""/>
    <s v="281840860093"/>
    <s v="44022645178_281840860093"/>
    <n v="800"/>
    <x v="39"/>
    <x v="51"/>
    <s v="20252FA00"/>
    <n v="2"/>
    <s v="0"/>
    <s v="N"/>
    <s v="-"/>
    <s v="23******"/>
    <s v="****"/>
    <s v="0928000888,92804881#1"/>
    <s v=""/>
    <s v="新北市"/>
    <s v="中和區"/>
    <s v="235"/>
    <s v="王*寧"/>
    <s v="賣家宅配：大型/超重物品運送"/>
    <s v=""/>
    <s v=""/>
    <s v="信用卡"/>
    <s v="2026-04-16 23:59"/>
    <s v="新竹物流8179135075"/>
    <s v="2026-04-15 14:44"/>
    <m/>
    <s v="2026-04-18 19:59"/>
    <s v=""/>
    <m/>
    <s v="學習周邊"/>
    <s v="蝦皮"/>
  </r>
  <r>
    <s v="260415UJXP886T"/>
    <x v="6"/>
    <s v=""/>
    <s v=""/>
    <s v="a*****0"/>
    <x v="14"/>
    <s v="2275.00"/>
    <s v="0.00"/>
    <s v="0.00"/>
    <s v="0.00"/>
    <s v="2275.00"/>
    <s v="0.00"/>
    <s v="104"/>
    <s v="0.00"/>
    <s v="BENE0420;HCTZYUTNG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09282680#1"/>
    <s v=""/>
    <s v="臺中市"/>
    <s v="北屯區"/>
    <s v="406"/>
    <s v="朱*甄"/>
    <s v="賣家宅配：大型/超重物品運送"/>
    <s v=""/>
    <s v=""/>
    <s v="信用卡"/>
    <s v="2026-04-16 23:59"/>
    <s v="新竹物流8179135053"/>
    <s v="2026-04-15 18:28"/>
    <m/>
    <s v="2026-04-18 14:25"/>
    <s v=""/>
    <m/>
    <s v="學習"/>
    <s v="蝦皮"/>
  </r>
  <r>
    <s v="260415UNW5C78F"/>
    <x v="6"/>
    <s v=""/>
    <s v=""/>
    <s v="c******e"/>
    <x v="14"/>
    <s v="1178.00"/>
    <s v="0.00"/>
    <s v="0.00"/>
    <s v="0.00"/>
    <s v="1178.00"/>
    <s v="0.00"/>
    <s v="0"/>
    <s v="0.00"/>
    <s v="BENE0420"/>
    <s v="20.00"/>
    <s v="0.00"/>
    <s v="0.00"/>
    <s v="100.00"/>
    <s v="45.00"/>
    <s v="29.00"/>
    <s v="0"/>
    <s v="2.50%"/>
    <s v=""/>
    <x v="14"/>
    <s v="29672846571"/>
    <s v="(加購)巧虎手偶 $199"/>
    <s v="355543703692"/>
    <s v="29672846571_355543703692"/>
    <n v="1599"/>
    <x v="37"/>
    <x v="15"/>
    <s v="20250FXBN"/>
    <n v="1"/>
    <s v="0"/>
    <s v="N"/>
    <s v="-"/>
    <s v="36******"/>
    <s v="****"/>
    <s v="0928000888,32582210#1"/>
    <s v=""/>
    <s v="苗栗縣"/>
    <s v="苗栗市"/>
    <s v="360"/>
    <s v="陳*瑜"/>
    <s v="賣家宅配：大型/超重物品運送"/>
    <s v=""/>
    <s v=""/>
    <s v="信用卡"/>
    <s v="2026-04-16 23:59"/>
    <s v="新竹物流8179135064"/>
    <s v="2026-04-15 19:21"/>
    <m/>
    <s v="2026-04-20 13:04"/>
    <s v=""/>
    <m/>
    <s v="學習周邊"/>
    <s v="蝦皮"/>
  </r>
  <r>
    <s v="260415UR8G8125"/>
    <x v="6"/>
    <s v=""/>
    <s v=""/>
    <s v="l******2"/>
    <x v="14"/>
    <s v="399.00"/>
    <s v="100.00"/>
    <s v="0.00"/>
    <s v="0.00"/>
    <s v="499.00"/>
    <s v="0.00"/>
    <s v="0"/>
    <s v="0.00"/>
    <s v=""/>
    <s v="0.00"/>
    <s v="0.00"/>
    <s v="0.00"/>
    <s v="30.00"/>
    <s v="22.00"/>
    <s v="12.00"/>
    <s v="0"/>
    <s v="2.50%"/>
    <s v=""/>
    <x v="37"/>
    <s v="44022645178"/>
    <s v=""/>
    <s v="281840860093"/>
    <s v="44022645178_281840860093"/>
    <n v="800"/>
    <x v="39"/>
    <x v="51"/>
    <s v="20252FA00"/>
    <n v="1"/>
    <s v="0"/>
    <s v="N"/>
    <s v="-"/>
    <s v="33******"/>
    <s v="****"/>
    <s v="0928000888,14651545#1"/>
    <s v=""/>
    <s v="桃園市"/>
    <s v="桃園區"/>
    <s v="330"/>
    <s v="羅*涵"/>
    <s v="賣家宅配：大型/超重物品運送"/>
    <s v=""/>
    <s v=""/>
    <s v="信用卡"/>
    <s v="2026-04-16 23:59"/>
    <s v="新竹物流8179135086"/>
    <s v="2026-04-15 20:03"/>
    <m/>
    <s v="2026-04-17 11:19"/>
    <s v=""/>
    <m/>
    <s v="學習周邊"/>
    <s v="蝦皮"/>
  </r>
  <r>
    <s v="260415UU8UFUCS"/>
    <x v="6"/>
    <s v=""/>
    <s v=""/>
    <s v="w******8"/>
    <x v="14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11******"/>
    <s v="****"/>
    <s v="0928000888,20108864#1"/>
    <s v=""/>
    <s v="臺北市"/>
    <s v="北投區"/>
    <s v="112"/>
    <s v="李*卉"/>
    <s v="賣家宅配：大型/超重物品運送"/>
    <s v=""/>
    <s v=""/>
    <s v="信用卡"/>
    <s v="2026-04-16 23:59"/>
    <s v="新竹物流8179135101"/>
    <s v="2026-04-15 20:57"/>
    <m/>
    <s v="2026-04-18 23:48"/>
    <s v=""/>
    <m/>
    <s v="學習周邊"/>
    <s v="蝦皮"/>
  </r>
  <r>
    <s v="260415UU8UFUCS"/>
    <x v="6"/>
    <s v=""/>
    <s v=""/>
    <s v="w******8"/>
    <x v="14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7"/>
    <s v="28157944827"/>
    <s v="無繪本"/>
    <s v="276894603061"/>
    <s v="28157944827_276894603061"/>
    <n v="399"/>
    <x v="6"/>
    <x v="6"/>
    <s v="20250FXAM"/>
    <n v="1"/>
    <s v="0"/>
    <s v="N"/>
    <s v="-"/>
    <s v="11******"/>
    <s v="****"/>
    <s v="0928000888,20108864#1"/>
    <s v=""/>
    <s v="臺北市"/>
    <s v="北投區"/>
    <s v="112"/>
    <s v="李*卉"/>
    <s v="賣家宅配：大型/超重物品運送"/>
    <s v=""/>
    <s v=""/>
    <s v="信用卡"/>
    <s v="2026-04-16 23:59"/>
    <s v="新竹物流8179135101"/>
    <s v="2026-04-15 20:57"/>
    <m/>
    <s v="2026-04-18 23:48"/>
    <s v=""/>
    <m/>
    <s v="學習周邊"/>
    <s v="蝦皮"/>
  </r>
  <r>
    <s v="260415V0257JK6"/>
    <x v="1"/>
    <s v="系統自動判定訂單不成立，原因 : 未收到款項"/>
    <s v=""/>
    <s v="n******9"/>
    <x v="14"/>
    <s v="829.00"/>
    <s v="0.00"/>
    <s v="0.00"/>
    <s v="0.00"/>
    <s v="0.00"/>
    <s v="0.00"/>
    <s v="0"/>
    <s v="0.00"/>
    <s v="BENE0420;DUJGGQNJ2"/>
    <s v="0.00"/>
    <s v="0.00"/>
    <s v="0.00"/>
    <s v="0.00"/>
    <s v="0.00"/>
    <s v="0.00"/>
    <s v="0"/>
    <s v="2.50%"/>
    <s v=""/>
    <x v="38"/>
    <s v="27054285598"/>
    <s v=""/>
    <s v="166553114962"/>
    <s v="27054285598_166553114962"/>
    <n v="899"/>
    <x v="40"/>
    <x v="52"/>
    <s v="20220H002"/>
    <n v="1"/>
    <s v="0"/>
    <s v="N"/>
    <s v="-"/>
    <s v="63******"/>
    <s v="****"/>
    <s v=""/>
    <s v=""/>
    <s v="雲林縣"/>
    <s v="虎尾鎮"/>
    <s v="632"/>
    <s v="廖*源"/>
    <s v="賣家宅配：大型/超重物品運送"/>
    <s v=""/>
    <s v=""/>
    <s v="信用卡"/>
    <s v=""/>
    <s v=""/>
    <s v="-"/>
    <m/>
    <s v=""/>
    <s v=""/>
    <m/>
    <s v="生活周邊"/>
    <s v="蝦皮"/>
  </r>
  <r>
    <s v="260415V2D0U8VP"/>
    <x v="6"/>
    <s v=""/>
    <s v=""/>
    <s v="q*****i"/>
    <x v="14"/>
    <s v="2848.00"/>
    <s v="0.00"/>
    <s v="0.00"/>
    <s v="0.00"/>
    <s v="2848.00"/>
    <s v="0.00"/>
    <s v="0"/>
    <s v="0.00"/>
    <s v="BENE0450;KAR6AEA4K"/>
    <s v="50.00"/>
    <s v="0.00"/>
    <s v="0.00"/>
    <s v="242.00"/>
    <s v="95.00"/>
    <s v="71.00"/>
    <s v="0"/>
    <s v="2.50%"/>
    <s v=""/>
    <x v="26"/>
    <s v="27555825378"/>
    <s v=""/>
    <s v="233018555454"/>
    <s v="27555825378_233018555454"/>
    <n v="300"/>
    <x v="41"/>
    <x v="32"/>
    <s v="2023FC809"/>
    <n v="1"/>
    <s v="0"/>
    <s v="N"/>
    <s v="-"/>
    <s v="80******"/>
    <s v="****"/>
    <s v="0928000888,57917301#1"/>
    <s v=""/>
    <s v="高雄市"/>
    <s v="前金區"/>
    <s v="801"/>
    <s v="王*蓉"/>
    <s v="賣家宅配：大型/超重物品運送"/>
    <s v=""/>
    <s v=""/>
    <s v="信用卡"/>
    <s v="2026-04-16 23:59"/>
    <s v="新竹物流8179135020"/>
    <s v="2026-04-15 23:04"/>
    <m/>
    <s v="2026-04-27 11:50"/>
    <s v=""/>
    <m/>
    <s v="學習周邊"/>
    <s v="蝦皮"/>
  </r>
  <r>
    <s v="260415V2D0U8VP"/>
    <x v="6"/>
    <s v=""/>
    <s v=""/>
    <s v="q*****i"/>
    <x v="14"/>
    <s v="2848.00"/>
    <s v="0.00"/>
    <s v="0.00"/>
    <s v="0.00"/>
    <s v="2848.00"/>
    <s v="0.00"/>
    <s v="0"/>
    <s v="0.00"/>
    <s v="BENE0450;KAR6AEA4K"/>
    <s v="50.00"/>
    <s v="0.00"/>
    <s v="0.00"/>
    <s v="242.00"/>
    <s v="95.00"/>
    <s v="71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******"/>
    <s v="****"/>
    <s v="0928000888,57917301#1"/>
    <s v=""/>
    <s v="高雄市"/>
    <s v="前金區"/>
    <s v="801"/>
    <s v="王*蓉"/>
    <s v="賣家宅配：大型/超重物品運送"/>
    <s v=""/>
    <s v=""/>
    <s v="信用卡"/>
    <s v="2026-04-16 23:59"/>
    <s v="新竹物流8179135020"/>
    <s v="2026-04-15 23:04"/>
    <m/>
    <s v="2026-04-27 11:50"/>
    <s v=""/>
    <m/>
    <s v="學習"/>
    <s v="蝦皮"/>
  </r>
  <r>
    <s v="260415V3P14D7B"/>
    <x v="6"/>
    <s v=""/>
    <s v=""/>
    <s v="b******c"/>
    <x v="14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36******"/>
    <s v="****"/>
    <s v="0928000888,40895827#1"/>
    <s v=""/>
    <s v="苗栗縣"/>
    <s v="三義鄉"/>
    <s v="367"/>
    <s v="李*宸"/>
    <s v="賣家宅配：大型/超重物品運送"/>
    <s v=""/>
    <s v=""/>
    <s v="信用卡"/>
    <s v="2026-04-16 23:59"/>
    <s v="新竹物流8179135090"/>
    <s v="2026-04-15 23:28"/>
    <m/>
    <s v="2026-05-02 15:16"/>
    <s v=""/>
    <m/>
    <s v="學習周邊"/>
    <s v="蝦皮"/>
  </r>
  <r>
    <s v="260415V5CGD8B3"/>
    <x v="3"/>
    <s v=""/>
    <s v=""/>
    <s v="w******9"/>
    <x v="14"/>
    <s v="2379.00"/>
    <s v="0.00"/>
    <s v="0.00"/>
    <s v="0.00"/>
    <s v="2379.00"/>
    <s v="0.00"/>
    <s v="0"/>
    <s v="0.00"/>
    <s v="BENE0420;KAR6AEA4K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970 花蓮縣花蓮市國慶里中山路一段3巷176號3樓之5 （同心圓宿舍）"/>
    <s v="****"/>
    <s v="0928000888,09972402#1"/>
    <s v=""/>
    <s v="花蓮縣"/>
    <s v="花蓮市"/>
    <s v="970"/>
    <s v="施尹婷"/>
    <s v="賣家宅配：大型/超重物品運送"/>
    <s v=""/>
    <s v=""/>
    <s v="信用卡"/>
    <s v="2026-04-16 23:59"/>
    <s v="新竹物流8179134961"/>
    <s v="2026-04-15 23:58"/>
    <m/>
    <s v=""/>
    <s v=""/>
    <m/>
    <s v="學習"/>
    <s v="蝦皮"/>
  </r>
  <r>
    <s v="260416VBE0N9F2"/>
    <x v="7"/>
    <s v=""/>
    <s v=""/>
    <s v="w******6"/>
    <x v="15"/>
    <s v="2318.00"/>
    <s v="0.00"/>
    <s v="0.00"/>
    <s v="0.00"/>
    <s v="2318.00"/>
    <s v="0.00"/>
    <s v="61"/>
    <s v="0.00"/>
    <s v="TKB2604CCB3;BENE0420"/>
    <s v="20.00"/>
    <s v="0.00"/>
    <s v="0.00"/>
    <s v="202.00"/>
    <s v="81.00"/>
    <s v="59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4******"/>
    <s v="****"/>
    <s v="0928000888,44769501#1"/>
    <s v=""/>
    <s v="臺南市"/>
    <s v="安定區"/>
    <s v="745"/>
    <s v="李*容"/>
    <s v="賣家宅配：大型/超重物品運送"/>
    <s v=""/>
    <s v=""/>
    <s v="信用卡分期付款"/>
    <s v="2026-04-17 23:59"/>
    <s v=""/>
    <s v="2026-04-16 01:46"/>
    <m/>
    <s v="2026-04-22 09:10"/>
    <s v=""/>
    <m/>
    <s v="學習"/>
    <s v="蝦皮"/>
  </r>
  <r>
    <s v="260416071Y0KRH"/>
    <x v="3"/>
    <s v=""/>
    <s v=""/>
    <s v="l******n"/>
    <x v="15"/>
    <s v="249.00"/>
    <s v="100.00"/>
    <s v="0.00"/>
    <s v="0.00"/>
    <s v="349.00"/>
    <s v="0.00"/>
    <s v="0"/>
    <s v="0.00"/>
    <s v="DUJGGQNJ2"/>
    <s v="0.00"/>
    <s v="0.00"/>
    <s v="50.00"/>
    <s v="25.00"/>
    <s v="19.00"/>
    <s v="10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710 臺南市永康區復國一路339之1號6樓之2"/>
    <s v="****"/>
    <s v="0928000888,13980980#1"/>
    <s v=""/>
    <s v="臺南市"/>
    <s v="永康區"/>
    <s v="710"/>
    <s v="來士翔"/>
    <s v="賣家宅配：大型/超重物品運送"/>
    <s v=""/>
    <s v=""/>
    <s v="信用卡"/>
    <s v="2026-04-17 23:59"/>
    <s v="新竹物流"/>
    <s v="2026-04-16 11:00"/>
    <m/>
    <s v=""/>
    <s v=""/>
    <m/>
    <s v="學習周邊"/>
    <s v="蝦皮"/>
  </r>
  <r>
    <s v="2604160DCNWDXV"/>
    <x v="3"/>
    <s v=""/>
    <s v=""/>
    <s v="s******6"/>
    <x v="15"/>
    <s v="3975.00"/>
    <s v="0.00"/>
    <s v="0.00"/>
    <s v="0.00"/>
    <s v="3975.00"/>
    <s v="0.00"/>
    <s v="0"/>
    <s v="0.00"/>
    <s v="BENE0450"/>
    <s v="50.00"/>
    <s v="0.00"/>
    <s v="0.00"/>
    <s v="338.00"/>
    <s v="129.00"/>
    <s v="99.00"/>
    <s v="0"/>
    <s v="2.50%"/>
    <s v=""/>
    <x v="19"/>
    <s v="26780776252"/>
    <s v="情緒管理"/>
    <s v="253328674405"/>
    <s v="26780776252_253328674405"/>
    <n v="375"/>
    <x v="25"/>
    <x v="27"/>
    <s v="20235C903"/>
    <n v="1"/>
    <s v="0"/>
    <s v="Y"/>
    <s v="3 件 4折"/>
    <s v="235 新北市中和區中原三街9號9樓"/>
    <s v="****"/>
    <s v="0928000888,37593735#1"/>
    <s v=""/>
    <s v="新北市"/>
    <s v="中和區"/>
    <s v="235"/>
    <s v="郭俊樺"/>
    <s v="賣家宅配：大型/超重物品運送"/>
    <s v=""/>
    <s v=""/>
    <s v="信用卡"/>
    <s v="2026-04-17 23:59"/>
    <s v="新竹物流"/>
    <s v="2026-04-16 12:53"/>
    <m/>
    <s v=""/>
    <s v=""/>
    <m/>
    <s v="學習周邊"/>
    <s v="蝦皮"/>
  </r>
  <r>
    <s v="2604160DCNWDXV"/>
    <x v="3"/>
    <s v=""/>
    <s v=""/>
    <s v="s******6"/>
    <x v="15"/>
    <s v="3975.00"/>
    <s v="0.00"/>
    <s v="0.00"/>
    <s v="0.00"/>
    <s v="3975.00"/>
    <s v="0.00"/>
    <s v="0"/>
    <s v="0.00"/>
    <s v="BENE0450"/>
    <s v="50.00"/>
    <s v="0.00"/>
    <s v="0.00"/>
    <s v="338.00"/>
    <s v="129.00"/>
    <s v="99.00"/>
    <s v="0"/>
    <s v="2.50%"/>
    <s v=""/>
    <x v="19"/>
    <s v="26780776252"/>
    <s v="正確的讀寫姿勢"/>
    <s v="253328674406"/>
    <s v="26780776252_253328674406"/>
    <n v="375"/>
    <x v="25"/>
    <x v="21"/>
    <s v="20245C905"/>
    <n v="1"/>
    <s v="0"/>
    <s v="Y"/>
    <s v="3 件 4折"/>
    <s v="235 新北市中和區中原三街9號9樓"/>
    <s v="****"/>
    <s v="0928000888,37593735#1"/>
    <s v=""/>
    <s v="新北市"/>
    <s v="中和區"/>
    <s v="235"/>
    <s v="郭俊樺"/>
    <s v="賣家宅配：大型/超重物品運送"/>
    <s v=""/>
    <s v=""/>
    <s v="信用卡"/>
    <s v="2026-04-17 23:59"/>
    <s v="新竹物流"/>
    <s v="2026-04-16 12:53"/>
    <m/>
    <s v=""/>
    <s v=""/>
    <m/>
    <s v="學習周邊"/>
    <s v="蝦皮"/>
  </r>
  <r>
    <s v="2604160DCNWDXV"/>
    <x v="3"/>
    <s v=""/>
    <s v=""/>
    <s v="s******6"/>
    <x v="15"/>
    <s v="3975.00"/>
    <s v="0.00"/>
    <s v="0.00"/>
    <s v="0.00"/>
    <s v="3975.00"/>
    <s v="0.00"/>
    <s v="0"/>
    <s v="0.00"/>
    <s v="BENE0450"/>
    <s v="50.00"/>
    <s v="0.00"/>
    <s v="0.00"/>
    <s v="338.00"/>
    <s v="129.00"/>
    <s v="99.00"/>
    <s v="0"/>
    <s v="2.50%"/>
    <s v=""/>
    <x v="19"/>
    <s v="26780776252"/>
    <s v="培養專注力"/>
    <s v="253328674407"/>
    <s v="26780776252_253328674407"/>
    <n v="375"/>
    <x v="25"/>
    <x v="22"/>
    <s v="20255CXAC"/>
    <n v="1"/>
    <s v="0"/>
    <s v="Y"/>
    <s v="3 件 4折"/>
    <s v="235 新北市中和區中原三街9號9樓"/>
    <s v="****"/>
    <s v="0928000888,37593735#1"/>
    <s v=""/>
    <s v="新北市"/>
    <s v="中和區"/>
    <s v="235"/>
    <s v="郭俊樺"/>
    <s v="賣家宅配：大型/超重物品運送"/>
    <s v=""/>
    <s v=""/>
    <s v="信用卡"/>
    <s v="2026-04-17 23:59"/>
    <s v="新竹物流"/>
    <s v="2026-04-16 12:53"/>
    <m/>
    <s v=""/>
    <s v=""/>
    <m/>
    <s v="學習周邊"/>
    <s v="蝦皮"/>
  </r>
  <r>
    <s v="2604160DCNWDXV"/>
    <x v="3"/>
    <s v=""/>
    <s v=""/>
    <s v="s******6"/>
    <x v="15"/>
    <s v="3975.00"/>
    <s v="0.00"/>
    <s v="0.00"/>
    <s v="0.00"/>
    <s v="3975.00"/>
    <s v="0.00"/>
    <s v="0"/>
    <s v="0.00"/>
    <s v="BENE0450"/>
    <s v="50.00"/>
    <s v="0.00"/>
    <s v="0.00"/>
    <s v="338.00"/>
    <s v="129.00"/>
    <s v="99.00"/>
    <s v="0"/>
    <s v="2.50%"/>
    <s v=""/>
    <x v="19"/>
    <s v="26780776252"/>
    <s v="小學幼兒園大不同"/>
    <s v="253328674404"/>
    <s v="26780776252_253328674404"/>
    <n v="375"/>
    <x v="30"/>
    <x v="26"/>
    <s v="20255CXAB"/>
    <n v="1"/>
    <s v="0"/>
    <s v="N"/>
    <s v="-"/>
    <s v="235 新北市中和區中原三街9號9樓"/>
    <s v="****"/>
    <s v="0928000888,37593735#1"/>
    <s v=""/>
    <s v="新北市"/>
    <s v="中和區"/>
    <s v="235"/>
    <s v="郭俊樺"/>
    <s v="賣家宅配：大型/超重物品運送"/>
    <s v=""/>
    <s v=""/>
    <s v="信用卡"/>
    <s v="2026-04-17 23:59"/>
    <s v="新竹物流"/>
    <s v="2026-04-16 12:53"/>
    <m/>
    <s v=""/>
    <s v=""/>
    <m/>
    <s v="學習周邊"/>
    <s v="蝦皮"/>
  </r>
  <r>
    <s v="2604160DCNWDXV"/>
    <x v="3"/>
    <s v=""/>
    <s v=""/>
    <s v="s******6"/>
    <x v="15"/>
    <s v="3975.00"/>
    <s v="0.00"/>
    <s v="0.00"/>
    <s v="0.00"/>
    <s v="3975.00"/>
    <s v="0.00"/>
    <s v="0"/>
    <s v="0.00"/>
    <s v="BENE0450"/>
    <s v="50.00"/>
    <s v="0.00"/>
    <s v="0.00"/>
    <s v="338.00"/>
    <s v="129.00"/>
    <s v="9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35 新北市中和區中原三街9號9樓"/>
    <s v="****"/>
    <s v="0928000888,37593735#1"/>
    <s v=""/>
    <s v="新北市"/>
    <s v="中和區"/>
    <s v="235"/>
    <s v="郭俊樺"/>
    <s v="賣家宅配：大型/超重物品運送"/>
    <s v=""/>
    <s v=""/>
    <s v="信用卡"/>
    <s v="2026-04-17 23:59"/>
    <s v="新竹物流"/>
    <s v="2026-04-16 12:53"/>
    <m/>
    <s v=""/>
    <s v=""/>
    <m/>
    <s v="學習"/>
    <s v="蝦皮"/>
  </r>
  <r>
    <s v="26041610B722MR"/>
    <x v="7"/>
    <s v=""/>
    <s v=""/>
    <s v="s******u"/>
    <x v="15"/>
    <s v="2559.00"/>
    <s v="0.00"/>
    <s v="0.00"/>
    <s v="0.00"/>
    <s v="2559.00"/>
    <s v="0.00"/>
    <s v="390"/>
    <s v="0.00"/>
    <s v="BENE0450;S5U3DJTMV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60******"/>
    <s v="****"/>
    <s v="0928000888,90452200#1"/>
    <s v=""/>
    <s v="嘉義市"/>
    <s v="東區"/>
    <s v="600"/>
    <s v="蘇*毓"/>
    <s v="賣家宅配：大型/超重物品運送"/>
    <s v=""/>
    <s v=""/>
    <s v="信用卡"/>
    <s v="2026-04-17 23:59"/>
    <s v=""/>
    <s v="2026-04-16 18:34"/>
    <m/>
    <s v="2026-04-23 00:30"/>
    <s v=""/>
    <m/>
    <s v="學習"/>
    <s v="蝦皮"/>
  </r>
  <r>
    <s v="26041617S82PG9"/>
    <x v="1"/>
    <s v="系統自動判定訂單不成立，原因 : 未收到款項"/>
    <s v=""/>
    <s v="l******w"/>
    <x v="15"/>
    <s v="3150.00"/>
    <s v="0.00"/>
    <s v="0.00"/>
    <s v="0.00"/>
    <s v="0.00"/>
    <s v="0.00"/>
    <s v="0"/>
    <s v="0.00"/>
    <s v="BENE0450"/>
    <s v="0.00"/>
    <s v="0.00"/>
    <s v="0.00"/>
    <s v="0.00"/>
    <s v="0.00"/>
    <s v="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40******"/>
    <s v="****"/>
    <s v=""/>
    <s v=""/>
    <s v="臺中市"/>
    <s v="南屯區"/>
    <s v="408"/>
    <s v="鄭*軒"/>
    <s v="賣家宅配：大型/超重物品運送"/>
    <s v=""/>
    <s v=""/>
    <s v="信用卡"/>
    <s v=""/>
    <s v=""/>
    <s v="-"/>
    <m/>
    <s v=""/>
    <s v=""/>
    <m/>
    <s v="學習"/>
    <s v="蝦皮"/>
  </r>
  <r>
    <s v="2604161HJF6UE5"/>
    <x v="7"/>
    <s v=""/>
    <s v=""/>
    <s v="g******2"/>
    <x v="15"/>
    <s v="2861.00"/>
    <s v="0.00"/>
    <s v="0.00"/>
    <s v="0.00"/>
    <s v="2861.00"/>
    <s v="0.00"/>
    <s v="37"/>
    <s v="0.00"/>
    <s v="MUM2604E;DUJGGQNJ2"/>
    <s v="0.00"/>
    <s v="0.00"/>
    <s v="100.00"/>
    <s v="255.00"/>
    <s v="100.00"/>
    <s v="75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94******"/>
    <s v="****"/>
    <s v="0928000888,91444247#1"/>
    <s v=""/>
    <s v="屏東縣"/>
    <s v="枋寮鄉"/>
    <s v="940"/>
    <s v="陳*妏"/>
    <s v="賣家宅配：大型/超重物品運送"/>
    <s v=""/>
    <s v=""/>
    <s v="信用卡"/>
    <s v="2026-04-17 23:59"/>
    <s v=""/>
    <s v="2026-04-16 23:41"/>
    <m/>
    <s v="2026-04-26 13:50"/>
    <s v=""/>
    <m/>
    <s v="學習"/>
    <s v="蝦皮"/>
  </r>
  <r>
    <s v="2604171KMEN21D"/>
    <x v="7"/>
    <s v=""/>
    <s v=""/>
    <s v="y******6"/>
    <x v="16"/>
    <s v="2379.00"/>
    <s v="0.00"/>
    <s v="0.00"/>
    <s v="0.00"/>
    <s v="2379.00"/>
    <s v="0.00"/>
    <s v="0"/>
    <s v="0.00"/>
    <s v="BENE0420;S5U3DJTMV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34062597#1"/>
    <s v=""/>
    <s v="臺中市"/>
    <s v="北屯區"/>
    <s v="406"/>
    <s v="余*真"/>
    <s v="賣家宅配：大型/超重物品運送"/>
    <s v=""/>
    <s v=""/>
    <s v="信用卡"/>
    <s v="2026-04-20 23:59"/>
    <s v="新竹物流8179140546"/>
    <s v="2026-04-17 00:18"/>
    <m/>
    <s v="2026-04-23 09:20"/>
    <s v=""/>
    <m/>
    <s v="學習"/>
    <s v="蝦皮"/>
  </r>
  <r>
    <s v="2604172SNA3WHR"/>
    <x v="3"/>
    <s v=""/>
    <s v=""/>
    <s v="p******3"/>
    <x v="16"/>
    <s v="3147.00"/>
    <s v="0.00"/>
    <s v="0.00"/>
    <s v="0.00"/>
    <s v="3147.00"/>
    <s v="0.00"/>
    <s v="0"/>
    <s v="0.00"/>
    <s v="BENE0450;S5U3DJTMV"/>
    <s v="50.00"/>
    <s v="0.00"/>
    <s v="0.00"/>
    <s v="267.00"/>
    <s v="104.00"/>
    <s v="79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302 新竹縣竹北市興隆路五段175號12樓"/>
    <s v="****"/>
    <s v="0928000888,15639478#1"/>
    <s v=""/>
    <s v="新竹縣"/>
    <s v="竹北市"/>
    <s v="302"/>
    <s v="吳丁屏"/>
    <s v="賣家宅配：大型/超重物品運送"/>
    <s v=""/>
    <s v=""/>
    <s v="信用卡"/>
    <s v="2026-04-20 23:59"/>
    <s v="新竹物流8179141353"/>
    <s v="2026-04-17 11:39"/>
    <m/>
    <s v=""/>
    <s v=""/>
    <m/>
    <s v="學習周邊"/>
    <s v="蝦皮"/>
  </r>
  <r>
    <s v="2604172SNA3WHR"/>
    <x v="3"/>
    <s v=""/>
    <s v=""/>
    <s v="p******3"/>
    <x v="16"/>
    <s v="3147.00"/>
    <s v="0.00"/>
    <s v="0.00"/>
    <s v="0.00"/>
    <s v="3147.00"/>
    <s v="0.00"/>
    <s v="0"/>
    <s v="0.00"/>
    <s v="BENE0450;S5U3DJTMV"/>
    <s v="50.00"/>
    <s v="0.00"/>
    <s v="0.00"/>
    <s v="267.00"/>
    <s v="104.00"/>
    <s v="79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02 新竹縣竹北市興隆路五段175號12樓"/>
    <s v="****"/>
    <s v="0928000888,15639478#1"/>
    <s v=""/>
    <s v="新竹縣"/>
    <s v="竹北市"/>
    <s v="302"/>
    <s v="吳丁屏"/>
    <s v="賣家宅配：大型/超重物品運送"/>
    <s v=""/>
    <s v=""/>
    <s v="信用卡"/>
    <s v="2026-04-20 23:59"/>
    <s v="新竹物流8179141353"/>
    <s v="2026-04-17 11:39"/>
    <m/>
    <s v=""/>
    <s v=""/>
    <m/>
    <s v="學習"/>
    <s v="蝦皮"/>
  </r>
  <r>
    <s v="2604172YYCXAA3"/>
    <x v="7"/>
    <s v=""/>
    <s v=""/>
    <s v="e******3"/>
    <x v="16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1******"/>
    <s v="****"/>
    <s v="0928000888,83944906#1"/>
    <s v=""/>
    <s v="臺南市"/>
    <s v="仁德區"/>
    <s v="717"/>
    <s v="詹*涵"/>
    <s v="賣家宅配：大型/超重物品運送"/>
    <s v=""/>
    <s v=""/>
    <s v="信用卡"/>
    <s v="2026-04-20 23:59"/>
    <s v="新竹物流8179140550"/>
    <s v="2026-04-17 13:31"/>
    <m/>
    <s v="2026-04-25 20:31"/>
    <s v=""/>
    <m/>
    <s v="學習"/>
    <s v="蝦皮"/>
  </r>
  <r>
    <s v="26041734BQRUY3"/>
    <x v="7"/>
    <s v=""/>
    <s v=""/>
    <s v="p******9"/>
    <x v="16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0******"/>
    <s v="****"/>
    <s v="0928000888,90540804#1"/>
    <s v=""/>
    <s v="高雄市"/>
    <s v="鼓山區"/>
    <s v="804"/>
    <s v="楊*䭲"/>
    <s v="賣家宅配：大型/超重物品運送"/>
    <s v=""/>
    <s v=""/>
    <s v="信用卡"/>
    <s v="2026-04-20 23:59"/>
    <s v="新竹物流8179140583"/>
    <s v="2026-04-17 14:50"/>
    <m/>
    <s v="2026-04-27 13:54"/>
    <s v=""/>
    <m/>
    <s v="學習"/>
    <s v="蝦皮"/>
  </r>
  <r>
    <s v="260417356XFMRP"/>
    <x v="3"/>
    <s v=""/>
    <s v=""/>
    <s v="f******n"/>
    <x v="16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111 臺北市士林區社新里環河北路3段203號5樓"/>
    <s v="****"/>
    <s v="0928000888,17952598#1"/>
    <s v=""/>
    <s v="臺北市"/>
    <s v="士林區"/>
    <s v="111"/>
    <s v="郭逸倫"/>
    <s v="賣家宅配：大型/超重物品運送"/>
    <s v=""/>
    <s v=""/>
    <s v="信用卡"/>
    <s v="2026-04-20 23:59"/>
    <s v="新竹物流8179141456"/>
    <s v="2026-04-17 15:04"/>
    <m/>
    <s v=""/>
    <s v=""/>
    <m/>
    <s v="學習周邊"/>
    <s v="蝦皮"/>
  </r>
  <r>
    <s v="260418436WAUW9"/>
    <x v="3"/>
    <s v=""/>
    <s v=""/>
    <s v="a******w"/>
    <x v="17"/>
    <s v="2113.00"/>
    <s v="0.00"/>
    <s v="0.00"/>
    <s v="0.00"/>
    <s v="2113.00"/>
    <s v="0.00"/>
    <s v="16"/>
    <s v="0.00"/>
    <s v="SVC-1397586481283272;TKB260418"/>
    <s v="20.00"/>
    <s v="0.00"/>
    <s v="25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11 臺中市太平區中山路三段67巷60弄1號"/>
    <s v="****"/>
    <s v="0928000888,90970561#1"/>
    <s v=""/>
    <s v="臺中市"/>
    <s v="太平區"/>
    <s v="411"/>
    <s v="蘇語彤"/>
    <s v="賣家宅配：大型/超重物品運送"/>
    <s v=""/>
    <s v=""/>
    <s v="信用卡"/>
    <s v="2026-04-20 23:59"/>
    <s v="新竹物流8179140620"/>
    <s v="2026-04-18 00:02"/>
    <m/>
    <s v=""/>
    <s v=""/>
    <m/>
    <s v="學習"/>
    <s v="蝦皮"/>
  </r>
  <r>
    <s v="26041843AFS69H"/>
    <x v="1"/>
    <s v="被買家取消，原因 : 修改訂單內容"/>
    <s v=""/>
    <s v="t******i"/>
    <x v="17"/>
    <s v="4249.00"/>
    <s v="0.00"/>
    <s v="0.00"/>
    <s v="0.00"/>
    <s v="0.00"/>
    <s v="0.00"/>
    <s v="0"/>
    <s v="0.00"/>
    <s v="D5RV3K85U;BENE0450"/>
    <s v="0.00"/>
    <s v="0.00"/>
    <s v="0.00"/>
    <s v="0.00"/>
    <s v="0.00"/>
    <s v="0.00"/>
    <s v="3"/>
    <s v="2.50%"/>
    <s v=""/>
    <x v="16"/>
    <s v="29710271443"/>
    <s v="(單套)"/>
    <s v="187914014572"/>
    <s v="29710271443_187914014572"/>
    <n v="5500"/>
    <x v="36"/>
    <x v="47"/>
    <s v="20240FA00"/>
    <n v="1"/>
    <s v="0"/>
    <s v="N"/>
    <s v="-"/>
    <s v="83******"/>
    <s v="****"/>
    <s v=""/>
    <s v=""/>
    <s v="高雄市"/>
    <s v="鳳山區"/>
    <s v="830"/>
    <s v="方*葶"/>
    <s v="賣家宅配：大型/超重物品運送"/>
    <s v=""/>
    <s v=""/>
    <s v="信用卡分期付款"/>
    <s v="2026-04-20 23:59"/>
    <s v=""/>
    <s v="2026-04-18 00:04"/>
    <m/>
    <s v=""/>
    <s v=""/>
    <m/>
    <s v="學習"/>
    <s v="蝦皮"/>
  </r>
  <r>
    <s v="26041843GWQ29H"/>
    <x v="7"/>
    <s v=""/>
    <s v=""/>
    <s v="s******n"/>
    <x v="17"/>
    <s v="2092.00"/>
    <s v="0.00"/>
    <s v="0.00"/>
    <s v="0.00"/>
    <s v="2092.00"/>
    <s v="0.00"/>
    <s v="1"/>
    <s v="0.00"/>
    <s v="SVC-1397586481283272;HM76Y4SLG"/>
    <s v="20.00"/>
    <s v="0.00"/>
    <s v="286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19652184#1"/>
    <s v=""/>
    <s v="新北市"/>
    <s v="林口區"/>
    <s v="244"/>
    <s v="簡*珊"/>
    <s v="賣家宅配：大型/超重物品運送"/>
    <s v=""/>
    <s v=""/>
    <s v="信用卡"/>
    <s v="2026-04-20 23:59"/>
    <s v="新竹物流8179140616"/>
    <s v="2026-04-18 00:07"/>
    <m/>
    <s v="2026-04-22 09:03"/>
    <s v=""/>
    <m/>
    <s v="學習"/>
    <s v="蝦皮"/>
  </r>
  <r>
    <s v="2604184419981J"/>
    <x v="7"/>
    <s v=""/>
    <s v=""/>
    <s v="b*****7"/>
    <x v="17"/>
    <s v="2828.00"/>
    <s v="0.00"/>
    <s v="0.00"/>
    <s v="0.00"/>
    <s v="2828.00"/>
    <s v="0.00"/>
    <s v="70"/>
    <s v="0.00"/>
    <s v="BENE0450;79XX35Q4L"/>
    <s v="50.00"/>
    <s v="0.00"/>
    <s v="252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3******"/>
    <s v="****"/>
    <s v="0928000888,09234756#1"/>
    <s v=""/>
    <s v="新北市"/>
    <s v="樹林區"/>
    <s v="238"/>
    <s v="王*宜"/>
    <s v="賣家宅配：大型/超重物品運送"/>
    <s v=""/>
    <s v=""/>
    <s v="信用卡"/>
    <s v="2026-04-20 23:59"/>
    <s v="新竹物流8179141515"/>
    <s v="2026-04-18 00:16"/>
    <m/>
    <s v="2026-04-30 14:22"/>
    <s v=""/>
    <m/>
    <s v="學習"/>
    <s v="蝦皮"/>
  </r>
  <r>
    <s v="260418462HTQFW"/>
    <x v="7"/>
    <s v=""/>
    <s v=""/>
    <s v="c*****s"/>
    <x v="17"/>
    <s v="3032.00"/>
    <s v="0.00"/>
    <s v="0.00"/>
    <s v="0.00"/>
    <s v="3032.00"/>
    <s v="0.00"/>
    <s v="118"/>
    <s v="0.00"/>
    <s v="BENE0450;DNXU95D5S"/>
    <s v="50.00"/>
    <s v="0.00"/>
    <s v="0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10******"/>
    <s v="****"/>
    <s v="0928000888,51019686#1"/>
    <s v=""/>
    <s v="臺北市"/>
    <s v="松山區"/>
    <s v="105"/>
    <s v="蔡*任"/>
    <s v="賣家宅配：大型/超重物品運送"/>
    <s v=""/>
    <s v=""/>
    <s v="信用卡"/>
    <s v="2026-04-20 23:59"/>
    <s v="新竹物流8179141493"/>
    <s v="2026-04-18 00:53"/>
    <m/>
    <s v="2026-04-21 22:22"/>
    <s v=""/>
    <m/>
    <s v="學習"/>
    <s v="蝦皮"/>
  </r>
  <r>
    <s v="260418489464YD"/>
    <x v="3"/>
    <s v=""/>
    <s v=""/>
    <s v="b******r"/>
    <x v="17"/>
    <s v="1178.00"/>
    <s v="0.00"/>
    <s v="0.00"/>
    <s v="0.00"/>
    <s v="1178.00"/>
    <s v="0.00"/>
    <s v="0"/>
    <s v="0.00"/>
    <s v="SVC-1397586481283272;XWHSJRV6V"/>
    <s v="20.00"/>
    <s v="0.00"/>
    <s v="200.00"/>
    <s v="114.00"/>
    <s v="51.00"/>
    <s v="3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717 臺南市仁德區德善路293號"/>
    <s v="****"/>
    <s v="0928000888,83039678#1"/>
    <s v=""/>
    <s v="臺南市"/>
    <s v="仁德區"/>
    <s v="717"/>
    <s v="沈怡君"/>
    <s v="賣家宅配：大型/超重物品運送"/>
    <s v=""/>
    <s v=""/>
    <s v="信用卡"/>
    <s v="2026-04-20 23:59"/>
    <s v="新竹物流8179141633"/>
    <s v="2026-04-18 01:32"/>
    <m/>
    <s v=""/>
    <s v=""/>
    <m/>
    <s v="學習周邊"/>
    <s v="蝦皮"/>
  </r>
  <r>
    <s v="260418489464YD"/>
    <x v="3"/>
    <s v=""/>
    <s v=""/>
    <s v="b******r"/>
    <x v="17"/>
    <s v="1178.00"/>
    <s v="0.00"/>
    <s v="0.00"/>
    <s v="0.00"/>
    <s v="1178.00"/>
    <s v="0.00"/>
    <s v="0"/>
    <s v="0.00"/>
    <s v="SVC-1397586481283272;XWHSJRV6V"/>
    <s v="20.00"/>
    <s v="0.00"/>
    <s v="200.00"/>
    <s v="114.00"/>
    <s v="51.00"/>
    <s v="34.00"/>
    <s v="0"/>
    <s v="2.50%"/>
    <s v=""/>
    <x v="37"/>
    <s v="44022645178"/>
    <s v=""/>
    <s v="281840860093"/>
    <s v="44022645178_281840860093"/>
    <n v="800"/>
    <x v="39"/>
    <x v="51"/>
    <s v="20252FA00"/>
    <n v="1"/>
    <s v="0"/>
    <s v="N"/>
    <s v="-"/>
    <s v="717 臺南市仁德區德善路293號"/>
    <s v="****"/>
    <s v="0928000888,83039678#1"/>
    <s v=""/>
    <s v="臺南市"/>
    <s v="仁德區"/>
    <s v="717"/>
    <s v="沈怡君"/>
    <s v="賣家宅配：大型/超重物品運送"/>
    <s v=""/>
    <s v=""/>
    <s v="信用卡"/>
    <s v="2026-04-20 23:59"/>
    <s v="新竹物流8179141633"/>
    <s v="2026-04-18 01:32"/>
    <m/>
    <s v=""/>
    <s v=""/>
    <m/>
    <s v="學習周邊"/>
    <s v="蝦皮"/>
  </r>
  <r>
    <s v="2604184A119KFU"/>
    <x v="3"/>
    <s v=""/>
    <s v=""/>
    <s v="a*****9"/>
    <x v="17"/>
    <s v="3909.00"/>
    <s v="0.00"/>
    <s v="0.00"/>
    <s v="0.00"/>
    <s v="3909.00"/>
    <s v="0.00"/>
    <s v="0"/>
    <s v="0.00"/>
    <s v="BENE0450;79XX35Q4L"/>
    <s v="50.00"/>
    <s v="0.00"/>
    <s v="340.00"/>
    <s v="361.00"/>
    <s v="137.00"/>
    <s v="106.00"/>
    <s v="0"/>
    <s v="2.50%"/>
    <s v=""/>
    <x v="16"/>
    <s v="29710271443"/>
    <s v="(單套)"/>
    <s v="187914014572"/>
    <s v="29710271443_187914014572"/>
    <n v="5500"/>
    <x v="36"/>
    <x v="47"/>
    <s v="20240FA00"/>
    <n v="1"/>
    <s v="0"/>
    <s v="N"/>
    <s v="-"/>
    <s v="807 高雄市三民區大順二路195之一 13樓（管理室代收）"/>
    <s v="****"/>
    <s v="0928000888,57224782#1"/>
    <s v=""/>
    <s v="高雄市"/>
    <s v="三民區"/>
    <s v="807"/>
    <s v="楊雅婷"/>
    <s v="賣家宅配：大型/超重物品運送"/>
    <s v=""/>
    <s v=""/>
    <s v="信用卡"/>
    <s v="2026-04-20 23:59"/>
    <s v="新竹物流8179141530"/>
    <s v="2026-04-18 02:06"/>
    <m/>
    <s v=""/>
    <s v=""/>
    <m/>
    <s v="學習"/>
    <s v="蝦皮"/>
  </r>
  <r>
    <s v="2604184BUGC066"/>
    <x v="3"/>
    <s v=""/>
    <s v=""/>
    <s v="b******1"/>
    <x v="17"/>
    <s v="1979.00"/>
    <s v="0.00"/>
    <s v="0.00"/>
    <s v="0.00"/>
    <s v="1979.00"/>
    <s v="0.00"/>
    <s v="0"/>
    <s v="0.00"/>
    <s v="SVC-1397586481283272;XWHSJRV6V"/>
    <s v="20.00"/>
    <s v="0.00"/>
    <s v="200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206 基隆市七堵區百福里福二街172巷10-4號5樓"/>
    <s v="****"/>
    <s v="0928000888,17079987#1"/>
    <s v=""/>
    <s v="基隆市"/>
    <s v="七堵區"/>
    <s v="206"/>
    <s v="林郁馨"/>
    <s v="賣家宅配：大型/超重物品運送"/>
    <s v=""/>
    <s v=""/>
    <s v="信用卡"/>
    <s v="2026-04-20 23:59"/>
    <s v="新竹物流8179141784"/>
    <s v="2026-04-18 02:36"/>
    <m/>
    <s v=""/>
    <s v=""/>
    <m/>
    <s v="學習"/>
    <s v="蝦皮"/>
  </r>
  <r>
    <s v="2604184CJENHH1"/>
    <x v="7"/>
    <s v=""/>
    <s v=""/>
    <s v="t******u"/>
    <x v="17"/>
    <s v="2318.00"/>
    <s v="0.00"/>
    <s v="0.00"/>
    <s v="0.00"/>
    <s v="2318.00"/>
    <s v="0.00"/>
    <s v="60"/>
    <s v="0.00"/>
    <s v="SVC-1397586481283272;XWHSJRV6V"/>
    <s v="20.00"/>
    <s v="0.00"/>
    <s v="20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87407331#1"/>
    <s v=""/>
    <s v="新北市"/>
    <s v="三峽區"/>
    <s v="237"/>
    <s v="林*瑜"/>
    <s v="賣家宅配：大型/超重物品運送"/>
    <s v=""/>
    <s v=""/>
    <s v="信用卡"/>
    <s v="2026-04-20 23:59"/>
    <s v="新竹物流8179141552"/>
    <s v="2026-04-18 02:50"/>
    <m/>
    <s v="2026-04-21 21:28"/>
    <s v=""/>
    <m/>
    <s v="學習"/>
    <s v="蝦皮"/>
  </r>
  <r>
    <s v="2604184QVE1STU"/>
    <x v="7"/>
    <s v=""/>
    <s v=""/>
    <s v="s******t"/>
    <x v="17"/>
    <s v="2747.00"/>
    <s v="0.00"/>
    <s v="0.00"/>
    <s v="0.00"/>
    <s v="2747.00"/>
    <s v="0.00"/>
    <s v="0"/>
    <s v="0.00"/>
    <s v="BENE0450;D5RV3K85U"/>
    <s v="50.00"/>
    <s v="0.00"/>
    <s v="0.00"/>
    <s v="233.00"/>
    <s v="92.00"/>
    <s v="69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30******"/>
    <s v="****"/>
    <s v="0928000888,98179512#1"/>
    <s v=""/>
    <s v="新竹市"/>
    <s v="東區"/>
    <s v="300"/>
    <s v="陳*竹"/>
    <s v="賣家宅配：大型/超重物品運送"/>
    <s v=""/>
    <s v=""/>
    <s v="信用卡"/>
    <s v="2026-04-20 23:59"/>
    <s v="新竹物流8179141600"/>
    <s v="2026-04-18 06:12"/>
    <m/>
    <s v="2026-04-22 00:04"/>
    <s v=""/>
    <m/>
    <s v="學習周邊"/>
    <s v="蝦皮"/>
  </r>
  <r>
    <s v="2604184QVE1STU"/>
    <x v="7"/>
    <s v=""/>
    <s v=""/>
    <s v="s******t"/>
    <x v="17"/>
    <s v="2747.00"/>
    <s v="0.00"/>
    <s v="0.00"/>
    <s v="0.00"/>
    <s v="2747.00"/>
    <s v="0.00"/>
    <s v="0"/>
    <s v="0.00"/>
    <s v="BENE0450;D5RV3K85U"/>
    <s v="50.00"/>
    <s v="0.00"/>
    <s v="0.00"/>
    <s v="233.00"/>
    <s v="92.00"/>
    <s v="69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0******"/>
    <s v="****"/>
    <s v="0928000888,98179512#1"/>
    <s v=""/>
    <s v="新竹市"/>
    <s v="東區"/>
    <s v="300"/>
    <s v="陳*竹"/>
    <s v="賣家宅配：大型/超重物品運送"/>
    <s v=""/>
    <s v=""/>
    <s v="信用卡"/>
    <s v="2026-04-20 23:59"/>
    <s v="新竹物流8179141600"/>
    <s v="2026-04-18 06:12"/>
    <m/>
    <s v="2026-04-22 00:04"/>
    <s v=""/>
    <m/>
    <s v="學習"/>
    <s v="蝦皮"/>
  </r>
  <r>
    <s v="2604184Y8BBJ8X"/>
    <x v="3"/>
    <s v=""/>
    <s v=""/>
    <s v="g******a"/>
    <x v="17"/>
    <s v="2179.00"/>
    <s v="0.00"/>
    <s v="0.00"/>
    <s v="0.00"/>
    <s v="2179.00"/>
    <s v="0.00"/>
    <s v="0"/>
    <s v="0.00"/>
    <s v="SVC-1397586481283272;XWHSJRV6V"/>
    <s v="20.00"/>
    <s v="0.00"/>
    <s v="2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64 宜蘭縣員山鄉金山西路145號"/>
    <s v="****"/>
    <s v="0928000888,89935653#1"/>
    <s v=""/>
    <s v="宜蘭縣"/>
    <s v="員山鄉"/>
    <s v="264"/>
    <s v="黃羽均"/>
    <s v="賣家宅配：大型/超重物品運送"/>
    <s v=""/>
    <s v=""/>
    <s v="信用卡"/>
    <s v="2026-04-20 23:59"/>
    <s v="新竹物流8179140653"/>
    <s v="2026-04-18 08:24"/>
    <m/>
    <s v=""/>
    <s v=""/>
    <m/>
    <s v="學習"/>
    <s v="蝦皮"/>
  </r>
  <r>
    <s v="26041850U59W1H"/>
    <x v="7"/>
    <s v=""/>
    <s v=""/>
    <s v="c******7"/>
    <x v="17"/>
    <s v="2179.00"/>
    <s v="0.00"/>
    <s v="0.00"/>
    <s v="0.00"/>
    <s v="2179.00"/>
    <s v="0.00"/>
    <s v="0"/>
    <s v="0.00"/>
    <s v="SVC-1397586481283272;XWHSJRV6V"/>
    <s v="20.00"/>
    <s v="0.00"/>
    <s v="2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08120526#1"/>
    <s v=""/>
    <s v="臺中市"/>
    <s v="南區"/>
    <s v="402"/>
    <s v="徐*貞"/>
    <s v="賣家宅配：大型/超重物品運送"/>
    <s v=""/>
    <s v=""/>
    <s v="信用卡"/>
    <s v="2026-04-20 23:59"/>
    <s v="新竹物流8179140664"/>
    <s v="2026-04-18 08:52"/>
    <m/>
    <s v="2026-04-21 22:41"/>
    <s v=""/>
    <m/>
    <s v="學習"/>
    <s v="蝦皮"/>
  </r>
  <r>
    <s v="2604185419K3EC"/>
    <x v="3"/>
    <s v=""/>
    <s v=""/>
    <s v="s******n"/>
    <x v="17"/>
    <s v="4370.00"/>
    <s v="0.00"/>
    <s v="0.00"/>
    <s v="0.00"/>
    <s v="4370.00"/>
    <s v="0.00"/>
    <s v="0"/>
    <s v="0.00"/>
    <s v="MUM2604E;79XX35Q4L"/>
    <s v="0.00"/>
    <s v="0.00"/>
    <s v="430.00"/>
    <s v="408.00"/>
    <s v="154.00"/>
    <s v="120.00"/>
    <s v="0"/>
    <s v="2.50%"/>
    <s v=""/>
    <x v="39"/>
    <s v="28255058293"/>
    <s v="(單購)"/>
    <s v="390543676089"/>
    <s v="28255058293_390543676089"/>
    <n v="6000"/>
    <x v="42"/>
    <x v="53"/>
    <s v="20230MY00"/>
    <n v="1"/>
    <s v="0"/>
    <s v="N"/>
    <s v="-"/>
    <s v="333 桃園市龜山區樂學三路71號13樓-2"/>
    <s v="****"/>
    <s v="0928000888,22712089#1"/>
    <s v=""/>
    <s v="桃園市"/>
    <s v="龜山區"/>
    <s v="333"/>
    <s v="黃書芸"/>
    <s v="賣家宅配：大型/超重物品運送"/>
    <s v=""/>
    <s v=""/>
    <s v="信用卡"/>
    <s v="2026-04-20 23:59"/>
    <s v="新竹物流8179141585"/>
    <s v="2026-04-18 09:49"/>
    <m/>
    <s v=""/>
    <s v=""/>
    <m/>
    <s v="學習"/>
    <s v="蝦皮"/>
  </r>
  <r>
    <s v="260418566MQVE2"/>
    <x v="7"/>
    <s v=""/>
    <s v=""/>
    <s v="h******r"/>
    <x v="17"/>
    <s v="2653.00"/>
    <s v="0.00"/>
    <s v="0.00"/>
    <s v="0.00"/>
    <s v="2653.00"/>
    <s v="0.00"/>
    <s v="1"/>
    <s v="0.00"/>
    <s v="BENE0450;4SVXZW5RB"/>
    <s v="50.00"/>
    <s v="0.00"/>
    <s v="295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65******"/>
    <s v="****"/>
    <s v="0928000888,95481720#1"/>
    <s v=""/>
    <s v="雲林縣"/>
    <s v="北港鎮"/>
    <s v="651"/>
    <s v="許*欣"/>
    <s v="賣家宅配：大型/超重物品運送"/>
    <s v=""/>
    <s v=""/>
    <s v="信用卡"/>
    <s v="2026-04-20 23:59"/>
    <s v="新竹物流8179141574"/>
    <s v="2026-04-18 10:28"/>
    <m/>
    <s v="2026-04-22 15:38"/>
    <s v=""/>
    <m/>
    <s v="學習"/>
    <s v="蝦皮"/>
  </r>
  <r>
    <s v="26041857EDXYVT"/>
    <x v="3"/>
    <s v=""/>
    <s v=""/>
    <s v="c*****6"/>
    <x v="17"/>
    <s v="859.00"/>
    <s v="0.00"/>
    <s v="0.00"/>
    <s v="0.00"/>
    <s v="859.00"/>
    <s v="0.00"/>
    <s v="0"/>
    <s v="0.00"/>
    <s v="SVC-1397586481283272;X3QCAVTZT"/>
    <s v="20.00"/>
    <s v="0.00"/>
    <s v="20.00"/>
    <s v="75.00"/>
    <s v="36.00"/>
    <s v="22.00"/>
    <s v="0"/>
    <s v="2.50%"/>
    <s v=""/>
    <x v="38"/>
    <s v="27054285598"/>
    <s v=""/>
    <s v="166553114962"/>
    <s v="27054285598_166553114962"/>
    <n v="899"/>
    <x v="40"/>
    <x v="52"/>
    <s v="20220H002"/>
    <n v="1"/>
    <s v="0"/>
    <s v="N"/>
    <s v="-"/>
    <s v="813 高雄市左營區果貿里果峰街12巷40號11樓"/>
    <s v="****"/>
    <s v="0928000888,01167847#1"/>
    <s v=""/>
    <s v="高雄市"/>
    <s v="左營區"/>
    <s v="813"/>
    <s v="吳苡歆"/>
    <s v="賣家宅配：大型/超重物品運送"/>
    <s v=""/>
    <s v=""/>
    <s v="信用卡"/>
    <s v="2026-04-20 23:59"/>
    <s v="新竹物流8179141541"/>
    <s v="2026-04-18 10:51"/>
    <m/>
    <s v=""/>
    <s v=""/>
    <m/>
    <s v="生活周邊"/>
    <s v="蝦皮"/>
  </r>
  <r>
    <s v="260418581CF8F8"/>
    <x v="7"/>
    <s v=""/>
    <s v=""/>
    <s v="c******8"/>
    <x v="17"/>
    <s v="2136.00"/>
    <s v="0.00"/>
    <s v="0.00"/>
    <s v="0.00"/>
    <s v="2136.00"/>
    <s v="0.00"/>
    <s v="5"/>
    <s v="0.00"/>
    <s v="SVC-1397586481283272;4SVXZW5RB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23471767#1"/>
    <s v=""/>
    <s v="新北市"/>
    <s v="三重區"/>
    <s v="241"/>
    <s v="林*欣"/>
    <s v="賣家宅配：大型/超重物品運送"/>
    <s v=""/>
    <s v=""/>
    <s v="信用卡"/>
    <s v="2026-04-20 23:59"/>
    <s v="新竹物流8179140686"/>
    <s v="2026-04-18 11:03"/>
    <m/>
    <s v="2026-04-24 08:14"/>
    <s v=""/>
    <m/>
    <s v="學習"/>
    <s v="蝦皮"/>
  </r>
  <r>
    <s v="26041858HQYQVE"/>
    <x v="7"/>
    <s v=""/>
    <s v=""/>
    <s v="g******5"/>
    <x v="17"/>
    <s v="926.00"/>
    <s v="0.00"/>
    <s v="0.00"/>
    <s v="0.00"/>
    <s v="926.00"/>
    <s v="0.00"/>
    <s v="3"/>
    <s v="0.00"/>
    <s v="SVC-1397586481283272;PY7EXCQVC"/>
    <s v="20.00"/>
    <s v="0.00"/>
    <s v="40.00"/>
    <s v="82.00"/>
    <s v="39.00"/>
    <s v="24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30******"/>
    <s v="****"/>
    <s v="0928000888,96897977#1"/>
    <s v=""/>
    <s v="新竹市"/>
    <s v="東區"/>
    <s v="300"/>
    <s v="陳*瑩"/>
    <s v="賣家宅配：大型/超重物品運送"/>
    <s v=""/>
    <s v=""/>
    <s v="信用卡"/>
    <s v="2026-04-20 23:59"/>
    <s v="新竹物流8179141110"/>
    <s v="2026-04-18 11:10"/>
    <m/>
    <s v="2026-04-22 08:28"/>
    <s v=""/>
    <m/>
    <s v="學習周邊"/>
    <s v="蝦皮"/>
  </r>
  <r>
    <s v="26041858HQYQVE"/>
    <x v="7"/>
    <s v=""/>
    <s v=""/>
    <s v="g******5"/>
    <x v="17"/>
    <s v="926.00"/>
    <s v="0.00"/>
    <s v="0.00"/>
    <s v="0.00"/>
    <s v="926.00"/>
    <s v="0.00"/>
    <s v="3"/>
    <s v="0.00"/>
    <s v="SVC-1397586481283272;PY7EXCQVC"/>
    <s v="20.00"/>
    <s v="0.00"/>
    <s v="40.00"/>
    <s v="82.00"/>
    <s v="39.00"/>
    <s v="24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30******"/>
    <s v="****"/>
    <s v="0928000888,96897977#1"/>
    <s v=""/>
    <s v="新竹市"/>
    <s v="東區"/>
    <s v="300"/>
    <s v="陳*瑩"/>
    <s v="賣家宅配：大型/超重物品運送"/>
    <s v=""/>
    <s v=""/>
    <s v="信用卡"/>
    <s v="2026-04-20 23:59"/>
    <s v="新竹物流8179141110"/>
    <s v="2026-04-18 11:10"/>
    <m/>
    <s v="2026-04-22 08:28"/>
    <s v=""/>
    <m/>
    <s v="學習周邊"/>
    <s v="蝦皮"/>
  </r>
  <r>
    <s v="260418591JEBF0"/>
    <x v="7"/>
    <s v=""/>
    <s v=""/>
    <s v="b***6"/>
    <x v="17"/>
    <s v="2991.00"/>
    <s v="0.00"/>
    <s v="0.00"/>
    <s v="0.00"/>
    <s v="2991.00"/>
    <s v="0.00"/>
    <s v="0"/>
    <s v="0.00"/>
    <s v="BENE0450;4SVXZW5RB"/>
    <s v="50.00"/>
    <s v="0.00"/>
    <s v="333.00"/>
    <s v="283.00"/>
    <s v="110.00"/>
    <s v="83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41******"/>
    <s v="****"/>
    <s v="0928000888,69747512#1"/>
    <s v=""/>
    <s v="臺中市"/>
    <s v="太平區"/>
    <s v="411"/>
    <s v="李*宣"/>
    <s v="賣家宅配：大型/超重物品運送"/>
    <s v=""/>
    <s v=""/>
    <s v="信用卡"/>
    <s v="2026-04-20 23:59"/>
    <s v="新竹物流8179141386"/>
    <s v="2026-04-18 11:19"/>
    <m/>
    <s v="2026-04-21 22:19"/>
    <s v=""/>
    <m/>
    <s v="學習"/>
    <s v="蝦皮"/>
  </r>
  <r>
    <s v="260418591JEBF0"/>
    <x v="7"/>
    <s v=""/>
    <s v=""/>
    <s v="b***6"/>
    <x v="17"/>
    <s v="2991.00"/>
    <s v="0.00"/>
    <s v="0.00"/>
    <s v="0.00"/>
    <s v="2991.00"/>
    <s v="0.00"/>
    <s v="0"/>
    <s v="0.00"/>
    <s v="BENE0450;4SVXZW5RB"/>
    <s v="50.00"/>
    <s v="0.00"/>
    <s v="333.00"/>
    <s v="283.00"/>
    <s v="110.00"/>
    <s v="83.00"/>
    <s v="0"/>
    <s v="2.50%"/>
    <s v=""/>
    <x v="21"/>
    <s v="49555184608"/>
    <s v="潛能大挑戰(合成)+貼紙"/>
    <s v="405475283658"/>
    <s v="49555184608_405475283658"/>
    <n v="375"/>
    <x v="30"/>
    <x v="24"/>
    <s v="20254CXAG"/>
    <n v="1"/>
    <s v="0"/>
    <s v="N"/>
    <s v="-"/>
    <s v="41******"/>
    <s v="****"/>
    <s v="0928000888,69747512#1"/>
    <s v=""/>
    <s v="臺中市"/>
    <s v="太平區"/>
    <s v="411"/>
    <s v="李*宣"/>
    <s v="賣家宅配：大型/超重物品運送"/>
    <s v=""/>
    <s v=""/>
    <s v="信用卡"/>
    <s v="2026-04-20 23:59"/>
    <s v="新竹物流8179141386"/>
    <s v="2026-04-18 11:19"/>
    <m/>
    <s v="2026-04-21 22:19"/>
    <s v=""/>
    <m/>
    <s v="學習周邊"/>
    <s v="蝦皮"/>
  </r>
  <r>
    <s v="26041859CS1CQU"/>
    <x v="7"/>
    <s v=""/>
    <s v=""/>
    <s v="t******3"/>
    <x v="17"/>
    <s v="2067.00"/>
    <s v="0.00"/>
    <s v="0.00"/>
    <s v="0.00"/>
    <s v="2067.00"/>
    <s v="0.00"/>
    <s v="0"/>
    <s v="0.00"/>
    <s v="MUM2604E;HM76Y4SLG"/>
    <s v="0.00"/>
    <s v="0.00"/>
    <s v="332.00"/>
    <s v="204.00"/>
    <s v="82.00"/>
    <s v="6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78615676#1"/>
    <s v=""/>
    <s v="新竹縣"/>
    <s v="竹北市"/>
    <s v="302"/>
    <s v="林*廷"/>
    <s v="賣家宅配：大型/超重物品運送"/>
    <s v=""/>
    <s v=""/>
    <s v="信用卡"/>
    <s v="2026-04-20 23:59"/>
    <s v="新竹物流8179140701"/>
    <s v="2026-04-18 11:26"/>
    <m/>
    <s v="2026-04-26 19:43"/>
    <s v=""/>
    <m/>
    <s v="學習"/>
    <s v="蝦皮"/>
  </r>
  <r>
    <s v="26041859KCPRNV"/>
    <x v="7"/>
    <s v=""/>
    <s v=""/>
    <s v="t******3"/>
    <x v="17"/>
    <s v="499.00"/>
    <s v="0.00"/>
    <s v="0.00"/>
    <s v="0.00"/>
    <s v="499.00"/>
    <s v="0.00"/>
    <s v="0"/>
    <s v="0.00"/>
    <s v="WQFCXQT8Q"/>
    <s v="0.00"/>
    <s v="0.00"/>
    <s v="100.00"/>
    <s v="51.00"/>
    <s v="28.00"/>
    <s v="15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30******"/>
    <s v="****"/>
    <s v="0928000888,18230164#1"/>
    <s v=""/>
    <s v="新竹縣"/>
    <s v="竹北市"/>
    <s v="302"/>
    <s v="林*廷"/>
    <s v="賣家宅配：大型/超重物品運送"/>
    <s v=""/>
    <s v=""/>
    <s v="信用卡"/>
    <s v="2026-04-20 23:59"/>
    <s v="新竹物流8179141132"/>
    <s v="2026-04-18 11:29"/>
    <m/>
    <s v="2026-04-26 19:43"/>
    <s v=""/>
    <m/>
    <s v="學習周邊"/>
    <s v="蝦皮"/>
  </r>
  <r>
    <s v="26041859WMR1MA"/>
    <x v="3"/>
    <s v=""/>
    <s v=""/>
    <s v="s******n"/>
    <x v="17"/>
    <s v="959.00"/>
    <s v="0.00"/>
    <s v="0.00"/>
    <s v="0.00"/>
    <s v="959.00"/>
    <s v="0.00"/>
    <s v="0"/>
    <s v="0.00"/>
    <s v="SVC-1397586481283272;X3QCAVTZT"/>
    <s v="20.00"/>
    <s v="0.00"/>
    <s v="2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231 新北市新店區行政街17巷14號4樓"/>
    <s v="****"/>
    <s v="0928000888,25102843#1"/>
    <s v=""/>
    <s v="新北市"/>
    <s v="新店區"/>
    <s v="231"/>
    <s v="林佑軒"/>
    <s v="賣家宅配：大型/超重物品運送"/>
    <s v=""/>
    <s v=""/>
    <s v="信用卡"/>
    <s v="2026-04-20 23:59"/>
    <s v="新竹物流8179141364"/>
    <s v="2026-04-18 11:35"/>
    <m/>
    <s v=""/>
    <s v=""/>
    <m/>
    <s v="學習周邊"/>
    <s v="蝦皮"/>
  </r>
  <r>
    <s v="26041859WVE963"/>
    <x v="7"/>
    <s v=""/>
    <s v=""/>
    <s v="a****3"/>
    <x v="17"/>
    <s v="2278.00"/>
    <s v="0.00"/>
    <s v="0.00"/>
    <s v="0.00"/>
    <s v="2278.00"/>
    <s v="0.00"/>
    <s v="0"/>
    <s v="0.00"/>
    <s v="SVC-1397586481283272;HM76Y4SLG"/>
    <s v="20.00"/>
    <s v="0.00"/>
    <s v="30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2******"/>
    <s v="****"/>
    <s v="0928000888,52492269#1"/>
    <s v=""/>
    <s v="新北市"/>
    <s v="汐止區"/>
    <s v="221"/>
    <s v="魏*芳"/>
    <s v="賣家宅配：大型/超重物品運送"/>
    <s v=""/>
    <s v=""/>
    <s v="信用卡"/>
    <s v="2026-04-20 23:59"/>
    <s v="新竹物流8179141401"/>
    <s v="2026-04-18 11:34"/>
    <m/>
    <s v="2026-04-21 19:29"/>
    <s v=""/>
    <m/>
    <s v="學習"/>
    <s v="蝦皮"/>
  </r>
  <r>
    <s v="2604185A3WYA5A"/>
    <x v="7"/>
    <s v=""/>
    <s v=""/>
    <s v="a******5"/>
    <x v="17"/>
    <s v="2653.00"/>
    <s v="0.00"/>
    <s v="0.00"/>
    <s v="0.00"/>
    <s v="2653.00"/>
    <s v="0.00"/>
    <s v="0"/>
    <s v="0.00"/>
    <s v="BENE0450;4SVXZW5RB"/>
    <s v="50.00"/>
    <s v="0.00"/>
    <s v="295.00"/>
    <s v="251.00"/>
    <s v="98.00"/>
    <s v="74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23******"/>
    <s v="****"/>
    <s v="0928000888,27348796#1"/>
    <s v=""/>
    <s v="新北市"/>
    <s v="鶯歌區"/>
    <s v="239"/>
    <s v="張*涵"/>
    <s v="賣家宅配：大型/超重物品運送"/>
    <s v=""/>
    <s v=""/>
    <s v="信用卡"/>
    <s v="2026-04-20 23:59"/>
    <s v="新竹物流8179141176"/>
    <s v="2026-04-18 11:38"/>
    <m/>
    <s v="2026-04-23 19:03"/>
    <s v=""/>
    <m/>
    <s v="學習周邊"/>
    <s v="蝦皮"/>
  </r>
  <r>
    <s v="2604185A3WYA5A"/>
    <x v="7"/>
    <s v=""/>
    <s v=""/>
    <s v="a******5"/>
    <x v="17"/>
    <s v="2653.00"/>
    <s v="0.00"/>
    <s v="0.00"/>
    <s v="0.00"/>
    <s v="2653.00"/>
    <s v="0.00"/>
    <s v="0"/>
    <s v="0.00"/>
    <s v="BENE0450;4SVXZW5RB"/>
    <s v="50.00"/>
    <s v="0.00"/>
    <s v="295.00"/>
    <s v="251.00"/>
    <s v="98.00"/>
    <s v="74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0928000888,27348796#1"/>
    <s v=""/>
    <s v="新北市"/>
    <s v="鶯歌區"/>
    <s v="239"/>
    <s v="張*涵"/>
    <s v="賣家宅配：大型/超重物品運送"/>
    <s v=""/>
    <s v=""/>
    <s v="信用卡"/>
    <s v="2026-04-20 23:59"/>
    <s v="新竹物流8179141176"/>
    <s v="2026-04-18 11:38"/>
    <m/>
    <s v="2026-04-23 19:03"/>
    <s v=""/>
    <m/>
    <s v="學習"/>
    <s v="蝦皮"/>
  </r>
  <r>
    <s v="2604185BR2YBSF"/>
    <x v="7"/>
    <s v=""/>
    <s v=""/>
    <s v="h******0"/>
    <x v="17"/>
    <s v="2093.00"/>
    <s v="0.00"/>
    <s v="0.00"/>
    <s v="0.00"/>
    <s v="2093.00"/>
    <s v="0.00"/>
    <s v="0"/>
    <s v="0.00"/>
    <s v="SVC-1397586481283272;HM76Y4SLG"/>
    <s v="20.00"/>
    <s v="0.00"/>
    <s v="286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21027108#1"/>
    <s v=""/>
    <s v="桃園市"/>
    <s v="蘆竹區"/>
    <s v="338"/>
    <s v="許*齡"/>
    <s v="賣家宅配：大型/超重物品運送"/>
    <s v=""/>
    <s v=""/>
    <s v="信用卡"/>
    <s v="2026-04-20 23:59"/>
    <s v="新竹物流8179140712"/>
    <s v="2026-04-18 12:07"/>
    <m/>
    <s v="2026-05-03 17:25"/>
    <s v=""/>
    <m/>
    <s v="學習"/>
    <s v="蝦皮"/>
  </r>
  <r>
    <s v="2604185D2X9RVT"/>
    <x v="7"/>
    <s v=""/>
    <s v=""/>
    <s v="f******0"/>
    <x v="17"/>
    <s v="2278.00"/>
    <s v="0.00"/>
    <s v="0.00"/>
    <s v="0.00"/>
    <s v="2278.00"/>
    <s v="0.00"/>
    <s v="0"/>
    <s v="0.00"/>
    <s v="SVC-1397586481283272;HM76Y4SLG"/>
    <s v="20.00"/>
    <s v="0.00"/>
    <s v="30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0******"/>
    <s v="****"/>
    <s v="0928000888,93803079#1"/>
    <s v=""/>
    <s v="臺北市"/>
    <s v="中正區"/>
    <s v="100"/>
    <s v="許*仁"/>
    <s v="賣家宅配：大型/超重物品運送"/>
    <s v=""/>
    <s v=""/>
    <s v="信用卡"/>
    <s v="2026-04-20 23:59"/>
    <s v="新竹物流8179141213"/>
    <s v="2026-04-18 12:31"/>
    <m/>
    <s v="2026-05-01 10:28"/>
    <s v=""/>
    <m/>
    <s v="學習"/>
    <s v="蝦皮"/>
  </r>
  <r>
    <s v="2604185E9TUEKX"/>
    <x v="7"/>
    <s v=""/>
    <s v=""/>
    <s v="n******9"/>
    <x v="17"/>
    <s v="829.00"/>
    <s v="0.00"/>
    <s v="0.00"/>
    <s v="0.00"/>
    <s v="829.00"/>
    <s v="0.00"/>
    <s v="0"/>
    <s v="0.00"/>
    <s v="SVC-1397586481283272;DUJGGQNJ2"/>
    <s v="20.00"/>
    <s v="0.00"/>
    <s v="50.00"/>
    <s v="75.00"/>
    <s v="36.00"/>
    <s v="22.00"/>
    <s v="0"/>
    <s v="2.50%"/>
    <s v=""/>
    <x v="38"/>
    <s v="27054285598"/>
    <s v=""/>
    <s v="166553114962"/>
    <s v="27054285598_166553114962"/>
    <n v="899"/>
    <x v="40"/>
    <x v="52"/>
    <s v="20220H002"/>
    <n v="1"/>
    <s v="0"/>
    <s v="N"/>
    <s v="-"/>
    <s v="63******"/>
    <s v="****"/>
    <s v="0928000888,04395439#1"/>
    <s v=""/>
    <s v="雲林縣"/>
    <s v="虎尾鎮"/>
    <s v="632"/>
    <s v="廖*源"/>
    <s v="賣家宅配：大型/超重物品運送"/>
    <s v=""/>
    <s v=""/>
    <s v="信用卡"/>
    <s v="2026-04-20 23:59"/>
    <s v="新竹物流8179141235"/>
    <s v="2026-04-18 12:53"/>
    <m/>
    <s v="2026-04-21 18:52"/>
    <s v=""/>
    <m/>
    <s v="生活周邊"/>
    <s v="蝦皮"/>
  </r>
  <r>
    <s v="2604185H83B0SA"/>
    <x v="3"/>
    <s v=""/>
    <s v=""/>
    <s v="z****1"/>
    <x v="17"/>
    <s v="1934.00"/>
    <s v="0.00"/>
    <s v="0.00"/>
    <s v="0.00"/>
    <s v="1934.00"/>
    <s v="0.00"/>
    <s v="0"/>
    <s v="0.00"/>
    <s v="MUM2604E;4SVXZW5RB"/>
    <s v="0.00"/>
    <s v="0.00"/>
    <s v="265.00"/>
    <s v="187.00"/>
    <s v="76.00"/>
    <s v="55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324 桃園市平鎮區文心路118號2樓"/>
    <s v="****"/>
    <s v="0928000888,40417985#1"/>
    <s v=""/>
    <s v="桃園市"/>
    <s v="平鎮區"/>
    <s v="324"/>
    <s v="陳至柔"/>
    <s v="賣家宅配：大型/超重物品運送"/>
    <s v=""/>
    <s v=""/>
    <s v="信用卡"/>
    <s v="2026-04-20 23:59"/>
    <s v="新竹物流8179141434"/>
    <s v="2026-04-18 13:46"/>
    <m/>
    <s v=""/>
    <s v=""/>
    <m/>
    <s v="學習"/>
    <s v="蝦皮"/>
  </r>
  <r>
    <s v="2604185HB9B6CT"/>
    <x v="1"/>
    <s v="被買家取消，原因 : 改變心意(例如:不想買了,發現更便宜的價格....)"/>
    <s v=""/>
    <s v="m******8"/>
    <x v="17"/>
    <s v="2646.00"/>
    <s v="0.00"/>
    <s v="0.00"/>
    <s v="0.00"/>
    <s v="0.00"/>
    <s v="0.00"/>
    <s v="7"/>
    <s v="0.00"/>
    <s v="MUM2604E;4SVXZW5RB"/>
    <s v="0.00"/>
    <s v="0.00"/>
    <s v="0.00"/>
    <s v="0.00"/>
    <s v="0.00"/>
    <s v="0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24******"/>
    <s v="****"/>
    <s v=""/>
    <s v=""/>
    <s v="新北市"/>
    <s v="三重區"/>
    <s v="241"/>
    <s v="林*雪"/>
    <s v="賣家宅配：大型/超重物品運送"/>
    <s v=""/>
    <s v=""/>
    <s v="信用卡"/>
    <s v="2026-04-20 23:59"/>
    <s v=""/>
    <s v="2026-04-18 13:47"/>
    <m/>
    <s v=""/>
    <s v=""/>
    <m/>
    <s v="學習"/>
    <s v="蝦皮"/>
  </r>
  <r>
    <s v="2604185JG0A999"/>
    <x v="3"/>
    <s v=""/>
    <s v=""/>
    <s v="q*****3"/>
    <x v="17"/>
    <s v="4365.00"/>
    <s v="0.00"/>
    <s v="0.00"/>
    <s v="0.00"/>
    <s v="4365.00"/>
    <s v="0.00"/>
    <s v="0"/>
    <s v="0.00"/>
    <s v="BENE0450;4SVXZW5RB"/>
    <s v="50.00"/>
    <s v="0.00"/>
    <s v="485.00"/>
    <s v="412.00"/>
    <s v="156.00"/>
    <s v="12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104 臺北市中山區合江街17巷11號4樓"/>
    <s v="****"/>
    <s v="0928000888,87320020#1"/>
    <s v=""/>
    <s v="臺北市"/>
    <s v="中山區"/>
    <s v="104"/>
    <s v="李茜蓉"/>
    <s v="賣家宅配：大型/超重物品運送"/>
    <s v=""/>
    <s v=""/>
    <s v="信用卡"/>
    <s v="2026-04-20 23:59"/>
    <s v="新竹物流8179141471"/>
    <s v="2026-04-18 14:08"/>
    <m/>
    <s v=""/>
    <s v=""/>
    <m/>
    <s v="學習"/>
    <s v="蝦皮"/>
  </r>
  <r>
    <s v="2604185M1YN613"/>
    <x v="3"/>
    <s v=""/>
    <s v=""/>
    <s v="g******1"/>
    <x v="17"/>
    <s v="2835.00"/>
    <s v="0.00"/>
    <s v="0.00"/>
    <s v="0.00"/>
    <s v="2835.00"/>
    <s v="0.00"/>
    <s v="0"/>
    <s v="0.00"/>
    <s v="BENE0450;4SVXZW5RB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20 桃園市中壢區龍和二街376號3樓"/>
    <s v="****"/>
    <s v="0928000888,82783949#1"/>
    <s v=""/>
    <s v="桃園市"/>
    <s v="中壢區"/>
    <s v="320"/>
    <s v="卓芸伊"/>
    <s v="賣家宅配：大型/超重物品運送"/>
    <s v=""/>
    <s v=""/>
    <s v="信用卡"/>
    <s v="2026-04-20 23:59"/>
    <s v="新竹物流8179141423"/>
    <s v="2026-04-18 14:36"/>
    <m/>
    <s v=""/>
    <s v=""/>
    <m/>
    <s v="學習"/>
    <s v="蝦皮"/>
  </r>
  <r>
    <s v="2604185MHBPKK7"/>
    <x v="3"/>
    <s v=""/>
    <s v=""/>
    <s v="h****6"/>
    <x v="17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640 雲林縣斗六市大學路三段123號雲科大學生宿舍G706-1何珮綺M11456012收"/>
    <s v="****"/>
    <s v="0928000888,72385306#1"/>
    <s v=""/>
    <s v="雲林縣"/>
    <s v="斗六市"/>
    <s v="640"/>
    <s v="何珮綺"/>
    <s v="賣家宅配：大型/超重物品運送"/>
    <s v=""/>
    <s v=""/>
    <s v="信用卡"/>
    <s v="2026-04-20 23:59"/>
    <s v="新竹物流8179141154"/>
    <s v="2026-04-18 14:44"/>
    <m/>
    <s v=""/>
    <s v=""/>
    <m/>
    <s v="學習周邊"/>
    <s v="蝦皮"/>
  </r>
  <r>
    <s v="2604185NNS425S"/>
    <x v="3"/>
    <s v=""/>
    <s v=""/>
    <s v="v******g"/>
    <x v="17"/>
    <s v="4994.00"/>
    <s v="0.00"/>
    <s v="0.00"/>
    <s v="0.00"/>
    <s v="4994.00"/>
    <s v="0.00"/>
    <s v="0"/>
    <s v="0.00"/>
    <s v="BENE0450;4SVXZW5RB"/>
    <s v="50.00"/>
    <s v="0.00"/>
    <s v="555.00"/>
    <s v="472.00"/>
    <s v="176.00"/>
    <s v="139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112 臺北市北投區西安街2段121號"/>
    <s v="****"/>
    <s v="0928000888,46025496#1"/>
    <s v=""/>
    <s v="臺北市"/>
    <s v="北投區"/>
    <s v="112"/>
    <s v="嶺瑤蓉"/>
    <s v="賣家宅配：大型/超重物品運送"/>
    <s v=""/>
    <s v=""/>
    <s v="信用卡"/>
    <s v="2026-04-20 23:59"/>
    <s v="新竹物流8179140933"/>
    <s v="2026-04-18 15:05"/>
    <m/>
    <s v=""/>
    <s v=""/>
    <m/>
    <s v="學習周邊"/>
    <s v="蝦皮"/>
  </r>
  <r>
    <s v="2604185NNS425S"/>
    <x v="3"/>
    <s v=""/>
    <s v=""/>
    <s v="v******g"/>
    <x v="17"/>
    <s v="4994.00"/>
    <s v="0.00"/>
    <s v="0.00"/>
    <s v="0.00"/>
    <s v="4994.00"/>
    <s v="0.00"/>
    <s v="0"/>
    <s v="0.00"/>
    <s v="BENE0450;4SVXZW5RB"/>
    <s v="50.00"/>
    <s v="0.00"/>
    <s v="555.00"/>
    <s v="472.00"/>
    <s v="176.00"/>
    <s v="139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112 臺北市北投區西安街2段121號"/>
    <s v="****"/>
    <s v="0928000888,46025496#1"/>
    <s v=""/>
    <s v="臺北市"/>
    <s v="北投區"/>
    <s v="112"/>
    <s v="嶺瑤蓉"/>
    <s v="賣家宅配：大型/超重物品運送"/>
    <s v=""/>
    <s v=""/>
    <s v="信用卡"/>
    <s v="2026-04-20 23:59"/>
    <s v="新竹物流8179140933"/>
    <s v="2026-04-18 15:05"/>
    <m/>
    <s v=""/>
    <s v=""/>
    <m/>
    <s v="學習"/>
    <s v="蝦皮"/>
  </r>
  <r>
    <s v="2604185PD8JJCE"/>
    <x v="3"/>
    <s v=""/>
    <s v=""/>
    <s v="l****a"/>
    <x v="17"/>
    <s v="979.00"/>
    <s v="0.00"/>
    <s v="0.00"/>
    <s v="0.00"/>
    <s v="979.00"/>
    <s v="0.00"/>
    <s v="0"/>
    <s v="0.00"/>
    <s v="SVC-1397586481283272;NVAMFG8H2"/>
    <s v="20.00"/>
    <s v="0.00"/>
    <s v="200.00"/>
    <s v="100.00"/>
    <s v="45.00"/>
    <s v="29.00"/>
    <s v="0"/>
    <s v="2.50%"/>
    <s v=""/>
    <x v="40"/>
    <s v="44908808383"/>
    <s v=""/>
    <s v="277535675661"/>
    <s v="44908808383_277535675661"/>
    <n v="1199"/>
    <x v="43"/>
    <x v="54"/>
    <s v="20260H001"/>
    <n v="1"/>
    <s v="0"/>
    <s v="N"/>
    <s v="-"/>
    <s v="100 臺北市中正區金山南路一段110巷29號2樓"/>
    <s v="****"/>
    <s v="0928000888,63374820#1"/>
    <s v=""/>
    <s v="臺北市"/>
    <s v="中正區"/>
    <s v="100"/>
    <s v="楊小姐"/>
    <s v="賣家宅配：大型/超重物品運送"/>
    <s v=""/>
    <s v=""/>
    <s v="信用卡"/>
    <s v="2026-04-20 23:59"/>
    <s v="新竹物流8179141084"/>
    <s v="2026-04-18 15:18"/>
    <m/>
    <s v=""/>
    <s v=""/>
    <m/>
    <s v="生活周邊"/>
    <s v="蝦皮"/>
  </r>
  <r>
    <s v="2604185PQ1D965"/>
    <x v="1"/>
    <s v="被買家取消，原因 : 需要修改收貨地址"/>
    <s v=""/>
    <s v="s******4"/>
    <x v="17"/>
    <s v="2320.00"/>
    <s v="0.00"/>
    <s v="0.00"/>
    <s v="0.00"/>
    <s v="0.00"/>
    <s v="0.00"/>
    <s v="0"/>
    <s v="0.00"/>
    <s v="SVC-1397586481283272;4SVXZW5RB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3******"/>
    <s v="****"/>
    <s v=""/>
    <s v=""/>
    <s v="桃園市"/>
    <s v="桃園區"/>
    <s v="330"/>
    <s v="王*茜"/>
    <s v="賣家宅配：大型/超重物品運送"/>
    <s v=""/>
    <s v=""/>
    <s v="信用卡"/>
    <s v=""/>
    <s v=""/>
    <s v="-"/>
    <m/>
    <s v=""/>
    <s v=""/>
    <m/>
    <s v="學習"/>
    <s v="蝦皮"/>
  </r>
  <r>
    <s v="2604185R3H90P0"/>
    <x v="7"/>
    <s v=""/>
    <s v=""/>
    <s v="l******0"/>
    <x v="17"/>
    <s v="906.00"/>
    <s v="0.00"/>
    <s v="0.00"/>
    <s v="0.00"/>
    <s v="906.00"/>
    <s v="0.00"/>
    <s v="73"/>
    <s v="0.00"/>
    <s v="NVAMFG8H2;SVC-1397586481283272"/>
    <s v="20.00"/>
    <s v="0.00"/>
    <s v="200.00"/>
    <s v="100.00"/>
    <s v="45.00"/>
    <s v="29.00"/>
    <s v="0"/>
    <s v="2.50%"/>
    <s v=""/>
    <x v="40"/>
    <s v="44908808383"/>
    <s v=""/>
    <s v="277535675661"/>
    <s v="44908808383_277535675661"/>
    <n v="1199"/>
    <x v="43"/>
    <x v="54"/>
    <s v="20260H001"/>
    <n v="1"/>
    <s v="0"/>
    <s v="N"/>
    <s v="-"/>
    <s v="32******"/>
    <s v="****"/>
    <s v="0928000888,95930481#1"/>
    <s v=""/>
    <s v="桃園市"/>
    <s v="平鎮區"/>
    <s v="324"/>
    <s v="林*築"/>
    <s v="賣家宅配：大型/超重物品運送"/>
    <s v=""/>
    <s v=""/>
    <s v="信用卡"/>
    <s v="2026-04-20 23:59"/>
    <s v="新竹物流8179141062"/>
    <s v="2026-04-18 15:48"/>
    <m/>
    <s v="2026-04-27 00:20"/>
    <s v=""/>
    <m/>
    <s v="生活周邊"/>
    <s v="蝦皮"/>
  </r>
  <r>
    <s v="2604185R5WH22T"/>
    <x v="7"/>
    <s v=""/>
    <s v=""/>
    <s v="l******0"/>
    <x v="17"/>
    <s v="879.00"/>
    <s v="0.00"/>
    <s v="0.00"/>
    <s v="0.00"/>
    <s v="879.00"/>
    <s v="0.00"/>
    <s v="0"/>
    <s v="0.00"/>
    <s v="XWHSJRV6V;BENE0420"/>
    <s v="20.00"/>
    <s v="0.00"/>
    <s v="200.00"/>
    <s v="92.00"/>
    <s v="42.00"/>
    <s v="27.00"/>
    <s v="0"/>
    <s v="2.50%"/>
    <s v=""/>
    <x v="41"/>
    <s v="56858787264"/>
    <s v=""/>
    <s v="287535444152"/>
    <s v="56858787264_287535444152"/>
    <n v="1099"/>
    <x v="2"/>
    <x v="55"/>
    <s v="20260H002"/>
    <n v="1"/>
    <s v="0"/>
    <s v="N"/>
    <s v="-"/>
    <s v="32******"/>
    <s v="****"/>
    <s v="0928000888,53848184#1"/>
    <s v=""/>
    <s v="桃園市"/>
    <s v="平鎮區"/>
    <s v="324"/>
    <s v="林*築"/>
    <s v="賣家宅配：大型/超重物品運送"/>
    <s v=""/>
    <s v=""/>
    <s v="信用卡"/>
    <s v="2026-04-20 23:59"/>
    <s v="新竹物流8179141025"/>
    <s v="2026-04-18 15:50"/>
    <m/>
    <s v="2026-04-27 00:20"/>
    <s v=""/>
    <m/>
    <s v="生活周邊"/>
    <s v="蝦皮"/>
  </r>
  <r>
    <s v="2604185RY75F0V"/>
    <x v="3"/>
    <s v=""/>
    <s v=""/>
    <s v="j*****a"/>
    <x v="17"/>
    <s v="4365.00"/>
    <s v="0.00"/>
    <s v="0.00"/>
    <s v="0.00"/>
    <s v="4365.00"/>
    <s v="0.00"/>
    <s v="0"/>
    <s v="0.00"/>
    <s v="4SVXZW5RB;BENE0450"/>
    <s v="50.00"/>
    <s v="0.00"/>
    <s v="485.00"/>
    <s v="412.00"/>
    <s v="156.00"/>
    <s v="12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406 臺中市北屯區太和一街135號3樓"/>
    <s v="****"/>
    <s v="0928000888,24289326#1"/>
    <s v=""/>
    <s v="臺中市"/>
    <s v="北屯區"/>
    <s v="406"/>
    <s v="洪佳醇"/>
    <s v="賣家宅配：大型/超重物品運送"/>
    <s v=""/>
    <s v=""/>
    <s v="信用卡"/>
    <s v="2026-04-20 23:59"/>
    <s v="新竹物流8179140992"/>
    <s v="2026-04-18 16:04"/>
    <m/>
    <s v=""/>
    <s v=""/>
    <m/>
    <s v="學習"/>
    <s v="蝦皮"/>
  </r>
  <r>
    <s v="2604185S37Y0B8"/>
    <x v="7"/>
    <s v=""/>
    <s v=""/>
    <s v="j****l"/>
    <x v="17"/>
    <s v="2661.00"/>
    <s v="0.00"/>
    <s v="0.00"/>
    <s v="0.00"/>
    <s v="2661.00"/>
    <s v="0.00"/>
    <s v="174"/>
    <s v="0.00"/>
    <s v="BENE0450;4SVXZW5RB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11821554#1"/>
    <s v=""/>
    <s v="新竹縣"/>
    <s v="湖口鄉"/>
    <s v="303"/>
    <s v="邱*聆"/>
    <s v="賣家宅配：大型/超重物品運送"/>
    <s v=""/>
    <s v=""/>
    <s v="信用卡"/>
    <s v="2026-04-20 23:59"/>
    <s v="新竹物流8179140981"/>
    <s v="2026-04-18 16:06"/>
    <m/>
    <s v="2026-04-28 11:45"/>
    <s v=""/>
    <m/>
    <s v="學習"/>
    <s v="蝦皮"/>
  </r>
  <r>
    <s v="2604185Y6EGQCG"/>
    <x v="7"/>
    <s v=""/>
    <s v=""/>
    <s v="l******7"/>
    <x v="17"/>
    <s v="469.00"/>
    <s v="0.00"/>
    <s v="0.00"/>
    <s v="0.00"/>
    <s v="469.00"/>
    <s v="0.00"/>
    <s v="0"/>
    <s v="0.00"/>
    <s v="PY7EXCQVC"/>
    <s v="0.00"/>
    <s v="0.00"/>
    <s v="40.00"/>
    <s v="43.00"/>
    <s v="25.00"/>
    <s v="13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51******"/>
    <s v="****"/>
    <s v="0928000888,67516487#1"/>
    <s v=""/>
    <s v="彰化縣"/>
    <s v="員林市"/>
    <s v="510"/>
    <s v="林*嘉"/>
    <s v="賣家宅配：大型/超重物品運送"/>
    <s v=""/>
    <s v=""/>
    <s v="信用卡"/>
    <s v="2026-04-20 23:59"/>
    <s v="新竹物流8179140944"/>
    <s v="2026-04-18 17:55"/>
    <m/>
    <s v="2026-04-27 17:26"/>
    <s v=""/>
    <m/>
    <s v="學習周邊"/>
    <s v="蝦皮"/>
  </r>
  <r>
    <s v="2604185Y6EGQCG"/>
    <x v="7"/>
    <s v=""/>
    <s v=""/>
    <s v="l******7"/>
    <x v="17"/>
    <s v="469.00"/>
    <s v="0.00"/>
    <s v="0.00"/>
    <s v="0.00"/>
    <s v="469.00"/>
    <s v="0.00"/>
    <s v="0"/>
    <s v="0.00"/>
    <s v="PY7EXCQVC"/>
    <s v="0.00"/>
    <s v="0.00"/>
    <s v="40.00"/>
    <s v="43.00"/>
    <s v="25.00"/>
    <s v="13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51******"/>
    <s v="****"/>
    <s v="0928000888,67516487#1"/>
    <s v=""/>
    <s v="彰化縣"/>
    <s v="員林市"/>
    <s v="510"/>
    <s v="林*嘉"/>
    <s v="賣家宅配：大型/超重物品運送"/>
    <s v=""/>
    <s v=""/>
    <s v="信用卡"/>
    <s v="2026-04-20 23:59"/>
    <s v="新竹物流8179140944"/>
    <s v="2026-04-18 17:55"/>
    <m/>
    <s v="2026-04-27 17:26"/>
    <s v=""/>
    <m/>
    <s v="學習周邊"/>
    <s v="蝦皮"/>
  </r>
  <r>
    <s v="26041861TTCCUR"/>
    <x v="3"/>
    <s v=""/>
    <s v=""/>
    <s v="s******t"/>
    <x v="17"/>
    <s v="2320.00"/>
    <s v="0.00"/>
    <s v="0.00"/>
    <s v="0.00"/>
    <s v="2320.00"/>
    <s v="0.00"/>
    <s v="0"/>
    <s v="0.00"/>
    <s v="SVC-1397586481283272;4SVXZW5RB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03 臺北市大同區雙連街77號4樓之3"/>
    <s v="****"/>
    <s v="0928000888,84564491#1"/>
    <s v=""/>
    <s v="臺北市"/>
    <s v="大同區"/>
    <s v="103"/>
    <s v="邱怡禎"/>
    <s v="賣家宅配：大型/超重物品運送"/>
    <s v=""/>
    <s v=""/>
    <s v="信用卡"/>
    <s v="2026-04-20 23:59"/>
    <s v="新竹物流8179140955"/>
    <s v="2026-04-18 18:42"/>
    <m/>
    <s v=""/>
    <s v=""/>
    <m/>
    <s v="學習"/>
    <s v="蝦皮"/>
  </r>
  <r>
    <s v="26041862HUKBK7"/>
    <x v="1"/>
    <s v="被買家取消，原因 : 修改訂單內容"/>
    <s v=""/>
    <s v="g******9"/>
    <x v="17"/>
    <s v="1037.00"/>
    <s v="0.00"/>
    <s v="0.00"/>
    <s v="0.00"/>
    <s v="0.00"/>
    <s v="0.00"/>
    <s v="41"/>
    <s v="0.00"/>
    <s v="SVC-1397586481283272;NMUVPNCX8"/>
    <s v="0.00"/>
    <s v="0.00"/>
    <s v="0.00"/>
    <s v="0.00"/>
    <s v="0.00"/>
    <s v="0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30******"/>
    <s v="****"/>
    <s v=""/>
    <s v=""/>
    <s v="新竹市"/>
    <s v="東區"/>
    <s v="300"/>
    <s v="徐*信"/>
    <s v="賣家宅配：大型/超重物品運送"/>
    <s v=""/>
    <s v=""/>
    <s v="信用卡"/>
    <s v="2026-04-20 23:59"/>
    <s v=""/>
    <s v="2026-04-18 18:55"/>
    <m/>
    <s v=""/>
    <s v=""/>
    <m/>
    <s v="學習周邊"/>
    <s v="蝦皮"/>
  </r>
  <r>
    <s v="26041862HUKBK7"/>
    <x v="1"/>
    <s v="被買家取消，原因 : 修改訂單內容"/>
    <s v=""/>
    <s v="g******9"/>
    <x v="17"/>
    <s v="1037.00"/>
    <s v="0.00"/>
    <s v="0.00"/>
    <s v="0.00"/>
    <s v="0.00"/>
    <s v="0.00"/>
    <s v="41"/>
    <s v="0.00"/>
    <s v="SVC-1397586481283272;NMUVPNCX8"/>
    <s v="0.00"/>
    <s v="0.00"/>
    <s v="0.00"/>
    <s v="0.00"/>
    <s v="0.00"/>
    <s v="0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0******"/>
    <s v="****"/>
    <s v=""/>
    <s v=""/>
    <s v="新竹市"/>
    <s v="東區"/>
    <s v="300"/>
    <s v="徐*信"/>
    <s v="賣家宅配：大型/超重物品運送"/>
    <s v=""/>
    <s v=""/>
    <s v="信用卡"/>
    <s v="2026-04-20 23:59"/>
    <s v=""/>
    <s v="2026-04-18 18:55"/>
    <m/>
    <s v=""/>
    <s v=""/>
    <m/>
    <s v="學習周邊"/>
    <s v="蝦皮"/>
  </r>
  <r>
    <s v="26041867W67K0B"/>
    <x v="7"/>
    <s v=""/>
    <s v=""/>
    <s v="j******1"/>
    <x v="17"/>
    <s v="1961.00"/>
    <s v="0.00"/>
    <s v="0.00"/>
    <s v="0.00"/>
    <s v="1961.00"/>
    <s v="0.00"/>
    <s v="0"/>
    <s v="0.00"/>
    <s v="SVC-1397586481283272;4SVXZW5RB"/>
    <s v="20.00"/>
    <s v="0.00"/>
    <s v="218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92******"/>
    <s v="****"/>
    <s v="0928000888,60421228#1"/>
    <s v=""/>
    <s v="屏東縣"/>
    <s v="潮州鎮"/>
    <s v="920"/>
    <s v="陳*月"/>
    <s v="賣家宅配：大型/超重物品運送"/>
    <s v=""/>
    <s v=""/>
    <s v="信用卡"/>
    <s v="2026-04-20 23:59"/>
    <s v="新竹物流8179141294"/>
    <s v="2026-04-18 20:31"/>
    <m/>
    <s v="2026-04-21 21:04"/>
    <s v=""/>
    <m/>
    <s v="學習"/>
    <s v="蝦皮"/>
  </r>
  <r>
    <s v="260418690XN3U9"/>
    <x v="7"/>
    <s v=""/>
    <s v=""/>
    <s v="s******e"/>
    <x v="17"/>
    <s v="2173.00"/>
    <s v="0.00"/>
    <s v="0.00"/>
    <s v="0.00"/>
    <s v="2173.00"/>
    <s v="0.00"/>
    <s v="105"/>
    <s v="0.00"/>
    <s v="SVC-1397586481283272;HM76Y4SLG"/>
    <s v="20.00"/>
    <s v="0.00"/>
    <s v="300.00"/>
    <s v="219.00"/>
    <s v="87.00"/>
    <s v="64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43******"/>
    <s v="****"/>
    <s v="0928000888,10325193#1"/>
    <s v=""/>
    <s v="臺中市"/>
    <s v="沙鹿區"/>
    <s v="433"/>
    <s v="黃*琳"/>
    <s v="賣家宅配：大型/超重物品運送"/>
    <s v=""/>
    <s v=""/>
    <s v="信用卡"/>
    <s v="2026-04-20 23:59"/>
    <s v="新竹物流8179140966"/>
    <s v="2026-04-18 20:51"/>
    <m/>
    <s v="2026-05-01 11:10"/>
    <s v=""/>
    <m/>
    <s v="學習周邊"/>
    <s v="蝦皮"/>
  </r>
  <r>
    <s v="260418690XN3U9"/>
    <x v="7"/>
    <s v=""/>
    <s v=""/>
    <s v="s******e"/>
    <x v="17"/>
    <s v="2173.00"/>
    <s v="0.00"/>
    <s v="0.00"/>
    <s v="0.00"/>
    <s v="2173.00"/>
    <s v="0.00"/>
    <s v="105"/>
    <s v="0.00"/>
    <s v="SVC-1397586481283272;HM76Y4SLG"/>
    <s v="20.00"/>
    <s v="0.00"/>
    <s v="300.00"/>
    <s v="219.00"/>
    <s v="87.00"/>
    <s v="64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3******"/>
    <s v="****"/>
    <s v="0928000888,10325193#1"/>
    <s v=""/>
    <s v="臺中市"/>
    <s v="沙鹿區"/>
    <s v="433"/>
    <s v="黃*琳"/>
    <s v="賣家宅配：大型/超重物品運送"/>
    <s v=""/>
    <s v=""/>
    <s v="信用卡"/>
    <s v="2026-04-20 23:59"/>
    <s v="新竹物流8179140966"/>
    <s v="2026-04-18 20:51"/>
    <m/>
    <s v="2026-05-01 11:10"/>
    <s v=""/>
    <m/>
    <s v="學習"/>
    <s v="蝦皮"/>
  </r>
  <r>
    <s v="2604186AJHHWWH"/>
    <x v="7"/>
    <s v=""/>
    <s v=""/>
    <s v="s******1"/>
    <x v="17"/>
    <s v="2141.00"/>
    <s v="0.00"/>
    <s v="0.00"/>
    <s v="0.00"/>
    <s v="2141.00"/>
    <s v="0.00"/>
    <s v="0"/>
    <s v="0.00"/>
    <s v="SVC-1397586481283272;4SVXZW5RB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1******"/>
    <s v="****"/>
    <s v="0928000888,31077642#1"/>
    <s v=""/>
    <s v="高雄市"/>
    <s v="左營區"/>
    <s v="813"/>
    <s v="馬*芸"/>
    <s v="賣家宅配：大型/超重物品運送"/>
    <s v=""/>
    <s v=""/>
    <s v="信用卡"/>
    <s v="2026-04-20 23:59"/>
    <s v="新竹物流8179140734"/>
    <s v="2026-04-18 21:19"/>
    <m/>
    <s v="2026-04-23 07:40"/>
    <s v=""/>
    <m/>
    <s v="學習"/>
    <s v="蝦皮"/>
  </r>
  <r>
    <s v="2604186BVAM8UK"/>
    <x v="7"/>
    <s v=""/>
    <s v=""/>
    <s v="t******1"/>
    <x v="17"/>
    <s v="2128.00"/>
    <s v="0.00"/>
    <s v="0.00"/>
    <s v="0.00"/>
    <s v="2128.00"/>
    <s v="0.00"/>
    <s v="1"/>
    <s v="0.00"/>
    <s v="SVC-1397586481283272;TKB260418"/>
    <s v="20.00"/>
    <s v="0.00"/>
    <s v="25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57968384#1"/>
    <s v=""/>
    <s v="桃園市"/>
    <s v="桃園區"/>
    <s v="330"/>
    <s v="林*蓉"/>
    <s v="賣家宅配：大型/超重物品運送"/>
    <s v=""/>
    <s v=""/>
    <s v="信用卡"/>
    <s v="2026-04-20 23:59"/>
    <s v="新竹物流8179140756"/>
    <s v="2026-04-18 21:42"/>
    <m/>
    <s v="2026-04-27 08:48"/>
    <s v=""/>
    <m/>
    <s v="學習"/>
    <s v="蝦皮"/>
  </r>
  <r>
    <s v="2604186C8XWS1B"/>
    <x v="1"/>
    <s v="被買家取消，原因 : 需要修改訂單內容"/>
    <s v=""/>
    <s v="b*****0"/>
    <x v="17"/>
    <s v="4724.00"/>
    <s v="0.00"/>
    <s v="0.00"/>
    <s v="0.00"/>
    <s v="0.00"/>
    <s v="0.00"/>
    <s v="0"/>
    <s v="0.00"/>
    <s v="BENE0450;4SVXZW5RB"/>
    <s v="0.00"/>
    <s v="0.00"/>
    <s v="0.00"/>
    <s v="0.00"/>
    <s v="0.00"/>
    <s v="0.00"/>
    <s v="0"/>
    <s v="2.50%"/>
    <s v=""/>
    <x v="5"/>
    <s v="29842502974"/>
    <s v="(加購)白沙屯媽祖祈福禮盒"/>
    <s v="259020882903"/>
    <s v="29842502974_259020882903"/>
    <n v="7020"/>
    <x v="29"/>
    <x v="5"/>
    <s v="20250FXAS"/>
    <n v="1"/>
    <s v="0"/>
    <s v="N"/>
    <s v="-"/>
    <s v="30******"/>
    <s v="****"/>
    <s v=""/>
    <s v=""/>
    <s v="新竹縣"/>
    <s v="竹北市"/>
    <s v="302"/>
    <s v="鄭*蕙"/>
    <s v="賣家宅配：大型/超重物品運送"/>
    <s v=""/>
    <s v=""/>
    <s v="信用卡"/>
    <s v=""/>
    <s v=""/>
    <s v="-"/>
    <m/>
    <s v=""/>
    <s v=""/>
    <m/>
    <s v="學習"/>
    <s v="蝦皮"/>
  </r>
  <r>
    <s v="2604186CB7E4HJ"/>
    <x v="3"/>
    <s v=""/>
    <s v=""/>
    <s v="b*****0"/>
    <x v="17"/>
    <s v="4724.00"/>
    <s v="0.00"/>
    <s v="0.00"/>
    <s v="0.00"/>
    <s v="4724.00"/>
    <s v="0.00"/>
    <s v="0"/>
    <s v="0.00"/>
    <s v="BENE0450;4SVXZW5RB"/>
    <s v="50.00"/>
    <s v="0.00"/>
    <s v="525.00"/>
    <s v="446.00"/>
    <s v="167.00"/>
    <s v="131.00"/>
    <s v="3"/>
    <s v="2.50%"/>
    <s v=""/>
    <x v="5"/>
    <s v="29842502974"/>
    <s v="(加購)白沙屯媽祖祈福禮盒"/>
    <s v="259020882903"/>
    <s v="29842502974_259020882903"/>
    <n v="7020"/>
    <x v="29"/>
    <x v="5"/>
    <s v="20250FXAS"/>
    <n v="1"/>
    <s v="0"/>
    <s v="N"/>
    <s v="-"/>
    <s v="302 新竹縣竹北市光明六路東二段258之1號8F-7"/>
    <s v="****"/>
    <s v="0928000888,37471725#1"/>
    <s v=""/>
    <s v="新竹縣"/>
    <s v="竹北市"/>
    <s v="302"/>
    <s v="鄭瑄蕙"/>
    <s v="賣家宅配：大型/超重物品運送"/>
    <s v=""/>
    <s v=""/>
    <s v="信用卡分期付款"/>
    <s v="2026-04-20 23:59"/>
    <s v="新竹物流8179141316"/>
    <s v="2026-04-18 21:51"/>
    <m/>
    <s v=""/>
    <s v=""/>
    <m/>
    <s v="學習"/>
    <s v="蝦皮"/>
  </r>
  <r>
    <s v="2604186CJVJBT6"/>
    <x v="7"/>
    <s v=""/>
    <s v=""/>
    <s v="n******7"/>
    <x v="17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40******"/>
    <s v="****"/>
    <s v="0928000888,00377113#1"/>
    <s v=""/>
    <s v="臺中市"/>
    <s v="南屯區"/>
    <s v="408"/>
    <s v="黄*琁"/>
    <s v="賣家宅配：大型/超重物品運送"/>
    <s v=""/>
    <s v=""/>
    <s v="信用卡"/>
    <s v="2026-04-20 23:59"/>
    <s v="新竹物流8179140970"/>
    <s v="2026-04-18 21:55"/>
    <m/>
    <s v="2026-04-24 07:31"/>
    <s v=""/>
    <m/>
    <s v="學習周邊"/>
    <s v="蝦皮"/>
  </r>
  <r>
    <s v="2604186DG8VHUC"/>
    <x v="3"/>
    <s v=""/>
    <s v=""/>
    <s v="h*****1"/>
    <x v="17"/>
    <s v="3150.00"/>
    <s v="0.00"/>
    <s v="0.00"/>
    <s v="0.00"/>
    <s v="3150.00"/>
    <s v="0.00"/>
    <s v="0"/>
    <s v="0.00"/>
    <s v="BENE0450;4SVXZW5RB"/>
    <s v="50.00"/>
    <s v="0.00"/>
    <s v="350.00"/>
    <s v="298.00"/>
    <s v="115.00"/>
    <s v="88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320 桃園市中壢區龍慈路239巷46號13樓"/>
    <s v="****"/>
    <s v="0928000888,74379033#1"/>
    <s v=""/>
    <s v="桃園市"/>
    <s v="中壢區"/>
    <s v="320"/>
    <s v="楊佩娟"/>
    <s v="賣家宅配：大型/超重物品運送"/>
    <s v=""/>
    <s v=""/>
    <s v="信用卡"/>
    <s v="2026-04-20 23:59"/>
    <s v="新竹物流8179141950"/>
    <s v="2026-04-18 22:12"/>
    <m/>
    <s v=""/>
    <s v=""/>
    <m/>
    <s v="學習"/>
    <s v="蝦皮"/>
  </r>
  <r>
    <s v="2604186DG8VHUC"/>
    <x v="3"/>
    <s v=""/>
    <s v=""/>
    <s v="h*****1"/>
    <x v="17"/>
    <s v="3150.00"/>
    <s v="0.00"/>
    <s v="0.00"/>
    <s v="0.00"/>
    <s v="3150.00"/>
    <s v="0.00"/>
    <s v="0"/>
    <s v="0.00"/>
    <s v="BENE0450;4SVXZW5RB"/>
    <s v="50.00"/>
    <s v="0.00"/>
    <s v="350.00"/>
    <s v="298.00"/>
    <s v="115.00"/>
    <s v="88.00"/>
    <s v="0"/>
    <s v="2.50%"/>
    <s v=""/>
    <x v="24"/>
    <s v="48855814036"/>
    <s v="記憶小高手"/>
    <s v="297387110146"/>
    <s v="48855814036_297387110146"/>
    <n v="350"/>
    <x v="35"/>
    <x v="30"/>
    <s v="20244C911"/>
    <n v="1"/>
    <s v="0"/>
    <s v="N"/>
    <s v="-"/>
    <s v="320 桃園市中壢區龍慈路239巷46號13樓"/>
    <s v="****"/>
    <s v="0928000888,74379033#1"/>
    <s v=""/>
    <s v="桃園市"/>
    <s v="中壢區"/>
    <s v="320"/>
    <s v="楊佩娟"/>
    <s v="賣家宅配：大型/超重物品運送"/>
    <s v=""/>
    <s v=""/>
    <s v="信用卡"/>
    <s v="2026-04-20 23:59"/>
    <s v="新竹物流8179141950"/>
    <s v="2026-04-18 22:12"/>
    <m/>
    <s v=""/>
    <s v=""/>
    <m/>
    <s v="學習周邊"/>
    <s v="蝦皮"/>
  </r>
  <r>
    <s v="2604186E5MMNE0"/>
    <x v="7"/>
    <s v=""/>
    <s v=""/>
    <s v="v******6"/>
    <x v="17"/>
    <s v="2278.00"/>
    <s v="0.00"/>
    <s v="0.00"/>
    <s v="0.00"/>
    <s v="2278.00"/>
    <s v="0.00"/>
    <s v="0"/>
    <s v="0.00"/>
    <s v="SVC-1397586481283272;HM76Y4SLG"/>
    <s v="20.00"/>
    <s v="0.00"/>
    <s v="300.00"/>
    <s v="219.00"/>
    <s v="87.00"/>
    <s v="64.00"/>
    <s v="3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0******"/>
    <s v="****"/>
    <s v="0928000888,41156101#1"/>
    <s v=""/>
    <s v="新竹縣"/>
    <s v="竹北市"/>
    <s v="302"/>
    <s v="黃*煌"/>
    <s v="賣家宅配：大型/超重物品運送"/>
    <s v=""/>
    <s v=""/>
    <s v="信用卡分期付款"/>
    <s v="2026-04-20 23:59"/>
    <s v="新竹物流8179141806"/>
    <s v="2026-04-18 22:23"/>
    <m/>
    <s v="2026-04-21 15:59"/>
    <s v=""/>
    <m/>
    <s v="學習"/>
    <s v="蝦皮"/>
  </r>
  <r>
    <s v="2604186E9Q91J0"/>
    <x v="7"/>
    <s v=""/>
    <s v=""/>
    <s v="w******8"/>
    <x v="17"/>
    <s v="2141.00"/>
    <s v="0.00"/>
    <s v="0.00"/>
    <s v="0.00"/>
    <s v="2141.00"/>
    <s v="0.00"/>
    <s v="0"/>
    <s v="0.00"/>
    <s v="SVC-1397586481283272;4SVXZW5RB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25905621#1"/>
    <s v=""/>
    <s v="臺中市"/>
    <s v="北屯區"/>
    <s v="406"/>
    <s v="曾*妹"/>
    <s v="賣家宅配：大型/超重物品運送"/>
    <s v=""/>
    <s v=""/>
    <s v="信用卡"/>
    <s v="2026-04-20 23:59"/>
    <s v="新竹物流8179140771"/>
    <s v="2026-04-18 22:26"/>
    <m/>
    <s v="2026-04-21 19:31"/>
    <s v=""/>
    <m/>
    <s v="學習"/>
    <s v="蝦皮"/>
  </r>
  <r>
    <s v="2604186G7SSJMW"/>
    <x v="7"/>
    <s v=""/>
    <s v=""/>
    <s v="n****a"/>
    <x v="17"/>
    <s v="2654.00"/>
    <s v="0.00"/>
    <s v="0.00"/>
    <s v="0.00"/>
    <s v="2654.00"/>
    <s v="0.00"/>
    <s v="0"/>
    <s v="0.00"/>
    <s v="BENE0450;4SVXZW5RB"/>
    <s v="50.00"/>
    <s v="0.00"/>
    <s v="295.00"/>
    <s v="251.00"/>
    <s v="98.00"/>
    <s v="74.00"/>
    <s v="3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1******"/>
    <s v="****"/>
    <s v="0928000888,62449781#1"/>
    <s v=""/>
    <s v="高雄市"/>
    <s v="左營區"/>
    <s v="813"/>
    <s v="梁*蓁"/>
    <s v="賣家宅配：大型/超重物品運送"/>
    <s v=""/>
    <s v=""/>
    <s v="信用卡分期付款"/>
    <s v="2026-04-20 23:59"/>
    <s v="新竹物流8179141736"/>
    <s v="2026-04-18 23:00"/>
    <m/>
    <s v="2026-04-27 23:25"/>
    <s v=""/>
    <m/>
    <s v="學習"/>
    <s v="蝦皮"/>
  </r>
  <r>
    <s v="2604186HT1PJ3F"/>
    <x v="3"/>
    <s v=""/>
    <s v=""/>
    <s v="z****a"/>
    <x v="17"/>
    <s v="4005.00"/>
    <s v="0.00"/>
    <s v="0.00"/>
    <s v="0.00"/>
    <s v="4005.00"/>
    <s v="0.00"/>
    <s v="0"/>
    <s v="0.00"/>
    <s v="4SVXZW5RB;BENE0450"/>
    <s v="50.00"/>
    <s v="0.00"/>
    <s v="445.00"/>
    <s v="378.00"/>
    <s v="144.00"/>
    <s v="111.00"/>
    <s v="0"/>
    <s v="2.50%"/>
    <s v=""/>
    <x v="31"/>
    <s v="27004843078"/>
    <s v="(單套)"/>
    <s v="281830899971"/>
    <s v="27004843078_281830899971"/>
    <n v="5000"/>
    <x v="33"/>
    <x v="43"/>
    <s v="20220MY00"/>
    <n v="1"/>
    <s v="0"/>
    <s v="N"/>
    <s v="-"/>
    <s v="220 新北市板橋區新北市板橋區長江路二段102號6樓"/>
    <s v="****"/>
    <s v="0928000888,42711665#1"/>
    <s v=""/>
    <s v="新北市"/>
    <s v="板橋區"/>
    <s v="220"/>
    <s v="羅莉婷"/>
    <s v="賣家宅配：大型/超重物品運送"/>
    <s v=""/>
    <s v=""/>
    <s v="信用卡"/>
    <s v="2026-04-20 23:59"/>
    <s v="新竹物流8179141773"/>
    <s v="2026-04-18 23:28"/>
    <m/>
    <s v=""/>
    <s v=""/>
    <m/>
    <s v="學習"/>
    <s v="蝦皮"/>
  </r>
  <r>
    <s v="2604186J2CPJ95"/>
    <x v="7"/>
    <s v=""/>
    <s v=""/>
    <s v="y******y"/>
    <x v="17"/>
    <s v="2141.00"/>
    <s v="0.00"/>
    <s v="0.00"/>
    <s v="0.00"/>
    <s v="2141.00"/>
    <s v="0.00"/>
    <s v="0"/>
    <s v="0.00"/>
    <s v="SVC-1397586481283272;4SVXZW5RB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11579999#1"/>
    <s v=""/>
    <s v="桃園市"/>
    <s v="蘆竹區"/>
    <s v="338"/>
    <s v="楊*琪"/>
    <s v="賣家宅配：大型/超重物品運送"/>
    <s v=""/>
    <s v=""/>
    <s v="信用卡"/>
    <s v="2026-04-20 23:59"/>
    <s v="新竹物流8179140793"/>
    <s v="2026-04-18 23:33"/>
    <m/>
    <s v="2026-04-24 08:08"/>
    <s v=""/>
    <m/>
    <s v="學習"/>
    <s v="蝦皮"/>
  </r>
  <r>
    <s v="2604186KGG3ACV"/>
    <x v="0"/>
    <s v=""/>
    <s v="已同意申請"/>
    <s v="j****5"/>
    <x v="17"/>
    <s v="879.00"/>
    <s v="0.00"/>
    <s v="0.00"/>
    <s v="0.00"/>
    <s v="0.00"/>
    <s v="0.00"/>
    <s v="0"/>
    <s v="0.00"/>
    <s v="SVC-1397586481283272;NVAMFG8H2"/>
    <s v="0.00"/>
    <s v="0.00"/>
    <s v="0.00"/>
    <s v="0.00"/>
    <s v="0.00"/>
    <s v="0.00"/>
    <s v="0"/>
    <s v="2.50%"/>
    <s v=""/>
    <x v="41"/>
    <s v="56858787264"/>
    <s v=""/>
    <s v="287535444152"/>
    <s v="56858787264_287535444152"/>
    <n v="1099"/>
    <x v="2"/>
    <x v="55"/>
    <s v="20260H002"/>
    <n v="1"/>
    <s v="1"/>
    <s v="N"/>
    <s v="-"/>
    <s v="32******"/>
    <s v="****"/>
    <s v="0928000888,61928066#1"/>
    <s v=""/>
    <s v="桃園市"/>
    <s v="平鎮區"/>
    <s v="324"/>
    <s v="慶***姐"/>
    <s v="賣家宅配：大型/超重物品運送"/>
    <s v=""/>
    <s v=""/>
    <s v="信用卡"/>
    <s v="2026-04-20 23:59"/>
    <s v="新竹物流8179141751"/>
    <s v="2026-04-19 00:13"/>
    <m/>
    <s v="2026-04-23 15:34"/>
    <s v=""/>
    <m/>
    <s v="生活周邊"/>
    <s v="蝦皮"/>
  </r>
  <r>
    <s v="2604196U1VTVG9"/>
    <x v="3"/>
    <s v=""/>
    <s v=""/>
    <s v="h******4"/>
    <x v="18"/>
    <s v="2206.00"/>
    <s v="0.00"/>
    <s v="0.00"/>
    <s v="0.00"/>
    <s v="2206.00"/>
    <s v="0.00"/>
    <s v="30"/>
    <s v="0.00"/>
    <s v="BENE0420;934AWQXJN"/>
    <s v="20.00"/>
    <s v="0.00"/>
    <s v="143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4 新北市林口區公園路11號4樓之一"/>
    <s v="****"/>
    <s v="0928000888,02070167#1"/>
    <s v=""/>
    <s v="新北市"/>
    <s v="林口區"/>
    <s v="244"/>
    <s v="李昕苡"/>
    <s v="賣家宅配：大型/超重物品運送"/>
    <s v=""/>
    <s v=""/>
    <s v="信用卡"/>
    <s v="2026-04-20 23:59"/>
    <s v="新竹物流8179140815"/>
    <s v="2026-04-19 02:14"/>
    <m/>
    <s v=""/>
    <s v=""/>
    <m/>
    <s v="學習"/>
    <s v="蝦皮"/>
  </r>
  <r>
    <s v="26041973EH8C5H"/>
    <x v="7"/>
    <s v=""/>
    <s v=""/>
    <s v="d******4"/>
    <x v="18"/>
    <s v="9444.00"/>
    <s v="0.00"/>
    <s v="0.00"/>
    <s v="0.00"/>
    <s v="9444.00"/>
    <s v="0.00"/>
    <s v="0"/>
    <s v="0.00"/>
    <s v="934AWQXJN;BENE0450"/>
    <s v="50.00"/>
    <s v="0.00"/>
    <s v="603.00"/>
    <s v="854.00"/>
    <s v="311.00"/>
    <s v="25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40******"/>
    <s v="****"/>
    <s v="0928000888,87892860#1"/>
    <s v=""/>
    <s v="臺中市"/>
    <s v="北屯區"/>
    <s v="406"/>
    <s v="張*騰"/>
    <s v="賣家宅配：大型/超重物品運送"/>
    <s v=""/>
    <s v=""/>
    <s v="信用卡"/>
    <s v="2026-04-20 23:59"/>
    <s v="新竹物流8179141913"/>
    <s v="2026-04-19 04:46"/>
    <m/>
    <s v="2026-05-01 10:48"/>
    <s v=""/>
    <m/>
    <s v="學習"/>
    <s v="蝦皮"/>
  </r>
  <r>
    <s v="26041973EH8C5H"/>
    <x v="7"/>
    <s v=""/>
    <s v=""/>
    <s v="d******4"/>
    <x v="18"/>
    <s v="9444.00"/>
    <s v="0.00"/>
    <s v="0.00"/>
    <s v="0.00"/>
    <s v="9444.00"/>
    <s v="0.00"/>
    <s v="0"/>
    <s v="0.00"/>
    <s v="934AWQXJN;BENE0450"/>
    <s v="50.00"/>
    <s v="0.00"/>
    <s v="603.00"/>
    <s v="854.00"/>
    <s v="311.00"/>
    <s v="251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40******"/>
    <s v="****"/>
    <s v="0928000888,87892860#1"/>
    <s v=""/>
    <s v="臺中市"/>
    <s v="北屯區"/>
    <s v="406"/>
    <s v="張*騰"/>
    <s v="賣家宅配：大型/超重物品運送"/>
    <s v=""/>
    <s v=""/>
    <s v="信用卡"/>
    <s v="2026-04-20 23:59"/>
    <s v="新竹物流8179141913"/>
    <s v="2026-04-19 04:46"/>
    <m/>
    <s v="2026-05-01 10:48"/>
    <s v=""/>
    <m/>
    <s v="學習"/>
    <s v="蝦皮"/>
  </r>
  <r>
    <s v="26041973EH8C5H"/>
    <x v="7"/>
    <s v=""/>
    <s v=""/>
    <s v="d******4"/>
    <x v="18"/>
    <s v="9444.00"/>
    <s v="0.00"/>
    <s v="0.00"/>
    <s v="0.00"/>
    <s v="9444.00"/>
    <s v="0.00"/>
    <s v="0"/>
    <s v="0.00"/>
    <s v="934AWQXJN;BENE0450"/>
    <s v="50.00"/>
    <s v="0.00"/>
    <s v="603.00"/>
    <s v="854.00"/>
    <s v="311.00"/>
    <s v="251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0******"/>
    <s v="****"/>
    <s v="0928000888,87892860#1"/>
    <s v=""/>
    <s v="臺中市"/>
    <s v="北屯區"/>
    <s v="406"/>
    <s v="張*騰"/>
    <s v="賣家宅配：大型/超重物品運送"/>
    <s v=""/>
    <s v=""/>
    <s v="信用卡"/>
    <s v="2026-04-20 23:59"/>
    <s v="新竹物流8179141913"/>
    <s v="2026-04-19 04:46"/>
    <m/>
    <s v="2026-05-01 10:48"/>
    <s v=""/>
    <m/>
    <s v="學習"/>
    <s v="蝦皮"/>
  </r>
  <r>
    <s v="2604197M17C25W"/>
    <x v="3"/>
    <s v=""/>
    <s v=""/>
    <s v="d******2"/>
    <x v="18"/>
    <s v="8925.00"/>
    <s v="0.00"/>
    <s v="0.00"/>
    <s v="0.00"/>
    <s v="8925.00"/>
    <s v="0.00"/>
    <s v="238"/>
    <s v="0.00"/>
    <s v="BENE0450;KEYHYNUD3"/>
    <s v="50.00"/>
    <s v="0.00"/>
    <s v="585.00"/>
    <s v="829.00"/>
    <s v="302.00"/>
    <s v="244.00"/>
    <s v="0"/>
    <s v="2.50%"/>
    <s v=""/>
    <x v="31"/>
    <s v="27004843078"/>
    <s v="(單套)"/>
    <s v="281830899971"/>
    <s v="27004843078_281830899971"/>
    <n v="5000"/>
    <x v="33"/>
    <x v="43"/>
    <s v="20220MY00"/>
    <n v="1"/>
    <s v="0"/>
    <s v="N"/>
    <s v="-"/>
    <s v="231 新北市新店區中興路二段181號10樓"/>
    <s v="****"/>
    <s v="0928000888,50933629#1"/>
    <s v=""/>
    <s v="新北市"/>
    <s v="新店區"/>
    <s v="231"/>
    <s v="楊雅婷"/>
    <s v="賣家宅配：大型/超重物品運送"/>
    <s v=""/>
    <s v=""/>
    <s v="信用卡"/>
    <s v="2026-04-20 23:59"/>
    <s v="新竹物流8179141843"/>
    <s v="2026-04-19 09:41"/>
    <m/>
    <s v=""/>
    <s v=""/>
    <m/>
    <s v="學習"/>
    <s v="蝦皮"/>
  </r>
  <r>
    <s v="2604197M17C25W"/>
    <x v="3"/>
    <s v=""/>
    <s v=""/>
    <s v="d******2"/>
    <x v="18"/>
    <s v="8925.00"/>
    <s v="0.00"/>
    <s v="0.00"/>
    <s v="0.00"/>
    <s v="8925.00"/>
    <s v="0.00"/>
    <s v="238"/>
    <s v="0.00"/>
    <s v="BENE0450;KEYHYNUD3"/>
    <s v="50.00"/>
    <s v="0.00"/>
    <s v="585.00"/>
    <s v="829.00"/>
    <s v="302.00"/>
    <s v="244.00"/>
    <s v="0"/>
    <s v="2.50%"/>
    <s v=""/>
    <x v="40"/>
    <s v="44908808383"/>
    <s v=""/>
    <s v="277535675661"/>
    <s v="44908808383_277535675661"/>
    <n v="1199"/>
    <x v="43"/>
    <x v="54"/>
    <s v="20260H001"/>
    <n v="1"/>
    <s v="0"/>
    <s v="N"/>
    <s v="-"/>
    <s v="231 新北市新店區中興路二段181號10樓"/>
    <s v="****"/>
    <s v="0928000888,50933629#1"/>
    <s v=""/>
    <s v="新北市"/>
    <s v="新店區"/>
    <s v="231"/>
    <s v="楊雅婷"/>
    <s v="賣家宅配：大型/超重物品運送"/>
    <s v=""/>
    <s v=""/>
    <s v="信用卡"/>
    <s v="2026-04-20 23:59"/>
    <s v="新竹物流8179141843"/>
    <s v="2026-04-19 09:41"/>
    <m/>
    <s v=""/>
    <s v=""/>
    <m/>
    <s v="生活周邊"/>
    <s v="蝦皮"/>
  </r>
  <r>
    <s v="2604197M17C25W"/>
    <x v="3"/>
    <s v=""/>
    <s v=""/>
    <s v="d******2"/>
    <x v="18"/>
    <s v="8925.00"/>
    <s v="0.00"/>
    <s v="0.00"/>
    <s v="0.00"/>
    <s v="8925.00"/>
    <s v="0.00"/>
    <s v="238"/>
    <s v="0.00"/>
    <s v="BENE0450;KEYHYNUD3"/>
    <s v="50.00"/>
    <s v="0.00"/>
    <s v="585.00"/>
    <s v="829.00"/>
    <s v="302.00"/>
    <s v="244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31 新北市新店區中興路二段181號10樓"/>
    <s v="****"/>
    <s v="0928000888,50933629#1"/>
    <s v=""/>
    <s v="新北市"/>
    <s v="新店區"/>
    <s v="231"/>
    <s v="楊雅婷"/>
    <s v="賣家宅配：大型/超重物品運送"/>
    <s v=""/>
    <s v=""/>
    <s v="信用卡"/>
    <s v="2026-04-20 23:59"/>
    <s v="新竹物流8179141843"/>
    <s v="2026-04-19 09:41"/>
    <m/>
    <s v=""/>
    <s v=""/>
    <m/>
    <s v="學習"/>
    <s v="蝦皮"/>
  </r>
  <r>
    <s v="2604197M17C25W"/>
    <x v="3"/>
    <s v=""/>
    <s v=""/>
    <s v="d******2"/>
    <x v="18"/>
    <s v="8925.00"/>
    <s v="0.00"/>
    <s v="0.00"/>
    <s v="0.00"/>
    <s v="8925.00"/>
    <s v="0.00"/>
    <s v="238"/>
    <s v="0.00"/>
    <s v="BENE0450;KEYHYNUD3"/>
    <s v="50.00"/>
    <s v="0.00"/>
    <s v="585.00"/>
    <s v="829.00"/>
    <s v="302.00"/>
    <s v="244.00"/>
    <s v="0"/>
    <s v="2.50%"/>
    <s v=""/>
    <x v="42"/>
    <s v="52408787601"/>
    <s v=""/>
    <s v="198823956357"/>
    <s v="52408787601_198823956357"/>
    <n v="899"/>
    <x v="40"/>
    <x v="56"/>
    <s v="20250H002"/>
    <n v="1"/>
    <s v="0"/>
    <s v="N"/>
    <s v="-"/>
    <s v="231 新北市新店區中興路二段181號10樓"/>
    <s v="****"/>
    <s v="0928000888,50933629#1"/>
    <s v=""/>
    <s v="新北市"/>
    <s v="新店區"/>
    <s v="231"/>
    <s v="楊雅婷"/>
    <s v="賣家宅配：大型/超重物品運送"/>
    <s v=""/>
    <s v=""/>
    <s v="信用卡"/>
    <s v="2026-04-20 23:59"/>
    <s v="新竹物流8179141843"/>
    <s v="2026-04-19 09:41"/>
    <m/>
    <s v=""/>
    <s v=""/>
    <m/>
    <s v="生活周邊"/>
    <s v="蝦皮"/>
  </r>
  <r>
    <s v="2604197PG9D72R"/>
    <x v="7"/>
    <s v=""/>
    <s v=""/>
    <s v="c****7"/>
    <x v="18"/>
    <s v="2952.00"/>
    <s v="0.00"/>
    <s v="0.00"/>
    <s v="0.00"/>
    <s v="2952.00"/>
    <s v="0.00"/>
    <s v="9"/>
    <s v="0.00"/>
    <s v="BENE0450;2MVA9LZHM"/>
    <s v="50.00"/>
    <s v="0.00"/>
    <s v="189.00"/>
    <s v="268.00"/>
    <s v="105.00"/>
    <s v="79.00"/>
    <s v="3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42******"/>
    <s v="****"/>
    <s v="0928000888,33124601#1"/>
    <s v=""/>
    <s v="臺中市"/>
    <s v="神岡區"/>
    <s v="429"/>
    <s v="賴*坤"/>
    <s v="賣家宅配：大型/超重物品運送"/>
    <s v=""/>
    <s v=""/>
    <s v="信用卡分期付款"/>
    <s v="2026-04-20 23:59"/>
    <s v="新竹物流8179141832"/>
    <s v="2026-04-19 10:25"/>
    <m/>
    <s v="2026-04-25 14:32"/>
    <s v=""/>
    <m/>
    <s v="學習"/>
    <s v="蝦皮"/>
  </r>
  <r>
    <s v="2604197QAY07U4"/>
    <x v="7"/>
    <s v=""/>
    <s v=""/>
    <s v="w******8"/>
    <x v="18"/>
    <s v="2260.00"/>
    <s v="0.00"/>
    <s v="0.00"/>
    <s v="0.00"/>
    <s v="2260.00"/>
    <s v="0.00"/>
    <s v="0"/>
    <s v="0.00"/>
    <s v="BENE0420;UPAMVSXN2"/>
    <s v="20.00"/>
    <s v="0.00"/>
    <s v="119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36005889#1"/>
    <s v=""/>
    <s v="新竹縣"/>
    <s v="新埔鎮"/>
    <s v="305"/>
    <s v="何*達"/>
    <s v="賣家宅配：大型/超重物品運送"/>
    <s v=""/>
    <s v=""/>
    <s v="信用卡"/>
    <s v="2026-04-20 23:59"/>
    <s v="新竹物流8179140830"/>
    <s v="2026-04-19 10:40"/>
    <m/>
    <s v="2026-04-22 21:44"/>
    <s v=""/>
    <m/>
    <s v="學習"/>
    <s v="蝦皮"/>
  </r>
  <r>
    <s v="2604197U9YG28A"/>
    <x v="3"/>
    <s v=""/>
    <s v=""/>
    <s v="a******u"/>
    <x v="18"/>
    <s v="3055.00"/>
    <s v="0.00"/>
    <s v="0.00"/>
    <s v="0.00"/>
    <s v="3055.00"/>
    <s v="0.00"/>
    <s v="0"/>
    <s v="0.00"/>
    <s v="BENE0450;8KDFEMB22"/>
    <s v="50.00"/>
    <s v="0.00"/>
    <s v="9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05 臺北市松山區南京東路四段133巷9弄15號3樓"/>
    <s v="****"/>
    <s v="0928000888,95274354#1"/>
    <s v=""/>
    <s v="臺北市"/>
    <s v="松山區"/>
    <s v="105"/>
    <s v="劉文心"/>
    <s v="賣家宅配：大型/超重物品運送"/>
    <s v=""/>
    <s v=""/>
    <s v="信用卡"/>
    <s v="2026-04-20 23:59"/>
    <s v="新竹物流8179141810"/>
    <s v="2026-04-19 11:51"/>
    <m/>
    <s v=""/>
    <s v=""/>
    <m/>
    <s v="學習"/>
    <s v="蝦皮"/>
  </r>
  <r>
    <s v="2604197YU3XG3C"/>
    <x v="3"/>
    <s v=""/>
    <s v=""/>
    <s v="g******h"/>
    <x v="18"/>
    <s v="2259.00"/>
    <s v="0.00"/>
    <s v="0.00"/>
    <s v="0.00"/>
    <s v="2259.00"/>
    <s v="0.00"/>
    <s v="0"/>
    <s v="0.00"/>
    <s v="BENE0420;DE83L6JCQ"/>
    <s v="20.00"/>
    <s v="0.00"/>
    <s v="12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12 臺南市新化區北勢里100-3號"/>
    <s v="****"/>
    <s v="0928000888,61992302#1"/>
    <s v=""/>
    <s v="臺南市"/>
    <s v="新化區"/>
    <s v="712"/>
    <s v="陳姿君"/>
    <s v="賣家宅配：大型/超重物品運送"/>
    <s v=""/>
    <s v=""/>
    <s v="信用卡"/>
    <s v="2026-04-20 23:59"/>
    <s v="新竹物流8179140852"/>
    <s v="2026-04-19 13:12"/>
    <m/>
    <s v=""/>
    <s v=""/>
    <m/>
    <s v="學習"/>
    <s v="蝦皮"/>
  </r>
  <r>
    <s v="26041984EGSQB2"/>
    <x v="1"/>
    <s v="被買家取消，原因 : Need to change delivery address"/>
    <s v=""/>
    <s v="m******o"/>
    <x v="18"/>
    <s v="5780.00"/>
    <s v="0.00"/>
    <s v="0.00"/>
    <s v="0.00"/>
    <s v="0.00"/>
    <s v="0.00"/>
    <s v="0"/>
    <s v="0.00"/>
    <s v="BENE0450;KEYHYNUD3"/>
    <s v="0.00"/>
    <s v="0.00"/>
    <s v="0.00"/>
    <s v="0.00"/>
    <s v="0.00"/>
    <s v="0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3******"/>
    <s v="****"/>
    <s v=""/>
    <s v=""/>
    <s v="桃園市"/>
    <s v="龜山區"/>
    <s v="333"/>
    <s v="林*萱"/>
    <s v="賣家宅配：大型/超重物品運送"/>
    <s v=""/>
    <s v=""/>
    <s v="信用卡"/>
    <s v="2026-04-20 23:59"/>
    <s v=""/>
    <s v="2026-04-19 14:34"/>
    <m/>
    <s v=""/>
    <s v=""/>
    <m/>
    <s v="學習"/>
    <s v="蝦皮"/>
  </r>
  <r>
    <s v="26041984EGSQB2"/>
    <x v="1"/>
    <s v="被買家取消，原因 : Need to change delivery address"/>
    <s v=""/>
    <s v="m******o"/>
    <x v="18"/>
    <s v="5780.00"/>
    <s v="0.00"/>
    <s v="0.00"/>
    <s v="0.00"/>
    <s v="0.00"/>
    <s v="0.00"/>
    <s v="0"/>
    <s v="0.00"/>
    <s v="BENE0450;KEYHYNUD3"/>
    <s v="0.00"/>
    <s v="0.00"/>
    <s v="0.00"/>
    <s v="0.00"/>
    <s v="0.00"/>
    <s v="0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3******"/>
    <s v="****"/>
    <s v=""/>
    <s v=""/>
    <s v="桃園市"/>
    <s v="龜山區"/>
    <s v="333"/>
    <s v="林*萱"/>
    <s v="賣家宅配：大型/超重物品運送"/>
    <s v=""/>
    <s v=""/>
    <s v="信用卡"/>
    <s v="2026-04-20 23:59"/>
    <s v=""/>
    <s v="2026-04-19 14:34"/>
    <m/>
    <s v=""/>
    <s v=""/>
    <m/>
    <s v="學習"/>
    <s v="蝦皮"/>
  </r>
  <r>
    <s v="26041984HBBNH6"/>
    <x v="3"/>
    <s v=""/>
    <s v=""/>
    <s v="m******o"/>
    <x v="18"/>
    <s v="5780.00"/>
    <s v="0.00"/>
    <s v="0.00"/>
    <s v="0.00"/>
    <s v="5780.00"/>
    <s v="0.00"/>
    <s v="0"/>
    <s v="0.00"/>
    <s v="BENE0450;KEYHYNUD3"/>
    <s v="50.00"/>
    <s v="0.00"/>
    <s v="369.00"/>
    <s v="523.00"/>
    <s v="194.00"/>
    <s v="15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30 桃園市桃園區吉安一街199號11樓"/>
    <s v="****"/>
    <s v="0928000888,35110311#1"/>
    <s v=""/>
    <s v="桃園市"/>
    <s v="桃園區"/>
    <s v="330"/>
    <s v="林語萱"/>
    <s v="賣家宅配：大型/超重物品運送"/>
    <s v=""/>
    <s v=""/>
    <s v="信用卡"/>
    <s v="2026-04-20 23:59"/>
    <s v="新竹物流8179141946"/>
    <s v="2026-04-19 14:36"/>
    <m/>
    <s v=""/>
    <s v=""/>
    <m/>
    <s v="學習"/>
    <s v="蝦皮"/>
  </r>
  <r>
    <s v="26041984HBBNH6"/>
    <x v="3"/>
    <s v=""/>
    <s v=""/>
    <s v="m******o"/>
    <x v="18"/>
    <s v="5780.00"/>
    <s v="0.00"/>
    <s v="0.00"/>
    <s v="0.00"/>
    <s v="5780.00"/>
    <s v="0.00"/>
    <s v="0"/>
    <s v="0.00"/>
    <s v="BENE0450;KEYHYNUD3"/>
    <s v="50.00"/>
    <s v="0.00"/>
    <s v="369.00"/>
    <s v="523.00"/>
    <s v="194.00"/>
    <s v="154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30 桃園市桃園區吉安一街199號11樓"/>
    <s v="****"/>
    <s v="0928000888,35110311#1"/>
    <s v=""/>
    <s v="桃園市"/>
    <s v="桃園區"/>
    <s v="330"/>
    <s v="林語萱"/>
    <s v="賣家宅配：大型/超重物品運送"/>
    <s v=""/>
    <s v=""/>
    <s v="信用卡"/>
    <s v="2026-04-20 23:59"/>
    <s v="新竹物流8179141946"/>
    <s v="2026-04-19 14:36"/>
    <m/>
    <s v=""/>
    <s v=""/>
    <m/>
    <s v="學習"/>
    <s v="蝦皮"/>
  </r>
  <r>
    <s v="26041986X23X16"/>
    <x v="3"/>
    <s v=""/>
    <s v=""/>
    <s v="l******e"/>
    <x v="18"/>
    <s v="859.00"/>
    <s v="0.00"/>
    <s v="0.00"/>
    <s v="0.00"/>
    <s v="859.00"/>
    <s v="0.00"/>
    <s v="0"/>
    <s v="0.00"/>
    <s v="MUM2604E"/>
    <s v="0.00"/>
    <s v="0.00"/>
    <s v="50.00"/>
    <s v="77.00"/>
    <s v="37.00"/>
    <s v="23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710 臺南市永康區中華路154巷39號"/>
    <s v="****"/>
    <s v="0928000888,84823939#1"/>
    <s v=""/>
    <s v="臺南市"/>
    <s v="永康區"/>
    <s v="710"/>
    <s v="吳湘玉"/>
    <s v="賣家宅配：大型/超重物品運送"/>
    <s v=""/>
    <s v=""/>
    <s v="信用卡"/>
    <s v="2026-04-20 23:59"/>
    <s v="新竹物流8179141935"/>
    <s v="2026-04-19 15:19"/>
    <m/>
    <s v=""/>
    <s v=""/>
    <m/>
    <s v="學習周邊"/>
    <s v="蝦皮"/>
  </r>
  <r>
    <s v="26041986X23X16"/>
    <x v="3"/>
    <s v=""/>
    <s v=""/>
    <s v="l******e"/>
    <x v="18"/>
    <s v="859.00"/>
    <s v="0.00"/>
    <s v="0.00"/>
    <s v="0.00"/>
    <s v="859.00"/>
    <s v="0.00"/>
    <s v="0"/>
    <s v="0.00"/>
    <s v="MUM2604E"/>
    <s v="0.00"/>
    <s v="0.00"/>
    <s v="50.00"/>
    <s v="77.00"/>
    <s v="37.00"/>
    <s v="23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710 臺南市永康區中華路154巷39號"/>
    <s v="****"/>
    <s v="0928000888,84823939#1"/>
    <s v=""/>
    <s v="臺南市"/>
    <s v="永康區"/>
    <s v="710"/>
    <s v="吳湘玉"/>
    <s v="賣家宅配：大型/超重物品運送"/>
    <s v=""/>
    <s v=""/>
    <s v="信用卡"/>
    <s v="2026-04-20 23:59"/>
    <s v="新竹物流8179141935"/>
    <s v="2026-04-19 15:19"/>
    <m/>
    <s v=""/>
    <s v=""/>
    <m/>
    <s v="學習周邊"/>
    <s v="蝦皮"/>
  </r>
  <r>
    <s v="2604198BAEVKTB"/>
    <x v="7"/>
    <s v=""/>
    <s v=""/>
    <s v="c******6"/>
    <x v="18"/>
    <s v="5382.00"/>
    <s v="0.00"/>
    <s v="0.00"/>
    <s v="0.00"/>
    <s v="5382.00"/>
    <s v="0.00"/>
    <s v="0"/>
    <s v="0.00"/>
    <s v="BENE0450;8KDFEMB22"/>
    <s v="50.00"/>
    <s v="0.00"/>
    <s v="167.00"/>
    <s v="472.00"/>
    <s v="176.00"/>
    <s v="139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24******"/>
    <s v="****"/>
    <s v="0928000888,81293447#1"/>
    <s v=""/>
    <s v="新北市"/>
    <s v="林口區"/>
    <s v="244"/>
    <s v="謝*儒"/>
    <s v="賣家宅配：大型/超重物品運送"/>
    <s v=""/>
    <s v=""/>
    <s v="信用卡"/>
    <s v="2026-04-20 23:59"/>
    <s v="新竹物流8179141876"/>
    <s v="2026-04-19 16:39"/>
    <m/>
    <s v="2026-04-21 21:58"/>
    <s v=""/>
    <m/>
    <s v="學習周邊"/>
    <s v="蝦皮"/>
  </r>
  <r>
    <s v="2604198BAEVKTB"/>
    <x v="7"/>
    <s v=""/>
    <s v=""/>
    <s v="c******6"/>
    <x v="18"/>
    <s v="5382.00"/>
    <s v="0.00"/>
    <s v="0.00"/>
    <s v="0.00"/>
    <s v="5382.00"/>
    <s v="0.00"/>
    <s v="0"/>
    <s v="0.00"/>
    <s v="BENE0450;8KDFEMB22"/>
    <s v="50.00"/>
    <s v="0.00"/>
    <s v="167.00"/>
    <s v="472.00"/>
    <s v="176.00"/>
    <s v="139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24******"/>
    <s v="****"/>
    <s v="0928000888,81293447#1"/>
    <s v=""/>
    <s v="新北市"/>
    <s v="林口區"/>
    <s v="244"/>
    <s v="謝*儒"/>
    <s v="賣家宅配：大型/超重物品運送"/>
    <s v=""/>
    <s v=""/>
    <s v="信用卡"/>
    <s v="2026-04-20 23:59"/>
    <s v="新竹物流8179141876"/>
    <s v="2026-04-19 16:39"/>
    <m/>
    <s v="2026-04-21 21:58"/>
    <s v=""/>
    <m/>
    <s v="學習"/>
    <s v="蝦皮"/>
  </r>
  <r>
    <s v="2604198CA7H6K3"/>
    <x v="7"/>
    <s v=""/>
    <s v=""/>
    <s v="c******6"/>
    <x v="18"/>
    <s v="599.00"/>
    <s v="0.00"/>
    <s v="0.00"/>
    <s v="0.00"/>
    <s v="599.00"/>
    <s v="0.00"/>
    <s v="0"/>
    <s v="0.00"/>
    <s v="S5U3DJTMV"/>
    <s v="0.00"/>
    <s v="0.00"/>
    <s v="0.00"/>
    <s v="51.00"/>
    <s v="28.00"/>
    <s v="15.00"/>
    <s v="0"/>
    <s v="2.50%"/>
    <s v=""/>
    <x v="15"/>
    <s v="26004461505"/>
    <s v=""/>
    <s v="222957909377"/>
    <s v="26004461505_222957909377"/>
    <n v="690"/>
    <x v="8"/>
    <x v="16"/>
    <s v="20230H008"/>
    <n v="1"/>
    <s v="0"/>
    <s v="N"/>
    <s v="-"/>
    <s v="26******"/>
    <s v="****"/>
    <s v="0928000888,02886874#1"/>
    <s v=""/>
    <s v="宜蘭縣"/>
    <s v="五結鄉"/>
    <s v="268"/>
    <s v="董*柔"/>
    <s v="賣家宅配：大型/超重物品運送"/>
    <s v=""/>
    <s v=""/>
    <s v="信用卡"/>
    <s v="2026-04-20 23:59"/>
    <s v="新竹物流8179141611"/>
    <s v="2026-04-19 16:56"/>
    <m/>
    <s v="2026-04-22 08:13"/>
    <s v=""/>
    <m/>
    <s v="生活周邊"/>
    <s v="蝦皮"/>
  </r>
  <r>
    <s v="2604198FNMJB1P"/>
    <x v="7"/>
    <s v=""/>
    <s v=""/>
    <s v="b******o"/>
    <x v="18"/>
    <s v="2860.00"/>
    <s v="0.00"/>
    <s v="0.00"/>
    <s v="0.00"/>
    <s v="2860.00"/>
    <s v="0.00"/>
    <s v="0"/>
    <s v="0.00"/>
    <s v="8KDFEMB22;BENE0450"/>
    <s v="50.00"/>
    <s v="0.00"/>
    <s v="89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2******"/>
    <s v="****"/>
    <s v="0928000888,13479383#1"/>
    <s v=""/>
    <s v="桃園市"/>
    <s v="觀音區"/>
    <s v="328"/>
    <s v="郭*樺"/>
    <s v="賣家宅配：大型/超重物品運送"/>
    <s v=""/>
    <s v=""/>
    <s v="信用卡"/>
    <s v="2026-04-20 23:59"/>
    <s v="新竹物流8179141714"/>
    <s v="2026-04-19 17:55"/>
    <m/>
    <s v="2026-04-25 19:01"/>
    <s v=""/>
    <m/>
    <s v="學習"/>
    <s v="蝦皮"/>
  </r>
  <r>
    <s v="2604198GXG0X3W"/>
    <x v="7"/>
    <s v=""/>
    <s v=""/>
    <s v="o****1"/>
    <x v="18"/>
    <s v="6149.00"/>
    <s v="0.00"/>
    <s v="0.00"/>
    <s v="0.00"/>
    <s v="6149.00"/>
    <s v="0.00"/>
    <s v="0"/>
    <s v="0.00"/>
    <s v="BENE0450;KPDDU5PSP"/>
    <s v="50.00"/>
    <s v="0.00"/>
    <s v="0.00"/>
    <s v="523.00"/>
    <s v="194.00"/>
    <s v="15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2******"/>
    <s v="****"/>
    <s v="0928000888,70840165#1"/>
    <s v=""/>
    <s v="桃園市"/>
    <s v="平鎮區"/>
    <s v="324"/>
    <s v="陳*綸"/>
    <s v="賣家宅配：大型/超重物品運送"/>
    <s v=""/>
    <s v=""/>
    <s v="信用卡"/>
    <s v="2026-04-20 23:59"/>
    <s v="新竹物流8179141692"/>
    <s v="2026-04-19 18:18"/>
    <m/>
    <s v="2026-04-28 06:37"/>
    <s v=""/>
    <m/>
    <s v="學習"/>
    <s v="蝦皮"/>
  </r>
  <r>
    <s v="2604198GXG0X3W"/>
    <x v="7"/>
    <s v=""/>
    <s v=""/>
    <s v="o****1"/>
    <x v="18"/>
    <s v="6149.00"/>
    <s v="0.00"/>
    <s v="0.00"/>
    <s v="0.00"/>
    <s v="6149.00"/>
    <s v="0.00"/>
    <s v="0"/>
    <s v="0.00"/>
    <s v="BENE0450;KPDDU5PSP"/>
    <s v="50.00"/>
    <s v="0.00"/>
    <s v="0.00"/>
    <s v="523.00"/>
    <s v="194.00"/>
    <s v="154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2******"/>
    <s v="****"/>
    <s v="0928000888,70840165#1"/>
    <s v=""/>
    <s v="桃園市"/>
    <s v="平鎮區"/>
    <s v="324"/>
    <s v="陳*綸"/>
    <s v="賣家宅配：大型/超重物品運送"/>
    <s v=""/>
    <s v=""/>
    <s v="信用卡"/>
    <s v="2026-04-20 23:59"/>
    <s v="新竹物流8179141692"/>
    <s v="2026-04-19 18:18"/>
    <m/>
    <s v="2026-04-28 06:37"/>
    <s v=""/>
    <m/>
    <s v="學習"/>
    <s v="蝦皮"/>
  </r>
  <r>
    <s v="2604198QCDY1HR"/>
    <x v="7"/>
    <s v=""/>
    <s v=""/>
    <s v="c******u"/>
    <x v="18"/>
    <s v="979.00"/>
    <s v="0.00"/>
    <s v="0.00"/>
    <s v="0.00"/>
    <s v="979.00"/>
    <s v="0.00"/>
    <s v="0"/>
    <s v="0.00"/>
    <s v="BENE0420"/>
    <s v="20.00"/>
    <s v="0.00"/>
    <s v="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35******"/>
    <s v="****"/>
    <s v="0928000888,08988614#1"/>
    <s v=""/>
    <s v="苗栗縣"/>
    <s v="頭份市"/>
    <s v="351"/>
    <s v="陳*瑾"/>
    <s v="賣家宅配：大型/超重物品運送"/>
    <s v=""/>
    <s v=""/>
    <s v="信用卡"/>
    <s v="2026-04-20 23:59"/>
    <s v="新竹物流8179141655"/>
    <s v="2026-04-19 20:13"/>
    <m/>
    <s v="2026-04-21 18:31"/>
    <s v=""/>
    <m/>
    <s v="學習周邊"/>
    <s v="蝦皮"/>
  </r>
  <r>
    <s v="2604198T0NY111"/>
    <x v="7"/>
    <s v=""/>
    <s v=""/>
    <s v="i******t"/>
    <x v="18"/>
    <s v="698.00"/>
    <s v="0.00"/>
    <s v="0.00"/>
    <s v="0.00"/>
    <s v="698.00"/>
    <s v="0.00"/>
    <s v="0"/>
    <s v="0.00"/>
    <s v=""/>
    <s v="0.00"/>
    <s v="0.00"/>
    <s v="0.00"/>
    <s v="61.00"/>
    <s v="31.00"/>
    <s v="17.00"/>
    <s v="0"/>
    <s v="2.50%"/>
    <s v=""/>
    <x v="43"/>
    <s v="26604288508"/>
    <s v="紅"/>
    <s v="256125312895"/>
    <s v="26604288508_256125312895"/>
    <n v="499"/>
    <x v="6"/>
    <x v="57"/>
    <s v="20230EA00"/>
    <n v="1"/>
    <s v="0"/>
    <s v="N"/>
    <s v="-"/>
    <s v="80******"/>
    <s v="****"/>
    <s v="0928000888,14293067#1"/>
    <s v=""/>
    <s v="高雄市"/>
    <s v="三民區"/>
    <s v="807"/>
    <s v="陳*芸"/>
    <s v="賣家宅配：大型/超重物品運送"/>
    <s v=""/>
    <s v=""/>
    <s v="信用卡"/>
    <s v="2026-04-20 23:59"/>
    <s v="新竹物流8179141644"/>
    <s v="2026-04-19 21:00"/>
    <m/>
    <s v="2026-04-27 17:39"/>
    <s v=""/>
    <m/>
    <s v="生活周邊"/>
    <s v="蝦皮"/>
  </r>
  <r>
    <s v="2604198T0NY111"/>
    <x v="7"/>
    <s v=""/>
    <s v=""/>
    <s v="i******t"/>
    <x v="18"/>
    <s v="698.00"/>
    <s v="0.00"/>
    <s v="0.00"/>
    <s v="0.00"/>
    <s v="698.00"/>
    <s v="0.00"/>
    <s v="0"/>
    <s v="0.00"/>
    <s v=""/>
    <s v="0.00"/>
    <s v="0.00"/>
    <s v="0.00"/>
    <s v="61.00"/>
    <s v="31.00"/>
    <s v="17.00"/>
    <s v="0"/>
    <s v="2.50%"/>
    <s v=""/>
    <x v="44"/>
    <s v="27804302154"/>
    <s v="110 cm"/>
    <s v="251124113004"/>
    <s v="27804302154_251124113004"/>
    <n v="599"/>
    <x v="39"/>
    <x v="58"/>
    <s v="20220KA01"/>
    <n v="1"/>
    <s v="0"/>
    <s v="N"/>
    <s v="-"/>
    <s v="80******"/>
    <s v="****"/>
    <s v="0928000888,14293067#1"/>
    <s v=""/>
    <s v="高雄市"/>
    <s v="三民區"/>
    <s v="807"/>
    <s v="陳*芸"/>
    <s v="賣家宅配：大型/超重物品運送"/>
    <s v=""/>
    <s v=""/>
    <s v="信用卡"/>
    <s v="2026-04-20 23:59"/>
    <s v="新竹物流8179141644"/>
    <s v="2026-04-19 21:00"/>
    <m/>
    <s v="2026-04-27 17:39"/>
    <s v=""/>
    <m/>
    <s v="生活周邊"/>
    <s v="蝦皮"/>
  </r>
  <r>
    <s v="26042097YP3R9E"/>
    <x v="8"/>
    <s v=""/>
    <s v=""/>
    <s v="f***m"/>
    <x v="19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91******"/>
    <s v="****"/>
    <s v="0928000888,01479821#1"/>
    <s v=""/>
    <s v="屏東縣"/>
    <s v="內埔鄉"/>
    <s v="912"/>
    <s v="張*逸"/>
    <s v="賣家宅配：大型/超重物品運送"/>
    <s v=""/>
    <s v=""/>
    <s v="信用卡"/>
    <s v="2026-04-21 23:59"/>
    <s v="新竹物流8179143781"/>
    <s v="2026-04-20 01:10"/>
    <m/>
    <s v="2026-04-22 22:25"/>
    <s v=""/>
    <m/>
    <s v="學習"/>
    <s v="蝦皮"/>
  </r>
  <r>
    <s v="2604209SP8D20X"/>
    <x v="3"/>
    <s v=""/>
    <s v=""/>
    <s v="j******4"/>
    <x v="19"/>
    <s v="588.00"/>
    <s v="0.00"/>
    <s v="0.00"/>
    <s v="0.00"/>
    <s v="588.00"/>
    <s v="0.00"/>
    <s v="0"/>
    <s v="0.00"/>
    <s v="D1KCYSD04"/>
    <s v="0.00"/>
    <s v="0.00"/>
    <s v="10.00"/>
    <s v="51.00"/>
    <s v="28.00"/>
    <s v="15.00"/>
    <s v="0"/>
    <s v="2.50%"/>
    <s v=""/>
    <x v="7"/>
    <s v="28157944827"/>
    <s v="單購"/>
    <s v="276894603061"/>
    <s v="28157944827_276894603061"/>
    <n v="399"/>
    <x v="6"/>
    <x v="6"/>
    <s v="20250FXAM"/>
    <n v="2"/>
    <s v="0"/>
    <s v="N"/>
    <s v="-"/>
    <s v="414 臺中市烏日區光日路1號4樓"/>
    <s v="****"/>
    <s v="0928000888,86835566#1"/>
    <s v=""/>
    <s v="臺中市"/>
    <s v="烏日區"/>
    <s v="414"/>
    <s v="楊紘羽"/>
    <s v="賣家宅配：大型/超重物品運送"/>
    <s v=""/>
    <s v=""/>
    <s v="信用卡"/>
    <s v="2026-04-21 23:59"/>
    <s v="新竹物流8179143792"/>
    <s v="2026-04-20 06:27"/>
    <m/>
    <s v=""/>
    <s v=""/>
    <m/>
    <s v="學習周邊"/>
    <s v="蝦皮"/>
  </r>
  <r>
    <s v="260420A13ES7A1"/>
    <x v="8"/>
    <s v=""/>
    <s v=""/>
    <s v="m******u"/>
    <x v="19"/>
    <s v="7799.00"/>
    <s v="0.00"/>
    <s v="0.00"/>
    <s v="0.00"/>
    <s v="7799.00"/>
    <s v="0.00"/>
    <s v="0"/>
    <s v="0.00"/>
    <s v="MUMBABY20;BENE0450"/>
    <s v="50.00"/>
    <s v="0.00"/>
    <s v="50.00"/>
    <s v="667.00"/>
    <s v="245.00"/>
    <s v="196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81******"/>
    <s v="****"/>
    <s v="0928000888,42338515#1"/>
    <s v=""/>
    <s v="高雄市"/>
    <s v="仁武區"/>
    <s v="814"/>
    <s v="許*勛"/>
    <s v="賣家宅配：大型/超重物品運送"/>
    <s v=""/>
    <s v=""/>
    <s v="信用卡"/>
    <s v="2026-04-21 23:59"/>
    <s v="新竹物流8179143803"/>
    <s v="2026-04-20 08:40"/>
    <m/>
    <s v="2026-04-28 09:59"/>
    <s v=""/>
    <m/>
    <s v="學習"/>
    <s v="蝦皮"/>
  </r>
  <r>
    <s v="260420A13ES7A1"/>
    <x v="8"/>
    <s v=""/>
    <s v=""/>
    <s v="m******u"/>
    <x v="19"/>
    <s v="7799.00"/>
    <s v="0.00"/>
    <s v="0.00"/>
    <s v="0.00"/>
    <s v="7799.00"/>
    <s v="0.00"/>
    <s v="0"/>
    <s v="0.00"/>
    <s v="MUMBABY20;BENE0450"/>
    <s v="50.00"/>
    <s v="0.00"/>
    <s v="50.00"/>
    <s v="667.00"/>
    <s v="245.00"/>
    <s v="196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1******"/>
    <s v="****"/>
    <s v="0928000888,42338515#1"/>
    <s v=""/>
    <s v="高雄市"/>
    <s v="仁武區"/>
    <s v="814"/>
    <s v="許*勛"/>
    <s v="賣家宅配：大型/超重物品運送"/>
    <s v=""/>
    <s v=""/>
    <s v="信用卡"/>
    <s v="2026-04-21 23:59"/>
    <s v="新竹物流8179143803"/>
    <s v="2026-04-20 08:40"/>
    <m/>
    <s v="2026-04-28 09:59"/>
    <s v=""/>
    <m/>
    <s v="學習"/>
    <s v="蝦皮"/>
  </r>
  <r>
    <s v="260420A17CN1EX"/>
    <x v="8"/>
    <s v=""/>
    <s v=""/>
    <s v="g******6"/>
    <x v="19"/>
    <s v="2147.00"/>
    <s v="0.00"/>
    <s v="0.00"/>
    <s v="0.00"/>
    <s v="2147.00"/>
    <s v="0.00"/>
    <s v="132"/>
    <s v="0.00"/>
    <s v="BENE0420;MRU2J5E87"/>
    <s v="20.00"/>
    <s v="0.00"/>
    <s v="1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2******"/>
    <s v="****"/>
    <s v="0928000888,56813824#1"/>
    <s v=""/>
    <s v="桃園市"/>
    <s v="中壢區"/>
    <s v="320"/>
    <s v="鍾*君"/>
    <s v="賣家宅配：大型/超重物品運送"/>
    <s v=""/>
    <s v=""/>
    <s v="信用卡"/>
    <s v="2026-04-21 23:59"/>
    <s v="新竹物流8179143814"/>
    <s v="2026-04-20 08:42"/>
    <m/>
    <s v="2026-04-23 08:52"/>
    <s v=""/>
    <m/>
    <s v="學習"/>
    <s v="蝦皮"/>
  </r>
  <r>
    <s v="260420AA0NE4N5"/>
    <x v="8"/>
    <s v=""/>
    <s v=""/>
    <s v="w******q"/>
    <x v="19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80******"/>
    <s v="****"/>
    <s v="0928000888,68509957#1"/>
    <s v=""/>
    <s v="高雄市"/>
    <s v="前鎮區"/>
    <s v="806"/>
    <s v="李*竹"/>
    <s v="賣家宅配：大型/超重物品運送"/>
    <s v=""/>
    <s v=""/>
    <s v="信用卡"/>
    <s v="2026-04-21 23:59"/>
    <s v="新竹物流8179143825"/>
    <s v="2026-04-20 11:19"/>
    <m/>
    <s v="2026-04-27 10:27"/>
    <s v=""/>
    <m/>
    <s v="學習周邊"/>
    <s v="蝦皮"/>
  </r>
  <r>
    <s v="260420AA56BS7E"/>
    <x v="3"/>
    <s v=""/>
    <s v=""/>
    <s v="q******o"/>
    <x v="19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806 高雄市前鎮區崗山中街205號"/>
    <s v="****"/>
    <s v="0928000888,27434961#1"/>
    <s v=""/>
    <s v="高雄市"/>
    <s v="前鎮區"/>
    <s v="806"/>
    <s v="王宣筑"/>
    <s v="賣家宅配：大型/超重物品運送"/>
    <s v=""/>
    <s v=""/>
    <s v="信用卡"/>
    <s v="2026-04-21 23:59"/>
    <s v="新竹物流8179143836"/>
    <s v="2026-04-20 11:23"/>
    <m/>
    <s v=""/>
    <s v=""/>
    <m/>
    <s v="學習周邊"/>
    <s v="蝦皮"/>
  </r>
  <r>
    <s v="260420AA9FP1A6"/>
    <x v="1"/>
    <s v="被買家取消，原因 : 修改訂單內容"/>
    <s v=""/>
    <s v="h******5"/>
    <x v="19"/>
    <s v="2948.00"/>
    <s v="0.00"/>
    <s v="0.00"/>
    <s v="0.00"/>
    <s v="0.00"/>
    <s v="0.00"/>
    <s v="0"/>
    <s v="0.00"/>
    <s v="BENE0450"/>
    <s v="0.00"/>
    <s v="0.00"/>
    <s v="0.00"/>
    <s v="0.00"/>
    <s v="0.00"/>
    <s v="0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33******"/>
    <s v="****"/>
    <s v=""/>
    <s v=""/>
    <s v="桃園市"/>
    <s v="桃園區"/>
    <s v="330"/>
    <s v="吳*蒨"/>
    <s v="賣家宅配：大型/超重物品運送"/>
    <s v=""/>
    <s v=""/>
    <s v="信用卡"/>
    <s v="2026-04-21 23:59"/>
    <s v=""/>
    <s v="2026-04-20 11:25"/>
    <m/>
    <s v=""/>
    <s v=""/>
    <m/>
    <s v="學習"/>
    <s v="蝦皮"/>
  </r>
  <r>
    <s v="260420AAEA7JG0"/>
    <x v="3"/>
    <s v=""/>
    <s v=""/>
    <s v="h******5"/>
    <x v="19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0 桃園市桃園區金山街21號"/>
    <s v="****"/>
    <s v="0928000888,78404910#1"/>
    <s v=""/>
    <s v="桃園市"/>
    <s v="桃園區"/>
    <s v="330"/>
    <s v="吳佳蒨"/>
    <s v="賣家宅配：大型/超重物品運送"/>
    <s v=""/>
    <s v=""/>
    <s v="信用卡"/>
    <s v="2026-04-21 23:59"/>
    <s v="新竹物流8179143840"/>
    <s v="2026-04-20 11:27"/>
    <m/>
    <s v=""/>
    <s v=""/>
    <m/>
    <s v="學習"/>
    <s v="蝦皮"/>
  </r>
  <r>
    <s v="260420AC1S603J"/>
    <x v="8"/>
    <s v=""/>
    <s v=""/>
    <s v="a******6"/>
    <x v="19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73******"/>
    <s v="****"/>
    <s v="0928000888,42845768#1"/>
    <s v=""/>
    <s v="臺南市"/>
    <s v="白河區"/>
    <s v="732"/>
    <s v="劉*鳳"/>
    <s v="賣家宅配：大型/超重物品運送"/>
    <s v=""/>
    <s v=""/>
    <s v="信用卡"/>
    <s v="2026-04-21 23:59"/>
    <s v="新竹物流8179143851"/>
    <s v="2026-04-20 11:56"/>
    <m/>
    <s v="2026-04-23 23:12"/>
    <s v=""/>
    <m/>
    <s v="學習周邊"/>
    <s v="蝦皮"/>
  </r>
  <r>
    <s v="260420AQFFPNFW"/>
    <x v="3"/>
    <s v=""/>
    <s v=""/>
    <s v="c******i"/>
    <x v="19"/>
    <s v="920.00"/>
    <s v="0.00"/>
    <s v="0.00"/>
    <s v="0.00"/>
    <s v="920.00"/>
    <s v="0.00"/>
    <s v="0"/>
    <s v="0.00"/>
    <s v="BENE0420"/>
    <s v="20.00"/>
    <s v="0.00"/>
    <s v="0.00"/>
    <s v="79.00"/>
    <s v="38.00"/>
    <s v="23.00"/>
    <s v="0"/>
    <s v="2.50%"/>
    <s v=""/>
    <x v="44"/>
    <s v="27804302154"/>
    <s v="110 cm"/>
    <s v="251124113004"/>
    <s v="27804302154_251124113004"/>
    <n v="599"/>
    <x v="39"/>
    <x v="58"/>
    <s v="20220KA01"/>
    <n v="1"/>
    <s v="0"/>
    <s v="N"/>
    <s v="-"/>
    <s v="300 新竹市東區西大路127號4樓"/>
    <s v="****"/>
    <s v="0928000888,68482924#1"/>
    <s v=""/>
    <s v="新竹市"/>
    <s v="東區"/>
    <s v="300"/>
    <s v="古璧甄"/>
    <s v="賣家宅配：大型/超重物品運送"/>
    <s v=""/>
    <s v=""/>
    <s v="信用卡"/>
    <s v="2026-04-21 23:59"/>
    <s v="新竹物流8179143895"/>
    <s v="2026-04-20 15:20"/>
    <m/>
    <s v=""/>
    <s v=""/>
    <m/>
    <s v="生活周邊"/>
    <s v="蝦皮"/>
  </r>
  <r>
    <s v="260420AQFFPNFW"/>
    <x v="3"/>
    <s v=""/>
    <s v=""/>
    <s v="c******i"/>
    <x v="19"/>
    <s v="920.00"/>
    <s v="0.00"/>
    <s v="0.00"/>
    <s v="0.00"/>
    <s v="920.00"/>
    <s v="0.00"/>
    <s v="0"/>
    <s v="0.00"/>
    <s v="BENE0420"/>
    <s v="20.00"/>
    <s v="0.00"/>
    <s v="0.00"/>
    <s v="79.00"/>
    <s v="38.00"/>
    <s v="23.00"/>
    <s v="0"/>
    <s v="2.50%"/>
    <s v=""/>
    <x v="24"/>
    <s v="48855814036"/>
    <s v="記憶小高手"/>
    <s v="297387110146"/>
    <s v="48855814036_297387110146"/>
    <n v="350"/>
    <x v="23"/>
    <x v="30"/>
    <s v="20244C911"/>
    <n v="3"/>
    <s v="0"/>
    <s v="Y"/>
    <s v="3 件 4折"/>
    <s v="300 新竹市東區西大路127號4樓"/>
    <s v="****"/>
    <s v="0928000888,68482924#1"/>
    <s v=""/>
    <s v="新竹市"/>
    <s v="東區"/>
    <s v="300"/>
    <s v="古璧甄"/>
    <s v="賣家宅配：大型/超重物品運送"/>
    <s v=""/>
    <s v=""/>
    <s v="信用卡"/>
    <s v="2026-04-21 23:59"/>
    <s v="新竹物流8179143895"/>
    <s v="2026-04-20 15:20"/>
    <m/>
    <s v=""/>
    <s v=""/>
    <m/>
    <s v="學習周邊"/>
    <s v="蝦皮"/>
  </r>
  <r>
    <s v="260420AQFFPNFW"/>
    <x v="3"/>
    <s v=""/>
    <s v=""/>
    <s v="c******i"/>
    <x v="19"/>
    <s v="920.00"/>
    <s v="0.00"/>
    <s v="0.00"/>
    <s v="0.00"/>
    <s v="920.00"/>
    <s v="0.00"/>
    <s v="0"/>
    <s v="0.00"/>
    <s v="BENE0420"/>
    <s v="20.00"/>
    <s v="0.00"/>
    <s v="0.00"/>
    <s v="79.00"/>
    <s v="38.00"/>
    <s v="23.00"/>
    <s v="0"/>
    <s v="2.50%"/>
    <s v=""/>
    <x v="21"/>
    <s v="49555184608"/>
    <s v="潛能大挑戰(合成)+貼紙"/>
    <s v="405475283658"/>
    <s v="49555184608_405475283658"/>
    <n v="375"/>
    <x v="20"/>
    <x v="24"/>
    <s v="20254CXAG"/>
    <n v="1"/>
    <s v="0"/>
    <s v="Y"/>
    <s v="3 件 4折"/>
    <s v="300 新竹市東區西大路127號4樓"/>
    <s v="****"/>
    <s v="0928000888,68482924#1"/>
    <s v=""/>
    <s v="新竹市"/>
    <s v="東區"/>
    <s v="300"/>
    <s v="古璧甄"/>
    <s v="賣家宅配：大型/超重物品運送"/>
    <s v=""/>
    <s v=""/>
    <s v="信用卡"/>
    <s v="2026-04-21 23:59"/>
    <s v="新竹物流8179143895"/>
    <s v="2026-04-20 15:20"/>
    <m/>
    <s v=""/>
    <s v=""/>
    <m/>
    <s v="學習周邊"/>
    <s v="蝦皮"/>
  </r>
  <r>
    <s v="260420AQFFPNFW"/>
    <x v="3"/>
    <s v=""/>
    <s v=""/>
    <s v="c******i"/>
    <x v="19"/>
    <s v="920.00"/>
    <s v="0.00"/>
    <s v="0.00"/>
    <s v="0.00"/>
    <s v="920.00"/>
    <s v="0.00"/>
    <s v="0"/>
    <s v="0.00"/>
    <s v="BENE0420"/>
    <s v="20.00"/>
    <s v="0.00"/>
    <s v="0.00"/>
    <s v="79.00"/>
    <s v="38.00"/>
    <s v="23.00"/>
    <s v="0"/>
    <s v="2.50%"/>
    <s v=""/>
    <x v="21"/>
    <s v="49555184608"/>
    <s v="潛能大挑戰(認識整點鐘)+貼紙"/>
    <s v="405475283662"/>
    <s v="49555184608_405475283662"/>
    <n v="375"/>
    <x v="20"/>
    <x v="25"/>
    <s v="20254CXAM"/>
    <n v="1"/>
    <s v="0"/>
    <s v="Y"/>
    <s v="3 件 4折"/>
    <s v="300 新竹市東區西大路127號4樓"/>
    <s v="****"/>
    <s v="0928000888,68482924#1"/>
    <s v=""/>
    <s v="新竹市"/>
    <s v="東區"/>
    <s v="300"/>
    <s v="古璧甄"/>
    <s v="賣家宅配：大型/超重物品運送"/>
    <s v=""/>
    <s v=""/>
    <s v="信用卡"/>
    <s v="2026-04-21 23:59"/>
    <s v="新竹物流8179143895"/>
    <s v="2026-04-20 15:20"/>
    <m/>
    <s v=""/>
    <s v=""/>
    <m/>
    <s v="學習周邊"/>
    <s v="蝦皮"/>
  </r>
  <r>
    <s v="260420ATU8719W"/>
    <x v="8"/>
    <s v=""/>
    <s v=""/>
    <s v="v******3"/>
    <x v="19"/>
    <s v="2948.00"/>
    <s v="0.00"/>
    <s v="0.00"/>
    <s v="0.00"/>
    <s v="2948.00"/>
    <s v="0.00"/>
    <s v="0"/>
    <s v="0.00"/>
    <s v="BENE0450"/>
    <s v="50.00"/>
    <s v="0.00"/>
    <s v="0.00"/>
    <s v="251.00"/>
    <s v="98.00"/>
    <s v="74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41******"/>
    <s v="****"/>
    <s v="0928000888,40328925#1"/>
    <s v=""/>
    <s v="臺中市"/>
    <s v="烏日區"/>
    <s v="414"/>
    <s v="宋*天"/>
    <s v="賣家宅配：大型/超重物品運送"/>
    <s v=""/>
    <s v=""/>
    <s v="信用卡"/>
    <s v="2026-04-21 23:59"/>
    <s v="新竹物流8179143906"/>
    <s v="2026-04-20 16:21"/>
    <m/>
    <s v="2026-04-22 15:45"/>
    <s v=""/>
    <m/>
    <s v="學習"/>
    <s v="蝦皮"/>
  </r>
  <r>
    <s v="260420B0U5UATS"/>
    <x v="3"/>
    <s v=""/>
    <s v=""/>
    <s v="a******r"/>
    <x v="19"/>
    <s v="2760.00"/>
    <s v="0.00"/>
    <s v="0.00"/>
    <s v="0.00"/>
    <s v="2760.00"/>
    <s v="0.00"/>
    <s v="189"/>
    <s v="0.00"/>
    <s v="BENE0450;S5U3DJTMV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112 臺北市北投區磺港路138號9樓"/>
    <s v="****"/>
    <s v="0928000888,01549801#1"/>
    <s v=""/>
    <s v="臺北市"/>
    <s v="北投區"/>
    <s v="112"/>
    <s v="韓佳恩"/>
    <s v="賣家宅配：大型/超重物品運送"/>
    <s v=""/>
    <s v=""/>
    <s v="信用卡"/>
    <s v="2026-04-21 23:59"/>
    <s v="新竹物流8179143862"/>
    <s v="2026-04-20 18:08"/>
    <m/>
    <s v=""/>
    <s v=""/>
    <m/>
    <s v="學習"/>
    <s v="蝦皮"/>
  </r>
  <r>
    <s v="260420B2C0XHRF"/>
    <x v="8"/>
    <s v=""/>
    <s v=""/>
    <s v="l******9"/>
    <x v="19"/>
    <s v="3150.00"/>
    <s v="0.00"/>
    <s v="0.00"/>
    <s v="0.00"/>
    <s v="3150.00"/>
    <s v="0.00"/>
    <s v="0"/>
    <s v="0.00"/>
    <s v="BENE0450;KPDDU5PSP"/>
    <s v="50.00"/>
    <s v="0.00"/>
    <s v="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1******"/>
    <s v="****"/>
    <s v="0928000888,18758061#1"/>
    <s v=""/>
    <s v="臺北市"/>
    <s v="文山區"/>
    <s v="116"/>
    <s v="林*諭"/>
    <s v="賣家宅配：大型/超重物品運送"/>
    <s v=""/>
    <s v=""/>
    <s v="信用卡"/>
    <s v="2026-04-21 23:59"/>
    <s v="新竹物流8179143884"/>
    <s v="2026-04-20 18:35"/>
    <m/>
    <s v="2026-04-29 17:51"/>
    <s v=""/>
    <m/>
    <s v="學習"/>
    <s v="蝦皮"/>
  </r>
  <r>
    <s v="260420BB54YPMG"/>
    <x v="8"/>
    <s v=""/>
    <s v=""/>
    <s v="e******5"/>
    <x v="19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64******"/>
    <s v="****"/>
    <s v="0928000888,81987263#1"/>
    <s v=""/>
    <s v="雲林縣"/>
    <s v="斗六市"/>
    <s v="640"/>
    <s v="楊*山"/>
    <s v="賣家宅配：大型/超重物品運送"/>
    <s v=""/>
    <s v=""/>
    <s v="信用卡"/>
    <s v="2026-04-21 23:59"/>
    <s v="新竹物流8179143873"/>
    <s v="2026-04-20 21:14"/>
    <m/>
    <s v="2026-04-25 18:39"/>
    <s v=""/>
    <m/>
    <s v="學習"/>
    <s v="蝦皮"/>
  </r>
  <r>
    <s v="260421CJK586JS"/>
    <x v="9"/>
    <s v=""/>
    <s v=""/>
    <s v="l******c"/>
    <x v="20"/>
    <s v="298.00"/>
    <s v="100.00"/>
    <s v="0.00"/>
    <s v="0.00"/>
    <s v="398.00"/>
    <s v="0.00"/>
    <s v="1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3******"/>
    <s v="****"/>
    <s v="0928000888,48014359#1"/>
    <s v=""/>
    <s v="新北市"/>
    <s v="中和區"/>
    <s v="235"/>
    <s v="彭*皓"/>
    <s v="賣家宅配：大型/超重物品運送"/>
    <s v=""/>
    <s v=""/>
    <s v="信用卡"/>
    <s v="2026-04-22 23:59"/>
    <s v="新竹物流8179147734"/>
    <s v="2026-04-21 08:58"/>
    <m/>
    <s v="2026-04-24 18:17"/>
    <s v=""/>
    <m/>
    <s v="學習周邊"/>
    <s v="蝦皮"/>
  </r>
  <r>
    <s v="260421CTDMU8JY"/>
    <x v="9"/>
    <s v=""/>
    <s v=""/>
    <s v="s******6"/>
    <x v="20"/>
    <s v="5947.00"/>
    <s v="0.00"/>
    <s v="0.00"/>
    <s v="0.00"/>
    <s v="5947.00"/>
    <s v="0.00"/>
    <s v="0"/>
    <s v="0.00"/>
    <s v="MUM2604E"/>
    <s v="0.00"/>
    <s v="0.00"/>
    <s v="50.00"/>
    <s v="510.00"/>
    <s v="190.00"/>
    <s v="150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90******"/>
    <s v="****"/>
    <s v="0928000888,62892922#1"/>
    <s v=""/>
    <s v="屏東縣"/>
    <s v="屏東市"/>
    <s v="900"/>
    <s v="王*婷"/>
    <s v="賣家宅配：大型/超重物品運送"/>
    <s v=""/>
    <s v=""/>
    <s v="信用卡"/>
    <s v="2026-04-22 23:59"/>
    <s v="新竹物流8179147745"/>
    <s v="2026-04-21 11:18"/>
    <m/>
    <s v="2026-04-23 15:12"/>
    <s v=""/>
    <m/>
    <s v="學習周邊"/>
    <s v="蝦皮"/>
  </r>
  <r>
    <s v="260421CTDMU8JY"/>
    <x v="9"/>
    <s v=""/>
    <s v=""/>
    <s v="s******6"/>
    <x v="20"/>
    <s v="5947.00"/>
    <s v="0.00"/>
    <s v="0.00"/>
    <s v="0.00"/>
    <s v="5947.00"/>
    <s v="0.00"/>
    <s v="0"/>
    <s v="0.00"/>
    <s v="MUM2604E"/>
    <s v="0.00"/>
    <s v="0.00"/>
    <s v="50.00"/>
    <s v="510.00"/>
    <s v="190.00"/>
    <s v="150.00"/>
    <s v="0"/>
    <s v="2.50%"/>
    <s v=""/>
    <x v="16"/>
    <s v="29710271443"/>
    <s v="(加購)拖把小精靈套組"/>
    <s v="301830926960"/>
    <s v="29710271443_301830926960"/>
    <n v="6800"/>
    <x v="44"/>
    <x v="59"/>
    <s v="20250FXAK"/>
    <n v="1"/>
    <s v="0"/>
    <s v="N"/>
    <s v="-"/>
    <s v="90******"/>
    <s v="****"/>
    <s v="0928000888,62892922#1"/>
    <s v=""/>
    <s v="屏東縣"/>
    <s v="屏東市"/>
    <s v="900"/>
    <s v="王*婷"/>
    <s v="賣家宅配：大型/超重物品運送"/>
    <s v=""/>
    <s v=""/>
    <s v="信用卡"/>
    <s v="2026-04-22 23:59"/>
    <s v="新竹物流8179147745"/>
    <s v="2026-04-21 11:18"/>
    <m/>
    <s v="2026-04-23 15:12"/>
    <s v=""/>
    <m/>
    <s v="學習"/>
    <s v="蝦皮"/>
  </r>
  <r>
    <s v="260421CUJ8W8JX"/>
    <x v="3"/>
    <s v=""/>
    <s v=""/>
    <s v="l******0"/>
    <x v="20"/>
    <s v="2528.00"/>
    <s v="0.00"/>
    <s v="0.00"/>
    <s v="0.00"/>
    <s v="2528.00"/>
    <s v="0.00"/>
    <s v="0"/>
    <s v="0.00"/>
    <s v="MUMBABY20;BENE0420"/>
    <s v="20.00"/>
    <s v="0.00"/>
    <s v="5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4 桃園市平鎮區興華街99巷8號2樓 麗芝寶管理室代收"/>
    <s v="****"/>
    <s v="0928000888,19040420#1"/>
    <s v=""/>
    <s v="桃園市"/>
    <s v="平鎮區"/>
    <s v="324"/>
    <s v="胡晏綸"/>
    <s v="賣家宅配：大型/超重物品運送"/>
    <s v=""/>
    <s v=""/>
    <s v="信用卡"/>
    <s v="2026-04-22 23:59"/>
    <s v="新竹物流8179147756"/>
    <s v="2026-04-21 11:39"/>
    <m/>
    <s v=""/>
    <s v=""/>
    <m/>
    <s v="學習"/>
    <s v="蝦皮"/>
  </r>
  <r>
    <s v="260421CX4BC8KT"/>
    <x v="9"/>
    <s v=""/>
    <s v=""/>
    <s v="z******6"/>
    <x v="20"/>
    <s v="879.00"/>
    <s v="0.00"/>
    <s v="0.00"/>
    <s v="0.00"/>
    <s v="879.00"/>
    <s v="0.00"/>
    <s v="0"/>
    <s v="0.00"/>
    <s v="BENE0420"/>
    <s v="20.00"/>
    <s v="0.00"/>
    <s v="0.00"/>
    <s v="75.00"/>
    <s v="36.00"/>
    <s v="22.00"/>
    <s v="0"/>
    <s v="2.50%"/>
    <s v=""/>
    <x v="38"/>
    <s v="27054285598"/>
    <s v=""/>
    <s v="166553114962"/>
    <s v="27054285598_166553114962"/>
    <n v="899"/>
    <x v="40"/>
    <x v="52"/>
    <s v="20220H002"/>
    <n v="1"/>
    <s v="0"/>
    <s v="N"/>
    <s v="-"/>
    <s v="72******"/>
    <s v="****"/>
    <s v="0928000888,41204396#1"/>
    <s v=""/>
    <s v="臺南市"/>
    <s v="官田區"/>
    <s v="720"/>
    <s v="陳*恩"/>
    <s v="賣家宅配：大型/超重物品運送"/>
    <s v=""/>
    <s v=""/>
    <s v="信用卡"/>
    <s v="2026-04-22 23:59"/>
    <s v="新竹物流8179147760"/>
    <s v="2026-04-21 12:26"/>
    <m/>
    <s v="2026-04-25 14:40"/>
    <s v=""/>
    <m/>
    <s v="生活周邊"/>
    <s v="蝦皮"/>
  </r>
  <r>
    <s v="260421D3EHR28P"/>
    <x v="9"/>
    <s v=""/>
    <s v=""/>
    <s v="k******o"/>
    <x v="20"/>
    <s v="2900.00"/>
    <s v="0.00"/>
    <s v="0.00"/>
    <s v="0.00"/>
    <s v="2900.00"/>
    <s v="0.00"/>
    <s v="0"/>
    <s v="0.00"/>
    <s v="BENE0450;TKBVIP2604C"/>
    <s v="50.00"/>
    <s v="0.00"/>
    <s v="250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81******"/>
    <s v="****"/>
    <s v="0928000888,79940672#1"/>
    <s v=""/>
    <s v="高雄市"/>
    <s v="楠梓區"/>
    <s v="811"/>
    <s v="彭*婷"/>
    <s v="賣家宅配：大型/超重物品運送"/>
    <s v=""/>
    <s v=""/>
    <s v="信用卡"/>
    <s v="2026-04-22 23:59"/>
    <s v="新竹物流8179147771"/>
    <s v="2026-04-21 14:00"/>
    <m/>
    <s v="2026-04-26 19:59"/>
    <s v=""/>
    <m/>
    <s v="學習"/>
    <s v="蝦皮"/>
  </r>
  <r>
    <s v="260421D3HRRCT0"/>
    <x v="3"/>
    <s v=""/>
    <s v=""/>
    <s v="5******y"/>
    <x v="20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106 臺北市大安區信義路四段302巷7號4樓"/>
    <s v="****"/>
    <s v="0928000888,91913175#1"/>
    <s v=""/>
    <s v="臺北市"/>
    <s v="大安區"/>
    <s v="106"/>
    <s v="施雅心"/>
    <s v="賣家宅配：大型/超重物品運送"/>
    <s v=""/>
    <s v=""/>
    <s v="信用卡"/>
    <s v="2026-04-22 23:59"/>
    <s v="新竹物流8179147782"/>
    <s v="2026-04-21 14:02"/>
    <m/>
    <s v=""/>
    <s v=""/>
    <m/>
    <s v="學習"/>
    <s v="蝦皮"/>
  </r>
  <r>
    <s v="260421DACSAYH3"/>
    <x v="3"/>
    <s v=""/>
    <s v=""/>
    <s v="l******1"/>
    <x v="20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640 雲林縣斗六市雲林縣斗六市文化路938巷72號8樓之2"/>
    <s v="****"/>
    <s v="0928000888,44066963#1"/>
    <s v=""/>
    <s v="雲林縣"/>
    <s v="斗六市"/>
    <s v="640"/>
    <s v="陳冠廷"/>
    <s v="賣家宅配：大型/超重物品運送"/>
    <s v=""/>
    <s v=""/>
    <s v="信用卡"/>
    <s v="2026-04-22 23:59"/>
    <s v="新竹物流8179147804"/>
    <s v="2026-04-21 16:04"/>
    <m/>
    <s v=""/>
    <s v=""/>
    <m/>
    <s v="學習周邊"/>
    <s v="蝦皮"/>
  </r>
  <r>
    <s v="260421DB1RRG0P"/>
    <x v="3"/>
    <s v=""/>
    <s v=""/>
    <s v="s******n"/>
    <x v="20"/>
    <s v="2900.00"/>
    <s v="0.00"/>
    <s v="0.00"/>
    <s v="0.00"/>
    <s v="2900.00"/>
    <s v="0.00"/>
    <s v="0"/>
    <s v="0.00"/>
    <s v="TKBVIP2604C;BENE0450"/>
    <s v="50.00"/>
    <s v="0.00"/>
    <s v="25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16 臺北市文山區秀明路一段129巷45號3樓"/>
    <s v="****"/>
    <s v="0928000888,35472565#1"/>
    <s v=""/>
    <s v="臺北市"/>
    <s v="文山區"/>
    <s v="116"/>
    <s v="林琬庭"/>
    <s v="賣家宅配：大型/超重物品運送"/>
    <s v=""/>
    <s v=""/>
    <s v="信用卡"/>
    <s v="2026-04-22 23:59"/>
    <s v="新竹物流8179147793"/>
    <s v="2026-04-21 16:16"/>
    <m/>
    <s v=""/>
    <s v=""/>
    <m/>
    <s v="學習"/>
    <s v="蝦皮"/>
  </r>
  <r>
    <s v="260421DFHXM0BY"/>
    <x v="1"/>
    <s v="被買家取消，原因 : 修改訂單內容"/>
    <s v=""/>
    <s v="c******u"/>
    <x v="20"/>
    <s v="2578.00"/>
    <s v="0.00"/>
    <s v="0.00"/>
    <s v="0.00"/>
    <s v="0.00"/>
    <s v="0.00"/>
    <s v="0"/>
    <s v="0.00"/>
    <s v="BENE0420"/>
    <s v="0.00"/>
    <s v="0.00"/>
    <s v="0.00"/>
    <s v="0.00"/>
    <s v="0.00"/>
    <s v="0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0******"/>
    <s v="****"/>
    <s v=""/>
    <s v=""/>
    <s v="臺北市"/>
    <s v="松山區"/>
    <s v="105"/>
    <s v="鄒*秀"/>
    <s v="賣家宅配：大型/超重物品運送"/>
    <s v=""/>
    <s v=""/>
    <s v="信用卡"/>
    <s v="2026-04-22 23:59"/>
    <s v=""/>
    <s v="2026-04-21 17:37"/>
    <m/>
    <s v=""/>
    <s v=""/>
    <m/>
    <s v="學習"/>
    <s v="蝦皮"/>
  </r>
  <r>
    <s v="260421DH8V6XV7"/>
    <x v="3"/>
    <s v=""/>
    <s v=""/>
    <s v="c******u"/>
    <x v="20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05 臺北市松山區八德路四段204巷六弄七號五樓"/>
    <s v="****"/>
    <s v="0928000888,16697773#1"/>
    <s v=""/>
    <s v="臺北市"/>
    <s v="松山區"/>
    <s v="105"/>
    <s v="鄒佳秀"/>
    <s v="賣家宅配：大型/超重物品運送"/>
    <s v=""/>
    <s v=""/>
    <s v="信用卡"/>
    <s v="2026-04-22 23:59"/>
    <s v="新竹物流8179147815"/>
    <s v="2026-04-21 18:08"/>
    <m/>
    <s v=""/>
    <s v=""/>
    <m/>
    <s v="學習"/>
    <s v="蝦皮"/>
  </r>
  <r>
    <s v="260421DHCNCGEE"/>
    <x v="9"/>
    <s v=""/>
    <s v=""/>
    <s v="a******e"/>
    <x v="20"/>
    <s v="3348.00"/>
    <s v="0.00"/>
    <s v="0.00"/>
    <s v="0.00"/>
    <s v="3348.00"/>
    <s v="0.00"/>
    <s v="0"/>
    <s v="0.00"/>
    <s v="BENE0450;TR95H33SP"/>
    <s v="50.00"/>
    <s v="0.00"/>
    <s v="0.00"/>
    <s v="285.00"/>
    <s v="110.00"/>
    <s v="8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84******"/>
    <s v="****"/>
    <s v="0928000888,05272041#1"/>
    <s v=""/>
    <s v="高雄市"/>
    <s v="旗山區"/>
    <s v="842"/>
    <s v="張*伊"/>
    <s v="賣家宅配：大型/超重物品運送"/>
    <s v=""/>
    <s v=""/>
    <s v="信用卡"/>
    <s v="2026-04-22 23:59"/>
    <s v="新竹物流8179147826"/>
    <s v="2026-04-21 18:10"/>
    <m/>
    <s v="2026-04-25 00:05"/>
    <s v=""/>
    <m/>
    <s v="學習周邊"/>
    <s v="蝦皮"/>
  </r>
  <r>
    <s v="260421DHCNCGEE"/>
    <x v="9"/>
    <s v=""/>
    <s v=""/>
    <s v="a******e"/>
    <x v="20"/>
    <s v="3348.00"/>
    <s v="0.00"/>
    <s v="0.00"/>
    <s v="0.00"/>
    <s v="3348.00"/>
    <s v="0.00"/>
    <s v="0"/>
    <s v="0.00"/>
    <s v="BENE0450;TR95H33SP"/>
    <s v="50.00"/>
    <s v="0.00"/>
    <s v="0.00"/>
    <s v="285.00"/>
    <s v="110.00"/>
    <s v="84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4******"/>
    <s v="****"/>
    <s v="0928000888,05272041#1"/>
    <s v=""/>
    <s v="高雄市"/>
    <s v="旗山區"/>
    <s v="842"/>
    <s v="張*伊"/>
    <s v="賣家宅配：大型/超重物品運送"/>
    <s v=""/>
    <s v=""/>
    <s v="信用卡"/>
    <s v="2026-04-22 23:59"/>
    <s v="新竹物流8179147826"/>
    <s v="2026-04-21 18:10"/>
    <m/>
    <s v="2026-04-25 00:05"/>
    <s v=""/>
    <m/>
    <s v="學習"/>
    <s v="蝦皮"/>
  </r>
  <r>
    <s v="260421DMTU3J1C"/>
    <x v="1"/>
    <s v="系統自動判定訂單不成立，原因 : 未收到款項"/>
    <s v=""/>
    <s v="m******y"/>
    <x v="20"/>
    <s v="2949.00"/>
    <s v="0.00"/>
    <s v="0.00"/>
    <s v="0.00"/>
    <s v="0.00"/>
    <s v="0.00"/>
    <s v="0"/>
    <s v="0.00"/>
    <s v="BENE0450"/>
    <s v="0.00"/>
    <s v="0.00"/>
    <s v="0.00"/>
    <s v="0.00"/>
    <s v="0.00"/>
    <s v="0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10******"/>
    <s v="****"/>
    <s v=""/>
    <s v=""/>
    <s v="臺北市"/>
    <s v="大安區"/>
    <s v="106"/>
    <s v="廖*汝"/>
    <s v="賣家宅配：大型/超重物品運送"/>
    <s v=""/>
    <s v=""/>
    <s v="信用卡"/>
    <s v=""/>
    <s v=""/>
    <s v="-"/>
    <m/>
    <s v=""/>
    <s v=""/>
    <m/>
    <s v="學習"/>
    <s v="蝦皮"/>
  </r>
  <r>
    <s v="260421DW97QH35"/>
    <x v="9"/>
    <s v=""/>
    <s v=""/>
    <s v="l******7"/>
    <x v="20"/>
    <s v="3147.00"/>
    <s v="0.00"/>
    <s v="0.00"/>
    <s v="0.00"/>
    <s v="3147.00"/>
    <s v="0.00"/>
    <s v="0"/>
    <s v="0.00"/>
    <s v="BENE0450"/>
    <s v="50.00"/>
    <s v="0.00"/>
    <s v="0.00"/>
    <s v="267.00"/>
    <s v="104.00"/>
    <s v="79.00"/>
    <s v="0"/>
    <s v="2.50%"/>
    <s v=""/>
    <x v="15"/>
    <s v="26004461505"/>
    <s v=""/>
    <s v="222957909377"/>
    <s v="26004461505_222957909377"/>
    <n v="690"/>
    <x v="8"/>
    <x v="16"/>
    <s v="20230H008"/>
    <n v="1"/>
    <s v="0"/>
    <s v="N"/>
    <s v="-"/>
    <s v="11******"/>
    <s v="****"/>
    <s v="0928000888,28815084#1"/>
    <s v=""/>
    <s v="臺北市"/>
    <s v="內湖區"/>
    <s v="114"/>
    <s v="張*熏"/>
    <s v="賣家宅配：大型/超重物品運送"/>
    <s v=""/>
    <s v=""/>
    <s v="信用卡"/>
    <s v="2026-04-22 23:59"/>
    <s v="新竹物流8179147841"/>
    <s v="2026-04-21 21:42"/>
    <m/>
    <s v="2026-04-23 22:52"/>
    <s v=""/>
    <m/>
    <s v="生活周邊"/>
    <s v="蝦皮"/>
  </r>
  <r>
    <s v="260421DW97QH35"/>
    <x v="9"/>
    <s v=""/>
    <s v=""/>
    <s v="l******7"/>
    <x v="20"/>
    <s v="3147.00"/>
    <s v="0.00"/>
    <s v="0.00"/>
    <s v="0.00"/>
    <s v="3147.00"/>
    <s v="0.00"/>
    <s v="0"/>
    <s v="0.00"/>
    <s v="BENE0450"/>
    <s v="50.00"/>
    <s v="0.00"/>
    <s v="0.00"/>
    <s v="267.00"/>
    <s v="104.00"/>
    <s v="79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1******"/>
    <s v="****"/>
    <s v="0928000888,28815084#1"/>
    <s v=""/>
    <s v="臺北市"/>
    <s v="內湖區"/>
    <s v="114"/>
    <s v="張*熏"/>
    <s v="賣家宅配：大型/超重物品運送"/>
    <s v=""/>
    <s v=""/>
    <s v="信用卡"/>
    <s v="2026-04-22 23:59"/>
    <s v="新竹物流8179147841"/>
    <s v="2026-04-21 21:42"/>
    <m/>
    <s v="2026-04-23 22:52"/>
    <s v=""/>
    <m/>
    <s v="學習"/>
    <s v="蝦皮"/>
  </r>
  <r>
    <s v="260421E08738QW"/>
    <x v="3"/>
    <s v=""/>
    <s v=""/>
    <s v="t******5"/>
    <x v="20"/>
    <s v="2537.00"/>
    <s v="0.00"/>
    <s v="0.00"/>
    <s v="0.00"/>
    <s v="2537.00"/>
    <s v="0.00"/>
    <s v="11"/>
    <s v="0.00"/>
    <s v="MUM2604E"/>
    <s v="0.00"/>
    <s v="0.00"/>
    <s v="50.00"/>
    <s v="221.00"/>
    <s v="88.00"/>
    <s v="65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7 高雄市三民區順昌街55號4樓"/>
    <s v="****"/>
    <s v="0928000888,47110382#1"/>
    <s v=""/>
    <s v="高雄市"/>
    <s v="三民區"/>
    <s v="807"/>
    <s v="黃楚文"/>
    <s v="賣家宅配：大型/超重物品運送"/>
    <s v=""/>
    <s v=""/>
    <s v="信用卡"/>
    <s v="2026-04-22 23:59"/>
    <s v="新竹物流8179147852"/>
    <s v="2026-04-21 22:35"/>
    <m/>
    <s v=""/>
    <s v=""/>
    <m/>
    <s v="學習"/>
    <s v="蝦皮"/>
  </r>
  <r>
    <s v="260422ESKNSPUA"/>
    <x v="3"/>
    <s v=""/>
    <s v=""/>
    <s v="f******r"/>
    <x v="21"/>
    <s v="3048.00"/>
    <s v="0.00"/>
    <s v="0.00"/>
    <s v="0.00"/>
    <s v="3048.00"/>
    <s v="0.00"/>
    <s v="0"/>
    <s v="0.00"/>
    <s v="BENE0450"/>
    <s v="50.00"/>
    <s v="0.00"/>
    <s v="0.00"/>
    <s v="259.00"/>
    <s v="101.00"/>
    <s v="76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220 新北市板橋區縣民大道三段127巷31號2樓"/>
    <s v="****"/>
    <s v="0928000888,46414957#1"/>
    <s v=""/>
    <s v="新北市"/>
    <s v="板橋區"/>
    <s v="220"/>
    <s v="黃田雅"/>
    <s v="賣家宅配：大型/超重物品運送"/>
    <s v=""/>
    <s v=""/>
    <s v="信用卡"/>
    <s v="2026-04-23 23:59"/>
    <s v="新竹物流8179150464"/>
    <s v="2026-04-22 06:11"/>
    <m/>
    <s v=""/>
    <s v=""/>
    <m/>
    <s v="學習周邊"/>
    <s v="蝦皮"/>
  </r>
  <r>
    <s v="260422ESKNSPUA"/>
    <x v="3"/>
    <s v=""/>
    <s v=""/>
    <s v="f******r"/>
    <x v="21"/>
    <s v="3048.00"/>
    <s v="0.00"/>
    <s v="0.00"/>
    <s v="0.00"/>
    <s v="3048.00"/>
    <s v="0.00"/>
    <s v="0"/>
    <s v="0.00"/>
    <s v="BENE0450"/>
    <s v="50.00"/>
    <s v="0.00"/>
    <s v="0.00"/>
    <s v="259.00"/>
    <s v="101.00"/>
    <s v="76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20 新北市板橋區縣民大道三段127巷31號2樓"/>
    <s v="****"/>
    <s v="0928000888,46414957#1"/>
    <s v=""/>
    <s v="新北市"/>
    <s v="板橋區"/>
    <s v="220"/>
    <s v="黃田雅"/>
    <s v="賣家宅配：大型/超重物品運送"/>
    <s v=""/>
    <s v=""/>
    <s v="信用卡"/>
    <s v="2026-04-23 23:59"/>
    <s v="新竹物流8179150464"/>
    <s v="2026-04-22 06:11"/>
    <m/>
    <s v=""/>
    <s v=""/>
    <m/>
    <s v="學習"/>
    <s v="蝦皮"/>
  </r>
  <r>
    <s v="260422EV3BVSXS"/>
    <x v="10"/>
    <s v=""/>
    <s v=""/>
    <s v="m*****i"/>
    <x v="21"/>
    <s v="2943.00"/>
    <s v="0.00"/>
    <s v="0.00"/>
    <s v="0.00"/>
    <s v="2943.00"/>
    <s v="0.00"/>
    <s v="6"/>
    <s v="0.00"/>
    <s v="BENE0450;S5U3DJTMV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2******"/>
    <s v="****"/>
    <s v="0928000888,17834841#1"/>
    <s v=""/>
    <s v="新北市"/>
    <s v="板橋區"/>
    <s v="220"/>
    <s v="賴*如"/>
    <s v="賣家宅配：大型/超重物品運送"/>
    <s v=""/>
    <s v=""/>
    <s v="信用卡"/>
    <s v="2026-04-23 23:59"/>
    <s v="新竹物流8179150475"/>
    <s v="2026-04-22 06:54"/>
    <m/>
    <s v="2026-05-02 04:56"/>
    <s v=""/>
    <m/>
    <s v="學習"/>
    <s v="蝦皮"/>
  </r>
  <r>
    <s v="260422F3D3K496"/>
    <x v="10"/>
    <s v=""/>
    <s v=""/>
    <s v="s*****6"/>
    <x v="21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2******"/>
    <s v="****"/>
    <s v="0928000888,27944109#1"/>
    <s v=""/>
    <s v="新北市"/>
    <s v="板橋區"/>
    <s v="220"/>
    <s v="施*允"/>
    <s v="賣家宅配：大型/超重物品運送"/>
    <s v=""/>
    <s v=""/>
    <s v="信用卡"/>
    <s v="2026-04-23 23:59"/>
    <s v="新竹物流8179150486"/>
    <s v="2026-04-22 09:06"/>
    <m/>
    <s v="2026-04-25 01:33"/>
    <s v=""/>
    <m/>
    <s v="學習"/>
    <s v="蝦皮"/>
  </r>
  <r>
    <s v="260422FBSCJ1A5"/>
    <x v="10"/>
    <s v=""/>
    <s v=""/>
    <s v="v******1"/>
    <x v="21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******"/>
    <s v="****"/>
    <s v="0928000888,96772370#1"/>
    <s v=""/>
    <s v="臺中市"/>
    <s v="南區"/>
    <s v="402"/>
    <s v="曾*婷"/>
    <s v="賣家宅配：大型/超重物品運送"/>
    <s v=""/>
    <s v=""/>
    <s v="信用卡"/>
    <s v="2026-04-23 23:59"/>
    <s v="新竹物流8179150534"/>
    <s v="2026-04-22 11:34"/>
    <m/>
    <s v="2026-04-26 23:37"/>
    <s v=""/>
    <m/>
    <s v="學習"/>
    <s v="蝦皮"/>
  </r>
  <r>
    <s v="260422FQCHHX2H"/>
    <x v="10"/>
    <s v=""/>
    <s v=""/>
    <s v="w******6"/>
    <x v="21"/>
    <s v="1911.00"/>
    <s v="0.00"/>
    <s v="0.00"/>
    <s v="0.00"/>
    <s v="1911.00"/>
    <s v="0.00"/>
    <s v="288"/>
    <s v="0.00"/>
    <s v="TKB2604W34"/>
    <s v="0.00"/>
    <s v="0.00"/>
    <s v="200.00"/>
    <s v="204.00"/>
    <s v="82.00"/>
    <s v="60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4******"/>
    <s v="****"/>
    <s v="0928000888,80020622#1"/>
    <s v=""/>
    <s v="臺南市"/>
    <s v="安定區"/>
    <s v="745"/>
    <s v="李*容"/>
    <s v="賣家宅配：大型/超重物品運送"/>
    <s v=""/>
    <s v=""/>
    <s v="信用卡分期付款"/>
    <s v="2026-04-23 23:59"/>
    <s v="新竹物流8179150523"/>
    <s v="2026-04-22 15:02"/>
    <m/>
    <s v="2026-04-27 23:20"/>
    <s v=""/>
    <m/>
    <s v="學習"/>
    <s v="蝦皮"/>
  </r>
  <r>
    <s v="260422FR1G1PG6"/>
    <x v="10"/>
    <s v=""/>
    <s v=""/>
    <s v="j******o"/>
    <x v="21"/>
    <s v="2379.00"/>
    <s v="0.00"/>
    <s v="0.00"/>
    <s v="0.00"/>
    <s v="2379.00"/>
    <s v="0.00"/>
    <s v="0"/>
    <s v="0.00"/>
    <s v="BENE0420;KPDDU5PSP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0******"/>
    <s v="****"/>
    <s v="0928000888,72443788#1"/>
    <s v=""/>
    <s v="臺北市"/>
    <s v="中山區"/>
    <s v="104"/>
    <s v="陳*安"/>
    <s v="賣家宅配：大型/超重物品運送"/>
    <s v=""/>
    <s v=""/>
    <s v="信用卡"/>
    <s v="2026-04-23 23:59"/>
    <s v="新竹物流8179150512"/>
    <s v="2026-04-22 15:15"/>
    <m/>
    <s v="2026-04-27 11:43"/>
    <s v=""/>
    <m/>
    <s v="學習"/>
    <s v="蝦皮"/>
  </r>
  <r>
    <s v="260422FS2GPT5C"/>
    <x v="3"/>
    <s v=""/>
    <s v=""/>
    <s v="v******6"/>
    <x v="21"/>
    <s v="4649.00"/>
    <s v="0.00"/>
    <s v="0.00"/>
    <s v="0.00"/>
    <s v="4649.00"/>
    <s v="0.00"/>
    <s v="1"/>
    <s v="0.00"/>
    <s v="TKB2604W34;BENE0450"/>
    <s v="50.00"/>
    <s v="0.00"/>
    <s v="200.00"/>
    <s v="412.00"/>
    <s v="156.00"/>
    <s v="12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22******"/>
    <s v="****"/>
    <s v="0928000888,64093728#1"/>
    <s v=""/>
    <s v="新北市"/>
    <s v="板橋區"/>
    <s v="220"/>
    <s v="雯*"/>
    <s v="賣家宅配：大型/超重物品運送"/>
    <s v=""/>
    <s v=""/>
    <s v="信用卡"/>
    <s v="2026-04-23 23:59"/>
    <s v="新竹物流8179150560"/>
    <s v="2026-04-22 15:33"/>
    <m/>
    <s v=""/>
    <s v=""/>
    <m/>
    <s v="學習"/>
    <s v="蝦皮"/>
  </r>
  <r>
    <s v="260422G1G8CMXJ"/>
    <x v="10"/>
    <s v=""/>
    <s v=""/>
    <s v="f******7"/>
    <x v="21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3******"/>
    <s v="****"/>
    <s v="0928000888,96339398#1"/>
    <s v=""/>
    <s v="桃園市"/>
    <s v="大溪區"/>
    <s v="335"/>
    <s v="陳*芳"/>
    <s v="賣家宅配：大型/超重物品運送"/>
    <s v=""/>
    <s v=""/>
    <s v="信用卡"/>
    <s v="2026-04-23 23:59"/>
    <s v="新竹物流8179150582"/>
    <s v="2026-04-22 18:03"/>
    <m/>
    <s v="2026-04-25 09:59"/>
    <s v=""/>
    <m/>
    <s v="學習周邊"/>
    <s v="蝦皮"/>
  </r>
  <r>
    <s v="260422G1H33BWE"/>
    <x v="3"/>
    <s v=""/>
    <s v=""/>
    <s v="c******6"/>
    <x v="21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235 新北市中和區興南路二段2號5樓之1"/>
    <s v="****"/>
    <s v="0928000888,61501566#1"/>
    <s v=""/>
    <s v="新北市"/>
    <s v="中和區"/>
    <s v="235"/>
    <s v="陳宜萾"/>
    <s v="賣家宅配：大型/超重物品運送"/>
    <s v=""/>
    <s v=""/>
    <s v="信用卡"/>
    <s v="2026-04-23 23:59"/>
    <s v="新竹物流8179150571"/>
    <s v="2026-04-22 18:04"/>
    <m/>
    <s v=""/>
    <s v=""/>
    <m/>
    <s v="學習周邊"/>
    <s v="蝦皮"/>
  </r>
  <r>
    <s v="260422G5T620NT"/>
    <x v="10"/>
    <s v=""/>
    <s v=""/>
    <s v="a******0"/>
    <x v="21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2******"/>
    <s v="****"/>
    <s v="0928000888,96728685#1"/>
    <s v=""/>
    <s v="桃園市"/>
    <s v="楊梅區"/>
    <s v="326"/>
    <s v="李*祐"/>
    <s v="賣家宅配：大型/超重物品運送"/>
    <s v=""/>
    <s v=""/>
    <s v="信用卡"/>
    <s v="2026-04-23 23:59"/>
    <s v="新竹物流8179150545"/>
    <s v="2026-04-22 19:21"/>
    <m/>
    <s v="2026-04-25 16:15"/>
    <s v=""/>
    <m/>
    <s v="學習"/>
    <s v="蝦皮"/>
  </r>
  <r>
    <s v="260422GCMS6EGH"/>
    <x v="10"/>
    <s v=""/>
    <s v=""/>
    <s v="w******3"/>
    <x v="21"/>
    <s v="2949.00"/>
    <s v="0.00"/>
    <s v="0.00"/>
    <s v="0.00"/>
    <s v="2949.00"/>
    <s v="0.00"/>
    <s v="0"/>
    <s v="0.00"/>
    <s v="BENE0450"/>
    <s v="50.00"/>
    <s v="0.00"/>
    <s v="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40******"/>
    <s v="****"/>
    <s v="0928000888,31709787#1"/>
    <s v=""/>
    <s v="臺中市"/>
    <s v="西屯區"/>
    <s v="407"/>
    <s v="王*嘉"/>
    <s v="賣家宅配：大型/超重物品運送"/>
    <s v=""/>
    <s v=""/>
    <s v="信用卡"/>
    <s v="2026-04-23 23:59"/>
    <s v="新竹物流8179150556"/>
    <s v="2026-04-22 21:23"/>
    <m/>
    <s v="2026-04-29 21:21"/>
    <s v=""/>
    <m/>
    <s v="學習"/>
    <s v="蝦皮"/>
  </r>
  <r>
    <s v="260422GH3EFH5T"/>
    <x v="10"/>
    <s v=""/>
    <s v=""/>
    <s v="s******e"/>
    <x v="21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22175230#1"/>
    <s v=""/>
    <s v="新北市"/>
    <s v="新莊區"/>
    <s v="242"/>
    <s v="劉*君"/>
    <s v="賣家宅配：大型/超重物品運送"/>
    <s v=""/>
    <s v=""/>
    <s v="信用卡"/>
    <s v="2026-04-23 23:59"/>
    <s v="新竹物流8179150501"/>
    <s v="2026-04-22 22:42"/>
    <m/>
    <s v="2026-04-25 10:45"/>
    <s v=""/>
    <m/>
    <s v="學習"/>
    <s v="蝦皮"/>
  </r>
  <r>
    <s v="260422GKYWQ5M8"/>
    <x v="3"/>
    <s v=""/>
    <s v=""/>
    <s v="l******8"/>
    <x v="21"/>
    <s v="2179.00"/>
    <s v="0.00"/>
    <s v="0.00"/>
    <s v="0.00"/>
    <s v="2179.00"/>
    <s v="0.00"/>
    <s v="0"/>
    <s v="0.00"/>
    <s v="TKB2604W34;BENE0420"/>
    <s v="20.00"/>
    <s v="0.00"/>
    <s v="200.00"/>
    <s v="202.00"/>
    <s v="81.00"/>
    <s v="59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26 桃園市楊梅區自立街115號"/>
    <s v="****"/>
    <s v="0928000888,99751917#1"/>
    <s v=""/>
    <s v="桃園市"/>
    <s v="楊梅區"/>
    <s v="326"/>
    <s v="劉驊億"/>
    <s v="賣家宅配：大型/超重物品運送"/>
    <s v=""/>
    <s v=""/>
    <s v="信用卡分期付款"/>
    <s v="2026-04-23 23:59"/>
    <s v="新竹物流8179150490"/>
    <s v="2026-04-22 23:34"/>
    <m/>
    <s v=""/>
    <s v=""/>
    <m/>
    <s v="學習"/>
    <s v="蝦皮"/>
  </r>
  <r>
    <s v="260423GX3CVMYA"/>
    <x v="11"/>
    <s v=""/>
    <s v=""/>
    <s v="a***3"/>
    <x v="22"/>
    <s v="2402.00"/>
    <s v="0.00"/>
    <s v="0.00"/>
    <s v="0.00"/>
    <s v="2402.00"/>
    <s v="0.00"/>
    <s v="76"/>
    <s v="0.00"/>
    <s v="BENE0420;CUBSP04VIP"/>
    <s v="20.00"/>
    <s v="0.00"/>
    <s v="10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47185129#1"/>
    <s v=""/>
    <s v="新北市"/>
    <s v="中和區"/>
    <s v="235"/>
    <s v="侯*玲"/>
    <s v="賣家宅配：大型/超重物品運送"/>
    <s v=""/>
    <s v=""/>
    <s v="信用卡"/>
    <s v="2026-04-24 23:59"/>
    <s v="新竹物流8179152811"/>
    <s v="2026-04-23 02:36"/>
    <m/>
    <s v="2026-04-27 14:12"/>
    <s v=""/>
    <m/>
    <s v="學習"/>
    <s v="蝦皮"/>
  </r>
  <r>
    <s v="260423HF7NKX1G"/>
    <x v="11"/>
    <s v=""/>
    <s v=""/>
    <s v="t******7"/>
    <x v="22"/>
    <s v="2173.00"/>
    <s v="0.00"/>
    <s v="0.00"/>
    <s v="0.00"/>
    <s v="2173.00"/>
    <s v="0.00"/>
    <s v="206"/>
    <s v="0.00"/>
    <s v="BENE0420;TR95H33SP"/>
    <s v="20.00"/>
    <s v="0.00"/>
    <s v="0.00"/>
    <s v="202.00"/>
    <s v="81.00"/>
    <s v="59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0******"/>
    <s v="****"/>
    <s v="0928000888,83085998#1"/>
    <s v=""/>
    <s v="新竹縣"/>
    <s v="竹北市"/>
    <s v="302"/>
    <s v="許*婷"/>
    <s v="賣家宅配：大型/超重物品運送"/>
    <s v=""/>
    <s v=""/>
    <s v="信用卡分期付款"/>
    <s v="2026-04-24 23:59"/>
    <s v="新竹物流8179152822"/>
    <s v="2026-04-23 07:42"/>
    <m/>
    <s v="2026-04-27 06:56"/>
    <s v=""/>
    <m/>
    <s v="學習"/>
    <s v="蝦皮"/>
  </r>
  <r>
    <s v="260423HHRX8DQY"/>
    <x v="11"/>
    <s v=""/>
    <s v=""/>
    <s v="s******8"/>
    <x v="22"/>
    <s v="1762.00"/>
    <s v="0.00"/>
    <s v="0.00"/>
    <s v="0.00"/>
    <s v="1762.00"/>
    <s v="0.00"/>
    <s v="57"/>
    <s v="0.00"/>
    <s v="BENE0420;MUM2604GO"/>
    <s v="20.00"/>
    <s v="0.00"/>
    <s v="50.00"/>
    <s v="159.00"/>
    <s v="66.00"/>
    <s v="47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22******"/>
    <s v="****"/>
    <s v="0928000888,16486062#1"/>
    <s v=""/>
    <s v="新北市"/>
    <s v="汐止區"/>
    <s v="221"/>
    <s v="徐*維"/>
    <s v="賣家宅配：大型/超重物品運送"/>
    <s v=""/>
    <s v=""/>
    <s v="信用卡"/>
    <s v="2026-04-24 23:59"/>
    <s v="新竹物流8179152833"/>
    <s v="2026-04-23 08:27"/>
    <m/>
    <s v="2026-04-25 22:24"/>
    <s v=""/>
    <m/>
    <s v="學習周邊"/>
    <s v="蝦皮"/>
  </r>
  <r>
    <s v="260423HHRX8DQY"/>
    <x v="11"/>
    <s v=""/>
    <s v=""/>
    <s v="s******8"/>
    <x v="22"/>
    <s v="1762.00"/>
    <s v="0.00"/>
    <s v="0.00"/>
    <s v="0.00"/>
    <s v="1762.00"/>
    <s v="0.00"/>
    <s v="57"/>
    <s v="0.00"/>
    <s v="BENE0420;MUM2604GO"/>
    <s v="20.00"/>
    <s v="0.00"/>
    <s v="50.00"/>
    <s v="159.00"/>
    <s v="66.00"/>
    <s v="47.00"/>
    <s v="0"/>
    <s v="2.50%"/>
    <s v=""/>
    <x v="40"/>
    <s v="44908808383"/>
    <s v=""/>
    <s v="277535675661"/>
    <s v="44908808383_277535675661"/>
    <n v="1199"/>
    <x v="43"/>
    <x v="54"/>
    <s v="20260H001"/>
    <n v="1"/>
    <s v="0"/>
    <s v="N"/>
    <s v="-"/>
    <s v="22******"/>
    <s v="****"/>
    <s v="0928000888,16486062#1"/>
    <s v=""/>
    <s v="新北市"/>
    <s v="汐止區"/>
    <s v="221"/>
    <s v="徐*維"/>
    <s v="賣家宅配：大型/超重物品運送"/>
    <s v=""/>
    <s v=""/>
    <s v="信用卡"/>
    <s v="2026-04-24 23:59"/>
    <s v="新竹物流8179152833"/>
    <s v="2026-04-23 08:27"/>
    <m/>
    <s v="2026-04-25 22:24"/>
    <s v=""/>
    <m/>
    <s v="生活周邊"/>
    <s v="蝦皮"/>
  </r>
  <r>
    <s v="260423HRKNAJ29"/>
    <x v="11"/>
    <s v=""/>
    <s v=""/>
    <s v="v*****1"/>
    <x v="22"/>
    <s v="2899.00"/>
    <s v="0.00"/>
    <s v="0.00"/>
    <s v="0.00"/>
    <s v="2899.00"/>
    <s v="0.00"/>
    <s v="0"/>
    <s v="0.00"/>
    <s v="BENE0450;MUMBABY20"/>
    <s v="50.00"/>
    <s v="0.00"/>
    <s v="50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0******"/>
    <s v="****"/>
    <s v="0928000888,64524009#1"/>
    <s v=""/>
    <s v="高雄市"/>
    <s v="前鎮區"/>
    <s v="806"/>
    <s v="許*瑜"/>
    <s v="賣家宅配：大型/超重物品運送"/>
    <s v=""/>
    <s v=""/>
    <s v="信用卡"/>
    <s v="2026-04-24 23:59"/>
    <s v="新竹物流8179152844"/>
    <s v="2026-04-23 10:29"/>
    <m/>
    <s v="2026-04-27 14:51"/>
    <s v=""/>
    <m/>
    <s v="學習"/>
    <s v="蝦皮"/>
  </r>
  <r>
    <s v="260423JRH8BQM8"/>
    <x v="3"/>
    <s v=""/>
    <s v=""/>
    <s v="y******n"/>
    <x v="22"/>
    <s v="189.00"/>
    <s v="100.00"/>
    <s v="0.00"/>
    <s v="0.00"/>
    <s v="289.00"/>
    <s v="0.00"/>
    <s v="0"/>
    <s v="0.00"/>
    <s v="SFC-1393793144225796;N8MTCSMTG"/>
    <s v="10.00"/>
    <s v="0.00"/>
    <s v="10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51 新北市淡水區新市一路一段122號19樓"/>
    <s v="****"/>
    <s v="0928000888,87139374#1"/>
    <s v=""/>
    <s v="新北市"/>
    <s v="淡水區"/>
    <s v="251"/>
    <s v="陳雅萍"/>
    <s v="賣家宅配：大型/超重物品運送"/>
    <s v=""/>
    <s v=""/>
    <s v="信用卡"/>
    <s v="2026-04-24 23:59"/>
    <s v="新竹物流8179152855"/>
    <s v="2026-04-23 20:02"/>
    <m/>
    <s v=""/>
    <s v=""/>
    <m/>
    <s v="學習周邊"/>
    <s v="蝦皮"/>
  </r>
  <r>
    <s v="260423JTT40Q2A"/>
    <x v="11"/>
    <s v=""/>
    <s v=""/>
    <s v="p******0"/>
    <x v="22"/>
    <s v="770.00"/>
    <s v="0.00"/>
    <s v="0.00"/>
    <s v="0.00"/>
    <s v="770.00"/>
    <s v="0.00"/>
    <s v="9"/>
    <s v="0.00"/>
    <s v="BENE0420;N8MTCSMTG"/>
    <s v="20.00"/>
    <s v="0.00"/>
    <s v="100.00"/>
    <s v="75.00"/>
    <s v="36.00"/>
    <s v="22.00"/>
    <s v="0"/>
    <s v="2.50%"/>
    <s v=""/>
    <x v="42"/>
    <s v="52408787601"/>
    <s v=""/>
    <s v="198823956357"/>
    <s v="52408787601_198823956357"/>
    <n v="899"/>
    <x v="40"/>
    <x v="56"/>
    <s v="20250H002"/>
    <n v="1"/>
    <s v="0"/>
    <s v="N"/>
    <s v="-"/>
    <s v="51******"/>
    <s v="****"/>
    <s v="0928000888,91077499#1"/>
    <s v=""/>
    <s v="彰化縣"/>
    <s v="永靖鄉"/>
    <s v="512"/>
    <s v="邱*珠"/>
    <s v="賣家宅配：大型/超重物品運送"/>
    <s v=""/>
    <s v=""/>
    <s v="信用卡"/>
    <s v="2026-04-24 23:59"/>
    <s v="新竹物流8179152866"/>
    <s v="2026-04-23 20:41"/>
    <m/>
    <s v="2026-05-03 21:33"/>
    <s v=""/>
    <m/>
    <s v="生活周邊"/>
    <s v="蝦皮"/>
  </r>
  <r>
    <s v="260423JUETTYJS"/>
    <x v="3"/>
    <s v=""/>
    <s v=""/>
    <s v="n******0"/>
    <x v="22"/>
    <s v="2897.00"/>
    <s v="0.00"/>
    <s v="0.00"/>
    <s v="0.00"/>
    <s v="2897.00"/>
    <s v="0.00"/>
    <s v="0"/>
    <s v="0.00"/>
    <s v="BENE0450;TKBVIP2604C"/>
    <s v="50.00"/>
    <s v="0.00"/>
    <s v="250.00"/>
    <s v="267.00"/>
    <s v="104.00"/>
    <s v="79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829 高雄市湖內區大湖路22號"/>
    <s v="****"/>
    <s v="0928000888,69532552#1"/>
    <s v=""/>
    <s v="高雄市"/>
    <s v="湖內區"/>
    <s v="829"/>
    <s v="江芊儀"/>
    <s v="賣家宅配：大型/超重物品運送"/>
    <s v=""/>
    <s v=""/>
    <s v="信用卡"/>
    <s v="2026-04-24 23:59"/>
    <s v="新竹物流8179152870"/>
    <s v="2026-04-23 20:53"/>
    <m/>
    <s v=""/>
    <s v=""/>
    <m/>
    <s v="學習周邊"/>
    <s v="蝦皮"/>
  </r>
  <r>
    <s v="260423JUETTYJS"/>
    <x v="3"/>
    <s v=""/>
    <s v=""/>
    <s v="n******0"/>
    <x v="22"/>
    <s v="2897.00"/>
    <s v="0.00"/>
    <s v="0.00"/>
    <s v="0.00"/>
    <s v="2897.00"/>
    <s v="0.00"/>
    <s v="0"/>
    <s v="0.00"/>
    <s v="BENE0450;TKBVIP2604C"/>
    <s v="50.00"/>
    <s v="0.00"/>
    <s v="250.00"/>
    <s v="267.00"/>
    <s v="104.00"/>
    <s v="79.00"/>
    <s v="0"/>
    <s v="2.50%"/>
    <s v=""/>
    <x v="0"/>
    <s v="55104898742"/>
    <s v="(加購)獅兔象語彙小火車"/>
    <s v="307431421632"/>
    <s v="55104898742_307431421632"/>
    <n v="3800"/>
    <x v="12"/>
    <x v="13"/>
    <s v="20250FXCH"/>
    <n v="1"/>
    <s v="0"/>
    <s v="N"/>
    <s v="-"/>
    <s v="829 高雄市湖內區大湖路22號"/>
    <s v="****"/>
    <s v="0928000888,69532552#1"/>
    <s v=""/>
    <s v="高雄市"/>
    <s v="湖內區"/>
    <s v="829"/>
    <s v="江芊儀"/>
    <s v="賣家宅配：大型/超重物品運送"/>
    <s v=""/>
    <s v=""/>
    <s v="信用卡"/>
    <s v="2026-04-24 23:59"/>
    <s v="新竹物流8179152870"/>
    <s v="2026-04-23 20:53"/>
    <m/>
    <s v=""/>
    <s v=""/>
    <m/>
    <s v="學習"/>
    <s v="蝦皮"/>
  </r>
  <r>
    <s v="260424K7U7N78U"/>
    <x v="12"/>
    <s v=""/>
    <s v=""/>
    <s v="a******5"/>
    <x v="23"/>
    <s v="4048.00"/>
    <s v="0.00"/>
    <s v="0.00"/>
    <s v="0.00"/>
    <s v="4048.00"/>
    <s v="0.00"/>
    <s v="0"/>
    <s v="0.00"/>
    <s v="BENE0450"/>
    <s v="50.00"/>
    <s v="0.00"/>
    <s v="0.00"/>
    <s v="344.00"/>
    <s v="131.00"/>
    <s v="101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10******"/>
    <s v="****"/>
    <s v="0928000888,61106360#1"/>
    <s v=""/>
    <s v="臺北市"/>
    <s v="大同區"/>
    <s v="103"/>
    <s v="陳*辰"/>
    <s v="賣家宅配：大型/超重物品運送"/>
    <s v=""/>
    <s v=""/>
    <s v="信用卡"/>
    <s v="2026-04-27 23:59"/>
    <s v="新竹物流8179154675"/>
    <s v="2026-04-24 00:35"/>
    <m/>
    <s v="2026-04-29 23:31"/>
    <s v=""/>
    <m/>
    <s v="學習"/>
    <s v="蝦皮"/>
  </r>
  <r>
    <s v="260424K7U7N78U"/>
    <x v="12"/>
    <s v=""/>
    <s v=""/>
    <s v="a******5"/>
    <x v="23"/>
    <s v="4048.00"/>
    <s v="0.00"/>
    <s v="0.00"/>
    <s v="0.00"/>
    <s v="4048.00"/>
    <s v="0.00"/>
    <s v="0"/>
    <s v="0.00"/>
    <s v="BENE0450"/>
    <s v="50.00"/>
    <s v="0.00"/>
    <s v="0.00"/>
    <s v="344.00"/>
    <s v="131.00"/>
    <s v="101.00"/>
    <s v="0"/>
    <s v="2.50%"/>
    <s v=""/>
    <x v="41"/>
    <s v="56858787264"/>
    <s v=""/>
    <s v="287535444152"/>
    <s v="56858787264_287535444152"/>
    <n v="1099"/>
    <x v="2"/>
    <x v="55"/>
    <s v="20260H002"/>
    <n v="1"/>
    <s v="0"/>
    <s v="N"/>
    <s v="-"/>
    <s v="10******"/>
    <s v="****"/>
    <s v="0928000888,61106360#1"/>
    <s v=""/>
    <s v="臺北市"/>
    <s v="大同區"/>
    <s v="103"/>
    <s v="陳*辰"/>
    <s v="賣家宅配：大型/超重物品運送"/>
    <s v=""/>
    <s v=""/>
    <s v="信用卡"/>
    <s v="2026-04-27 23:59"/>
    <s v="新竹物流8179154675"/>
    <s v="2026-04-24 00:35"/>
    <m/>
    <s v="2026-04-29 23:31"/>
    <s v=""/>
    <m/>
    <s v="生活周邊"/>
    <s v="蝦皮"/>
  </r>
  <r>
    <s v="260424KV4DK8RR"/>
    <x v="12"/>
    <s v=""/>
    <s v=""/>
    <s v="c******0"/>
    <x v="23"/>
    <s v="2349.00"/>
    <s v="0.00"/>
    <s v="0.00"/>
    <s v="0.00"/>
    <s v="2349.00"/>
    <s v="0.00"/>
    <s v="0"/>
    <s v="0.00"/>
    <s v="MUM2604E"/>
    <s v="0.00"/>
    <s v="0.00"/>
    <s v="50.00"/>
    <s v="204.00"/>
    <s v="82.00"/>
    <s v="6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1******"/>
    <s v="****"/>
    <s v="0928000888,20667055#1"/>
    <s v=""/>
    <s v="高雄市"/>
    <s v="楠梓區"/>
    <s v="811"/>
    <s v="歐*辰"/>
    <s v="賣家宅配：大型/超重物品運送"/>
    <s v=""/>
    <s v=""/>
    <s v="信用卡"/>
    <s v="2026-04-27 23:59"/>
    <s v="新竹物流8179154233"/>
    <s v="2026-04-24 06:38"/>
    <m/>
    <s v="2026-04-29 16:07"/>
    <s v=""/>
    <m/>
    <s v="學習"/>
    <s v="蝦皮"/>
  </r>
  <r>
    <s v="260424M4BS4QJN"/>
    <x v="3"/>
    <s v=""/>
    <s v=""/>
    <s v="e******9"/>
    <x v="23"/>
    <s v="877.00"/>
    <s v="0.00"/>
    <s v="0.00"/>
    <s v="0.00"/>
    <s v="877.00"/>
    <s v="0.00"/>
    <s v="0"/>
    <s v="0.00"/>
    <s v="BENE0420"/>
    <s v="20.00"/>
    <s v="0.00"/>
    <s v="0.00"/>
    <s v="75.00"/>
    <s v="36.00"/>
    <s v="22.00"/>
    <s v="0"/>
    <s v="2.50%"/>
    <s v=""/>
    <x v="30"/>
    <s v="40272629657"/>
    <s v=""/>
    <s v="258985690764"/>
    <s v="40272629657_258985690764"/>
    <n v="399"/>
    <x v="6"/>
    <x v="6"/>
    <s v="20250FXAM"/>
    <n v="3"/>
    <s v="0"/>
    <s v="N"/>
    <s v="-"/>
    <s v="414 臺中市烏日區環河路五段268號五樓之2"/>
    <s v="****"/>
    <s v="0928000888,33774647#1"/>
    <s v=""/>
    <s v="臺中市"/>
    <s v="烏日區"/>
    <s v="414"/>
    <s v="施慧姍"/>
    <s v="賣家宅配：大型/超重物品運送"/>
    <s v=""/>
    <s v=""/>
    <s v="信用卡"/>
    <s v="2026-04-27 23:59"/>
    <s v="新竹物流8179154686"/>
    <s v="2026-04-24 09:05"/>
    <m/>
    <s v=""/>
    <s v=""/>
    <m/>
    <s v="學習周邊"/>
    <s v="蝦皮"/>
  </r>
  <r>
    <s v="260424M7BDG7MR"/>
    <x v="12"/>
    <s v=""/>
    <s v=""/>
    <s v="s******a"/>
    <x v="23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24******"/>
    <s v="****"/>
    <s v="0928000888,23615638#1"/>
    <s v=""/>
    <s v="新北市"/>
    <s v="新莊區"/>
    <s v="242"/>
    <s v="闕*蓁"/>
    <s v="賣家宅配：大型/超重物品運送"/>
    <s v=""/>
    <s v=""/>
    <s v="信用卡"/>
    <s v="2026-04-27 23:59"/>
    <s v="新竹物流8179154443"/>
    <s v="2026-04-24 09:59"/>
    <m/>
    <s v="2026-04-29 02:05"/>
    <s v=""/>
    <m/>
    <s v="學習周邊"/>
    <s v="蝦皮"/>
  </r>
  <r>
    <s v="260424M9YA3HUM"/>
    <x v="12"/>
    <s v=""/>
    <s v=""/>
    <s v="a******8"/>
    <x v="23"/>
    <s v="979.00"/>
    <s v="0.00"/>
    <s v="0.00"/>
    <s v="0.00"/>
    <s v="979.00"/>
    <s v="0.00"/>
    <s v="0"/>
    <s v="0.00"/>
    <s v="BENE0420"/>
    <s v="20.00"/>
    <s v="0.00"/>
    <s v="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32******"/>
    <s v="****"/>
    <s v="0928000888,24269754#1"/>
    <s v=""/>
    <s v="桃園市"/>
    <s v="中壢區"/>
    <s v="320"/>
    <s v="邱*櫻"/>
    <s v="賣家宅配：大型/超重物品運送"/>
    <s v=""/>
    <s v=""/>
    <s v="信用卡"/>
    <s v="2026-04-27 23:59"/>
    <s v="新竹物流8179154701"/>
    <s v="2026-04-24 10:47"/>
    <m/>
    <s v="2026-04-28 11:40"/>
    <s v=""/>
    <m/>
    <s v="學習周邊"/>
    <s v="蝦皮"/>
  </r>
  <r>
    <s v="260424MG461QD7"/>
    <x v="12"/>
    <s v=""/>
    <s v=""/>
    <s v="s****a"/>
    <x v="23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92******"/>
    <s v="****"/>
    <s v="0928000888,64285935#1"/>
    <s v=""/>
    <s v="屏東縣"/>
    <s v="新埤鄉"/>
    <s v="925"/>
    <s v="林*心"/>
    <s v="賣家宅配：大型/超重物品運送"/>
    <s v=""/>
    <s v=""/>
    <s v="信用卡"/>
    <s v="2026-04-27 23:59"/>
    <s v="新竹物流8179154454"/>
    <s v="2026-04-24 12:35"/>
    <m/>
    <s v="2026-04-29 19:46"/>
    <s v=""/>
    <m/>
    <s v="學習周邊"/>
    <s v="蝦皮"/>
  </r>
  <r>
    <s v="260424MVHN967R"/>
    <x v="12"/>
    <s v=""/>
    <s v=""/>
    <s v="m****u"/>
    <x v="23"/>
    <s v="3840.00"/>
    <s v="0.00"/>
    <s v="0.00"/>
    <s v="0.00"/>
    <s v="3840.00"/>
    <s v="0.00"/>
    <s v="0"/>
    <s v="0.00"/>
    <s v="BENE0450"/>
    <s v="50.00"/>
    <s v="0.00"/>
    <s v="0.00"/>
    <s v="326.00"/>
    <s v="125.00"/>
    <s v="96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30******"/>
    <s v="****"/>
    <s v="0928000888,27637721#1"/>
    <s v=""/>
    <s v="新竹市"/>
    <s v="香山區"/>
    <s v="300"/>
    <s v="舒*茜"/>
    <s v="賣家宅配：大型/超重物品運送"/>
    <s v=""/>
    <s v=""/>
    <s v="信用卡"/>
    <s v="2026-04-27 23:59"/>
    <s v="新竹物流8179154723"/>
    <s v="2026-04-24 16:24"/>
    <m/>
    <s v="2026-04-30 14:08"/>
    <s v=""/>
    <m/>
    <s v="學習周邊"/>
    <s v="蝦皮"/>
  </r>
  <r>
    <s v="260424MVHN967R"/>
    <x v="12"/>
    <s v=""/>
    <s v=""/>
    <s v="m****u"/>
    <x v="23"/>
    <s v="3840.00"/>
    <s v="0.00"/>
    <s v="0.00"/>
    <s v="0.00"/>
    <s v="3840.00"/>
    <s v="0.00"/>
    <s v="0"/>
    <s v="0.00"/>
    <s v="BENE0450"/>
    <s v="50.00"/>
    <s v="0.00"/>
    <s v="0.00"/>
    <s v="326.00"/>
    <s v="125.00"/>
    <s v="96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0******"/>
    <s v="****"/>
    <s v="0928000888,27637721#1"/>
    <s v=""/>
    <s v="新竹市"/>
    <s v="香山區"/>
    <s v="300"/>
    <s v="舒*茜"/>
    <s v="賣家宅配：大型/超重物品運送"/>
    <s v=""/>
    <s v=""/>
    <s v="信用卡"/>
    <s v="2026-04-27 23:59"/>
    <s v="新竹物流8179154723"/>
    <s v="2026-04-24 16:24"/>
    <m/>
    <s v="2026-04-30 14:08"/>
    <s v=""/>
    <m/>
    <s v="學習"/>
    <s v="蝦皮"/>
  </r>
  <r>
    <s v="260424MYC5HTMU"/>
    <x v="3"/>
    <s v=""/>
    <s v=""/>
    <s v="w******9"/>
    <x v="23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880 澎湖縣馬公市文林街55號"/>
    <s v="****"/>
    <s v="0928000888,88138510#1"/>
    <s v=""/>
    <s v="澎湖縣"/>
    <s v="馬公市"/>
    <s v="880"/>
    <s v="王芸沄"/>
    <s v="賣家宅配：大型/超重物品運送"/>
    <s v=""/>
    <s v=""/>
    <s v="信用卡"/>
    <s v="2026-04-27 23:59"/>
    <s v="新竹物流8179154465"/>
    <s v="2026-04-24 17:08"/>
    <m/>
    <s v=""/>
    <s v=""/>
    <m/>
    <s v="學習周邊"/>
    <s v="蝦皮"/>
  </r>
  <r>
    <s v="260424N4XP2J8N"/>
    <x v="3"/>
    <s v=""/>
    <s v=""/>
    <s v="m******2"/>
    <x v="23"/>
    <s v="798.00"/>
    <s v="0.00"/>
    <s v="0.00"/>
    <s v="0.00"/>
    <s v="798.00"/>
    <s v="0.00"/>
    <s v="0"/>
    <s v="0.00"/>
    <s v=""/>
    <s v="0.00"/>
    <s v="0.00"/>
    <s v="0.00"/>
    <s v="68.00"/>
    <s v="34.00"/>
    <s v="20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236 新北市土城區學海街318號7樓"/>
    <s v="****"/>
    <s v="0928000888,59141756#1"/>
    <s v=""/>
    <s v="新北市"/>
    <s v="土城區"/>
    <s v="236"/>
    <s v="黃鈺琦"/>
    <s v="賣家宅配：大型/超重物品運送"/>
    <s v=""/>
    <s v=""/>
    <s v="信用卡"/>
    <s v="2026-04-27 23:59"/>
    <s v="新竹物流8179154734"/>
    <s v="2026-04-24 18:48"/>
    <m/>
    <s v=""/>
    <s v=""/>
    <m/>
    <s v="學習周邊"/>
    <s v="蝦皮"/>
  </r>
  <r>
    <s v="260424N4XP2J8N"/>
    <x v="3"/>
    <s v=""/>
    <s v=""/>
    <s v="m******2"/>
    <x v="23"/>
    <s v="798.00"/>
    <s v="0.00"/>
    <s v="0.00"/>
    <s v="0.00"/>
    <s v="798.00"/>
    <s v="0.00"/>
    <s v="0"/>
    <s v="0.00"/>
    <s v=""/>
    <s v="0.00"/>
    <s v="0.00"/>
    <s v="0.00"/>
    <s v="68.00"/>
    <s v="34.00"/>
    <s v="20.00"/>
    <s v="0"/>
    <s v="2.50%"/>
    <s v=""/>
    <x v="10"/>
    <s v="27854297254"/>
    <s v=""/>
    <s v="251123821962"/>
    <s v="27854297254_251123821962"/>
    <n v="250"/>
    <x v="10"/>
    <x v="10"/>
    <s v="20221C611"/>
    <n v="1"/>
    <s v="0"/>
    <s v="N"/>
    <s v="-"/>
    <s v="236 新北市土城區學海街318號7樓"/>
    <s v="****"/>
    <s v="0928000888,59141756#1"/>
    <s v=""/>
    <s v="新北市"/>
    <s v="土城區"/>
    <s v="236"/>
    <s v="黃鈺琦"/>
    <s v="賣家宅配：大型/超重物品運送"/>
    <s v=""/>
    <s v=""/>
    <s v="信用卡"/>
    <s v="2026-04-27 23:59"/>
    <s v="新竹物流8179154734"/>
    <s v="2026-04-24 18:48"/>
    <m/>
    <s v=""/>
    <s v=""/>
    <m/>
    <s v="學習周邊"/>
    <s v="蝦皮"/>
  </r>
  <r>
    <s v="260424N84BYN02"/>
    <x v="12"/>
    <s v=""/>
    <s v=""/>
    <s v="c******9"/>
    <x v="23"/>
    <s v="884.00"/>
    <s v="0.00"/>
    <s v="0.00"/>
    <s v="0.00"/>
    <s v="884.00"/>
    <s v="0.00"/>
    <s v="95"/>
    <s v="0.00"/>
    <s v="BENE0420;KPDDU5PSP"/>
    <s v="20.00"/>
    <s v="0.00"/>
    <s v="0.00"/>
    <s v="83.00"/>
    <s v="39.00"/>
    <s v="24.00"/>
    <s v="0"/>
    <s v="2.50%"/>
    <s v=""/>
    <x v="14"/>
    <s v="29672846571"/>
    <s v="(單購)"/>
    <s v="385265149350"/>
    <s v="29672846571_385265149350"/>
    <n v="1300"/>
    <x v="14"/>
    <x v="15"/>
    <s v="20240FB00"/>
    <n v="1"/>
    <s v="0"/>
    <s v="N"/>
    <s v="-"/>
    <s v="10******"/>
    <s v="****"/>
    <s v="0928000888,86812547#1"/>
    <s v=""/>
    <s v="臺北市"/>
    <s v="大安區"/>
    <s v="106"/>
    <s v="游*筑"/>
    <s v="賣家宅配：大型/超重物品運送"/>
    <s v=""/>
    <s v=""/>
    <s v="信用卡"/>
    <s v="2026-04-27 23:59"/>
    <s v="新竹物流8179154745"/>
    <s v="2026-04-24 19:45"/>
    <m/>
    <s v="2026-04-28 22:09"/>
    <s v=""/>
    <m/>
    <s v="學習周邊"/>
    <s v="蝦皮"/>
  </r>
  <r>
    <s v="260424NFY9WM3W"/>
    <x v="12"/>
    <s v=""/>
    <s v=""/>
    <s v="m*****2"/>
    <x v="23"/>
    <s v="2279.00"/>
    <s v="0.00"/>
    <s v="0.00"/>
    <s v="0.00"/>
    <s v="2279.00"/>
    <s v="0.00"/>
    <s v="0"/>
    <s v="0.00"/>
    <s v="BENE0420;N8MTCSMTG"/>
    <s v="20.00"/>
    <s v="0.00"/>
    <s v="10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08017393#1"/>
    <s v=""/>
    <s v="新北市"/>
    <s v="林口區"/>
    <s v="244"/>
    <s v="吳*盈"/>
    <s v="賣家宅配：大型/超重物品運送"/>
    <s v=""/>
    <s v=""/>
    <s v="信用卡"/>
    <s v="2026-04-27 23:59"/>
    <s v="新竹物流8179154244"/>
    <s v="2026-04-24 22:05"/>
    <m/>
    <s v="2026-05-02 18:26"/>
    <s v=""/>
    <m/>
    <s v="學習"/>
    <s v="蝦皮"/>
  </r>
  <r>
    <s v="260424NHUQ060E"/>
    <x v="12"/>
    <s v=""/>
    <s v=""/>
    <s v="b****1"/>
    <x v="23"/>
    <s v="6026.00"/>
    <s v="0.00"/>
    <s v="0.00"/>
    <s v="0.00"/>
    <s v="6026.00"/>
    <s v="0.00"/>
    <s v="0"/>
    <s v="0.00"/>
    <s v="BENE0450"/>
    <s v="50.00"/>
    <s v="0.00"/>
    <s v="0.00"/>
    <s v="512.00"/>
    <s v="191.00"/>
    <s v="151.00"/>
    <s v="0"/>
    <s v="2.50%"/>
    <s v=""/>
    <x v="28"/>
    <s v="25645992413"/>
    <s v=""/>
    <s v="227943030980"/>
    <s v="25645992413_227943030980"/>
    <n v="1000"/>
    <x v="31"/>
    <x v="38"/>
    <s v="20203C601"/>
    <n v="1"/>
    <s v="0"/>
    <s v="N"/>
    <s v="-"/>
    <s v="52******"/>
    <s v="****"/>
    <s v="0928000888,44997865#1"/>
    <s v=""/>
    <s v="彰化縣"/>
    <s v="北斗鎮"/>
    <s v="521"/>
    <s v="廖*宜"/>
    <s v="賣家宅配：大型/超重物品運送"/>
    <s v=""/>
    <s v=""/>
    <s v="信用卡"/>
    <s v="2026-04-27 23:59"/>
    <s v="新竹物流8179154771"/>
    <s v="2026-04-24 22:39"/>
    <m/>
    <s v="2026-04-28 21:26"/>
    <s v=""/>
    <m/>
    <s v="學習周邊"/>
    <s v="蝦皮"/>
  </r>
  <r>
    <s v="260424NHUQ060E"/>
    <x v="12"/>
    <s v=""/>
    <s v=""/>
    <s v="b****1"/>
    <x v="23"/>
    <s v="6026.00"/>
    <s v="0.00"/>
    <s v="0.00"/>
    <s v="0.00"/>
    <s v="6026.00"/>
    <s v="0.00"/>
    <s v="0"/>
    <s v="0.00"/>
    <s v="BENE0450"/>
    <s v="50.00"/>
    <s v="0.00"/>
    <s v="0.00"/>
    <s v="512.00"/>
    <s v="191.00"/>
    <s v="151.00"/>
    <s v="0"/>
    <s v="2.50%"/>
    <s v=""/>
    <x v="9"/>
    <s v="26006309303"/>
    <s v="單購"/>
    <s v="166942493928"/>
    <s v="26006309303_166942493928"/>
    <n v="890"/>
    <x v="8"/>
    <x v="8"/>
    <s v="20221C6B6"/>
    <n v="1"/>
    <s v="0"/>
    <s v="N"/>
    <s v="-"/>
    <s v="52******"/>
    <s v="****"/>
    <s v="0928000888,44997865#1"/>
    <s v=""/>
    <s v="彰化縣"/>
    <s v="北斗鎮"/>
    <s v="521"/>
    <s v="廖*宜"/>
    <s v="賣家宅配：大型/超重物品運送"/>
    <s v=""/>
    <s v=""/>
    <s v="信用卡"/>
    <s v="2026-04-27 23:59"/>
    <s v="新竹物流8179154771"/>
    <s v="2026-04-24 22:39"/>
    <m/>
    <s v="2026-04-28 21:26"/>
    <s v=""/>
    <m/>
    <s v="學習周邊"/>
    <s v="蝦皮"/>
  </r>
  <r>
    <s v="260424NHUQ060E"/>
    <x v="12"/>
    <s v=""/>
    <s v=""/>
    <s v="b****1"/>
    <x v="23"/>
    <s v="6026.00"/>
    <s v="0.00"/>
    <s v="0.00"/>
    <s v="0.00"/>
    <s v="6026.00"/>
    <s v="0.00"/>
    <s v="0"/>
    <s v="0.00"/>
    <s v="BENE0450"/>
    <s v="50.00"/>
    <s v="0.00"/>
    <s v="0.00"/>
    <s v="512.00"/>
    <s v="191.00"/>
    <s v="151.00"/>
    <s v="0"/>
    <s v="2.50%"/>
    <s v=""/>
    <x v="45"/>
    <s v="28905402309"/>
    <s v=""/>
    <s v="185243167115"/>
    <s v="28905402309_185243167115"/>
    <n v="1399"/>
    <x v="45"/>
    <x v="60"/>
    <s v="20240H007"/>
    <n v="1"/>
    <s v="0"/>
    <s v="N"/>
    <s v="-"/>
    <s v="52******"/>
    <s v="****"/>
    <s v="0928000888,44997865#1"/>
    <s v=""/>
    <s v="彰化縣"/>
    <s v="北斗鎮"/>
    <s v="521"/>
    <s v="廖*宜"/>
    <s v="賣家宅配：大型/超重物品運送"/>
    <s v=""/>
    <s v=""/>
    <s v="信用卡"/>
    <s v="2026-04-27 23:59"/>
    <s v="新竹物流8179154771"/>
    <s v="2026-04-24 22:39"/>
    <m/>
    <s v="2026-04-28 21:26"/>
    <s v=""/>
    <m/>
    <s v="生活周邊"/>
    <s v="蝦皮"/>
  </r>
  <r>
    <s v="260424NHUQ060E"/>
    <x v="12"/>
    <s v=""/>
    <s v=""/>
    <s v="b****1"/>
    <x v="23"/>
    <s v="6026.00"/>
    <s v="0.00"/>
    <s v="0.00"/>
    <s v="0.00"/>
    <s v="6026.00"/>
    <s v="0.00"/>
    <s v="0"/>
    <s v="0.00"/>
    <s v="BENE0450"/>
    <s v="50.00"/>
    <s v="0.00"/>
    <s v="0.00"/>
    <s v="512.00"/>
    <s v="191.00"/>
    <s v="151.00"/>
    <s v="0"/>
    <s v="2.50%"/>
    <s v=""/>
    <x v="46"/>
    <s v="42668043686"/>
    <s v="有底紙"/>
    <s v="301485525871"/>
    <s v="42668043686_301485525871"/>
    <n v="790"/>
    <x v="46"/>
    <x v="61"/>
    <s v="20252CXAD"/>
    <n v="1"/>
    <s v="0"/>
    <s v="N"/>
    <s v="-"/>
    <s v="52******"/>
    <s v="****"/>
    <s v="0928000888,44997865#1"/>
    <s v=""/>
    <s v="彰化縣"/>
    <s v="北斗鎮"/>
    <s v="521"/>
    <s v="廖*宜"/>
    <s v="賣家宅配：大型/超重物品運送"/>
    <s v=""/>
    <s v=""/>
    <s v="信用卡"/>
    <s v="2026-04-27 23:59"/>
    <s v="新竹物流8179154771"/>
    <s v="2026-04-24 22:39"/>
    <m/>
    <s v="2026-04-28 21:26"/>
    <s v=""/>
    <m/>
    <s v="學習周邊"/>
    <s v="蝦皮"/>
  </r>
  <r>
    <s v="260424NHUQ060E"/>
    <x v="12"/>
    <s v=""/>
    <s v=""/>
    <s v="b****1"/>
    <x v="23"/>
    <s v="6026.00"/>
    <s v="0.00"/>
    <s v="0.00"/>
    <s v="0.00"/>
    <s v="6026.00"/>
    <s v="0.00"/>
    <s v="0"/>
    <s v="0.00"/>
    <s v="BENE0450"/>
    <s v="50.00"/>
    <s v="0.00"/>
    <s v="0.00"/>
    <s v="512.00"/>
    <s v="191.00"/>
    <s v="151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52******"/>
    <s v="****"/>
    <s v="0928000888,44997865#1"/>
    <s v=""/>
    <s v="彰化縣"/>
    <s v="北斗鎮"/>
    <s v="521"/>
    <s v="廖*宜"/>
    <s v="賣家宅配：大型/超重物品運送"/>
    <s v=""/>
    <s v=""/>
    <s v="信用卡"/>
    <s v="2026-04-27 23:59"/>
    <s v="新竹物流8179154771"/>
    <s v="2026-04-24 22:39"/>
    <m/>
    <s v="2026-04-28 21:26"/>
    <s v=""/>
    <m/>
    <s v="學習"/>
    <s v="蝦皮"/>
  </r>
  <r>
    <s v="260425NPD5WQVE"/>
    <x v="3"/>
    <s v=""/>
    <s v=""/>
    <s v="c******0"/>
    <x v="24"/>
    <s v="2379.00"/>
    <s v="0.00"/>
    <s v="0.00"/>
    <s v="0.00"/>
    <s v="2379.00"/>
    <s v="0.00"/>
    <s v="0"/>
    <s v="0.00"/>
    <s v="BENE0420;YPR4BKSNW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1 新北市三重區重陽路一段89號5樓之5"/>
    <s v="****"/>
    <s v="0928000888,26213544#1"/>
    <s v=""/>
    <s v="新北市"/>
    <s v="三重區"/>
    <s v="241"/>
    <s v="朱懋育"/>
    <s v="賣家宅配：大型/超重物品運送"/>
    <s v=""/>
    <s v=""/>
    <s v="信用卡"/>
    <s v="2026-04-27 23:59"/>
    <s v="新竹物流8179154255"/>
    <s v="2026-04-25 00:00"/>
    <m/>
    <s v=""/>
    <s v=""/>
    <m/>
    <s v="學習"/>
    <s v="蝦皮"/>
  </r>
  <r>
    <s v="260425NPKTJ3AY"/>
    <x v="3"/>
    <s v=""/>
    <s v=""/>
    <s v="a*****k"/>
    <x v="24"/>
    <s v="390.00"/>
    <s v="0.00"/>
    <s v="0.00"/>
    <s v="0.00"/>
    <s v="390.00"/>
    <s v="0.00"/>
    <s v="389"/>
    <s v="0.00"/>
    <s v="SVC-1394544310911108;SSJ82Q6XH"/>
    <s v="20.00"/>
    <s v="0.00"/>
    <s v="100.00"/>
    <s v="75.00"/>
    <s v="36.00"/>
    <s v="22.00"/>
    <s v="0"/>
    <s v="2.50%"/>
    <s v=""/>
    <x v="42"/>
    <s v="52408787601"/>
    <s v=""/>
    <s v="198823956357"/>
    <s v="52408787601_198823956357"/>
    <n v="899"/>
    <x v="40"/>
    <x v="56"/>
    <s v="20250H002"/>
    <n v="1"/>
    <s v="0"/>
    <s v="N"/>
    <s v="-"/>
    <s v="406 臺中市北屯區台中市北屯區松竹北二街47號"/>
    <s v="****"/>
    <s v="0928000888,90568613#1"/>
    <s v=""/>
    <s v="臺中市"/>
    <s v="北屯區"/>
    <s v="406"/>
    <s v="王定揚"/>
    <s v="賣家宅配：大型/超重物品運送"/>
    <s v=""/>
    <s v=""/>
    <s v="信用卡"/>
    <s v="2026-04-27 23:59"/>
    <s v="新竹物流8179154815"/>
    <s v="2026-04-25 00:04"/>
    <m/>
    <s v=""/>
    <s v=""/>
    <m/>
    <s v="生活周邊"/>
    <s v="蝦皮"/>
  </r>
  <r>
    <s v="260425NRAHH9AX"/>
    <x v="12"/>
    <s v=""/>
    <s v=""/>
    <s v="z******0"/>
    <x v="24"/>
    <s v="1573.00"/>
    <s v="0.00"/>
    <s v="0.00"/>
    <s v="0.00"/>
    <s v="1573.00"/>
    <s v="0.00"/>
    <s v="555"/>
    <s v="0.00"/>
    <s v="SVC-1394544310911108;TKB260425"/>
    <s v="20.00"/>
    <s v="0.00"/>
    <s v="250.00"/>
    <s v="202.00"/>
    <s v="81.00"/>
    <s v="59.00"/>
    <s v="0"/>
    <s v="2.50%"/>
    <s v=""/>
    <x v="18"/>
    <s v="43300564167"/>
    <s v="(加購)巧虎手偶"/>
    <s v="208744991582"/>
    <s v="43300564167_208744991582"/>
    <n v="3199"/>
    <x v="38"/>
    <x v="50"/>
    <s v="20250FXAN"/>
    <n v="1"/>
    <s v="0"/>
    <s v="N"/>
    <s v="-"/>
    <s v="40******"/>
    <s v="****"/>
    <s v="0928000888,53412502#1"/>
    <s v=""/>
    <s v="臺中市"/>
    <s v="北屯區"/>
    <s v="406"/>
    <s v="林*萱"/>
    <s v="賣家宅配：大型/超重物品運送"/>
    <s v=""/>
    <s v=""/>
    <s v="信用卡"/>
    <s v="2026-04-27 23:59"/>
    <s v="新竹物流8179154804"/>
    <s v="2026-04-25 00:35"/>
    <m/>
    <s v="2026-04-29 21:03"/>
    <s v=""/>
    <m/>
    <s v="學習"/>
    <s v="蝦皮"/>
  </r>
  <r>
    <s v="260425NRX09BJM"/>
    <x v="12"/>
    <s v=""/>
    <s v=""/>
    <s v="x****6"/>
    <x v="24"/>
    <s v="4850.00"/>
    <s v="0.00"/>
    <s v="0.00"/>
    <s v="0.00"/>
    <s v="4850.00"/>
    <s v="0.00"/>
    <s v="0"/>
    <s v="0.00"/>
    <s v="BENE0450;KPDDU5PSP"/>
    <s v="50.00"/>
    <s v="0.00"/>
    <s v="0.00"/>
    <s v="412.00"/>
    <s v="156.00"/>
    <s v="121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40******"/>
    <s v="****"/>
    <s v="0928000888,83840243#1"/>
    <s v=""/>
    <s v="臺中市"/>
    <s v="南區"/>
    <s v="402"/>
    <s v="孫*茹"/>
    <s v="賣家宅配：大型/超重物品運送"/>
    <s v=""/>
    <s v=""/>
    <s v="信用卡"/>
    <s v="2026-04-27 23:59"/>
    <s v="新竹物流8179154841"/>
    <s v="2026-04-25 00:53"/>
    <m/>
    <s v="2026-04-28 18:44"/>
    <s v=""/>
    <m/>
    <s v="學習"/>
    <s v="蝦皮"/>
  </r>
  <r>
    <s v="260425NS030CA2"/>
    <x v="3"/>
    <s v=""/>
    <s v=""/>
    <s v="n****6"/>
    <x v="24"/>
    <s v="2809.00"/>
    <s v="0.00"/>
    <s v="0.00"/>
    <s v="0.00"/>
    <s v="2809.00"/>
    <s v="0.00"/>
    <s v="89"/>
    <s v="0.00"/>
    <s v="BENE0450;GFQ9BDLDD"/>
    <s v="50.00"/>
    <s v="0.00"/>
    <s v="252.00"/>
    <s v="268.00"/>
    <s v="105.00"/>
    <s v="79.00"/>
    <s v="0"/>
    <s v="2.50%"/>
    <s v=""/>
    <x v="1"/>
    <s v="28215382311"/>
    <s v=""/>
    <s v="195494030276"/>
    <s v="28215382311_195494030276"/>
    <n v="4000"/>
    <x v="1"/>
    <x v="1"/>
    <s v="20240FM00"/>
    <n v="1"/>
    <s v="0"/>
    <s v="N"/>
    <s v="-"/>
    <s v="237 新北市三峽區文化路300號3樓"/>
    <s v="****"/>
    <s v="0928000888,47887200#1"/>
    <s v=""/>
    <s v="新北市"/>
    <s v="三峽區"/>
    <s v="237"/>
    <s v="李伊"/>
    <s v="賣家宅配：大型/超重物品運送"/>
    <s v=""/>
    <s v=""/>
    <s v="信用卡"/>
    <s v="2026-04-27 23:59"/>
    <s v="新竹物流8179154863"/>
    <s v="2026-04-25 00:47"/>
    <m/>
    <s v=""/>
    <s v=""/>
    <m/>
    <s v="學習"/>
    <s v="蝦皮"/>
  </r>
  <r>
    <s v="260425NSD0WF9B"/>
    <x v="1"/>
    <s v="被買家取消，原因 : Need to change delivery address"/>
    <s v=""/>
    <s v="v******6"/>
    <x v="24"/>
    <s v="4489.00"/>
    <s v="0.00"/>
    <s v="0.00"/>
    <s v="0.00"/>
    <s v="0.00"/>
    <s v="0.00"/>
    <s v="0"/>
    <s v="0.00"/>
    <s v="SVC-1394544310911108;GFQ9BDLDD"/>
    <s v="0.00"/>
    <s v="0.00"/>
    <s v="0.00"/>
    <s v="0.00"/>
    <s v="0.00"/>
    <s v="0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30******"/>
    <s v="****"/>
    <s v=""/>
    <s v=""/>
    <s v="新竹縣"/>
    <s v="竹北市"/>
    <s v="302"/>
    <s v="許*婷"/>
    <s v="賣家宅配：大型/超重物品運送"/>
    <s v=""/>
    <s v=""/>
    <s v="信用卡"/>
    <s v="2026-04-27 23:59"/>
    <s v=""/>
    <s v="2026-04-25 00:54"/>
    <m/>
    <s v=""/>
    <s v=""/>
    <m/>
    <s v="學習"/>
    <s v="蝦皮"/>
  </r>
  <r>
    <s v="260425NVA292NW"/>
    <x v="3"/>
    <s v=""/>
    <s v=""/>
    <s v="1******p"/>
    <x v="24"/>
    <s v="2621.00"/>
    <s v="0.00"/>
    <s v="0.00"/>
    <s v="0.00"/>
    <s v="2621.00"/>
    <s v="0.00"/>
    <s v="92"/>
    <s v="0.00"/>
    <s v="BENE0450;GFQ9BDLDD"/>
    <s v="50.00"/>
    <s v="0.00"/>
    <s v="236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106 臺北市大安區敦化南路一段165號6樓"/>
    <s v="****"/>
    <s v="0928000888,35509354#1"/>
    <s v=""/>
    <s v="臺北市"/>
    <s v="大安區"/>
    <s v="106"/>
    <s v="葉澤毅"/>
    <s v="賣家宅配：大型/超重物品運送"/>
    <s v=""/>
    <s v=""/>
    <s v="信用卡"/>
    <s v="2026-04-27 23:59"/>
    <s v="新竹物流8179154885"/>
    <s v="2026-04-25 01:46"/>
    <m/>
    <s v=""/>
    <s v=""/>
    <m/>
    <s v="學習"/>
    <s v="蝦皮"/>
  </r>
  <r>
    <s v="260425NXAMXKU7"/>
    <x v="3"/>
    <s v=""/>
    <s v=""/>
    <s v="k******1"/>
    <x v="24"/>
    <s v="949.00"/>
    <s v="0.00"/>
    <s v="0.00"/>
    <s v="0.00"/>
    <s v="949.00"/>
    <s v="0.00"/>
    <s v="0"/>
    <s v="0.00"/>
    <s v="MUM2604E;5MVHAC9CC"/>
    <s v="0.00"/>
    <s v="0.00"/>
    <s v="250.00"/>
    <s v="102.00"/>
    <s v="46.00"/>
    <s v="30.00"/>
    <s v="0"/>
    <s v="2.50%"/>
    <s v=""/>
    <x v="40"/>
    <s v="44908808383"/>
    <s v=""/>
    <s v="277535675661"/>
    <s v="44908808383_277535675661"/>
    <n v="1199"/>
    <x v="43"/>
    <x v="54"/>
    <s v="20260H001"/>
    <n v="1"/>
    <s v="0"/>
    <s v="N"/>
    <s v="-"/>
    <s v="300 新竹市東區慈雲路82號24樓之6"/>
    <s v="****"/>
    <s v="0928000888,07625682#1"/>
    <s v=""/>
    <s v="新竹市"/>
    <s v="東區"/>
    <s v="300"/>
    <s v="黃韻珊"/>
    <s v="賣家宅配：大型/超重物品運送"/>
    <s v=""/>
    <s v=""/>
    <s v="信用卡"/>
    <s v="2026-04-27 23:59"/>
    <s v="新竹物流8179154911"/>
    <s v="2026-04-25 02:22"/>
    <m/>
    <s v=""/>
    <s v=""/>
    <m/>
    <s v="生活周邊"/>
    <s v="蝦皮"/>
  </r>
  <r>
    <s v="260425P0AMDQUJ"/>
    <x v="3"/>
    <s v=""/>
    <s v=""/>
    <s v="t******2"/>
    <x v="24"/>
    <s v="2371.00"/>
    <s v="0.00"/>
    <s v="0.00"/>
    <s v="0.00"/>
    <s v="2371.00"/>
    <s v="0.00"/>
    <s v="0"/>
    <s v="0.00"/>
    <s v="SVC-1394544310911108;GFQ9BDLDD"/>
    <s v="20.00"/>
    <s v="0.00"/>
    <s v="207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7 高雄市三民區覺民路71號三樓"/>
    <s v="****"/>
    <s v="0928000888,04963377#1"/>
    <s v=""/>
    <s v="高雄市"/>
    <s v="三民區"/>
    <s v="807"/>
    <s v="曾嫻芝"/>
    <s v="賣家宅配：大型/超重物品運送"/>
    <s v=""/>
    <s v=""/>
    <s v="信用卡"/>
    <s v="2026-04-27 23:59"/>
    <s v="新竹物流8179154513"/>
    <s v="2026-04-25 02:58"/>
    <m/>
    <s v=""/>
    <s v=""/>
    <m/>
    <s v="學習"/>
    <s v="蝦皮"/>
  </r>
  <r>
    <s v="260425P37C8AFR"/>
    <x v="12"/>
    <s v=""/>
    <s v=""/>
    <s v="j******9"/>
    <x v="24"/>
    <s v="2898.00"/>
    <s v="0.00"/>
    <s v="0.00"/>
    <s v="0.00"/>
    <s v="2898.00"/>
    <s v="0.00"/>
    <s v="0"/>
    <s v="0.00"/>
    <s v="BENE0450;GFQ9BDLDD"/>
    <s v="50.00"/>
    <s v="0.00"/>
    <s v="252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89******"/>
    <s v="****"/>
    <s v="0928000888,90041684#1"/>
    <s v=""/>
    <s v="金門縣"/>
    <s v="金城鎮"/>
    <s v="893"/>
    <s v="林*希"/>
    <s v="賣家宅配：大型/超重物品運送"/>
    <s v=""/>
    <s v=""/>
    <s v="信用卡"/>
    <s v="2026-04-27 23:59"/>
    <s v="新竹物流8179154395"/>
    <s v="2026-04-25 03:50"/>
    <m/>
    <s v="2026-05-01 10:55"/>
    <s v=""/>
    <m/>
    <s v="學習"/>
    <s v="蝦皮"/>
  </r>
  <r>
    <s v="260425P9SHN22J"/>
    <x v="3"/>
    <s v=""/>
    <s v=""/>
    <s v="c******5"/>
    <x v="24"/>
    <s v="6648.00"/>
    <s v="0.00"/>
    <s v="0.00"/>
    <s v="0.00"/>
    <s v="6648.00"/>
    <s v="0.00"/>
    <s v="0"/>
    <s v="0.00"/>
    <s v="BENE0450;YPR4BKSNW"/>
    <s v="50.00"/>
    <s v="0.00"/>
    <s v="0.00"/>
    <s v="565.00"/>
    <s v="209.00"/>
    <s v="166.00"/>
    <s v="0"/>
    <s v="2.50%"/>
    <s v=""/>
    <x v="16"/>
    <s v="29710271443"/>
    <s v="(單套)"/>
    <s v="187914014572"/>
    <s v="29710271443_187914014572"/>
    <n v="5500"/>
    <x v="36"/>
    <x v="47"/>
    <s v="20240FA00"/>
    <n v="1"/>
    <s v="0"/>
    <s v="N"/>
    <s v="-"/>
    <s v="406 臺中市北屯區崇德十六路259號4樓之1"/>
    <s v="****"/>
    <s v="0928000888,84766322#1"/>
    <s v=""/>
    <s v="臺中市"/>
    <s v="北屯區"/>
    <s v="406"/>
    <s v="鄭閔分"/>
    <s v="賣家宅配：大型/超重物品運送"/>
    <s v=""/>
    <s v=""/>
    <s v="信用卡"/>
    <s v="2026-04-27 23:59"/>
    <s v="新竹物流8179154944"/>
    <s v="2026-04-25 05:49"/>
    <m/>
    <s v=""/>
    <s v=""/>
    <m/>
    <s v="學習"/>
    <s v="蝦皮"/>
  </r>
  <r>
    <s v="260425P9SHN22J"/>
    <x v="3"/>
    <s v=""/>
    <s v=""/>
    <s v="c******5"/>
    <x v="24"/>
    <s v="6648.00"/>
    <s v="0.00"/>
    <s v="0.00"/>
    <s v="0.00"/>
    <s v="6648.00"/>
    <s v="0.00"/>
    <s v="0"/>
    <s v="0.00"/>
    <s v="BENE0450;YPR4BKSNW"/>
    <s v="50.00"/>
    <s v="0.00"/>
    <s v="0.00"/>
    <s v="565.00"/>
    <s v="209.00"/>
    <s v="166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06 臺中市北屯區崇德十六路259號4樓之1"/>
    <s v="****"/>
    <s v="0928000888,84766322#1"/>
    <s v=""/>
    <s v="臺中市"/>
    <s v="北屯區"/>
    <s v="406"/>
    <s v="鄭閔分"/>
    <s v="賣家宅配：大型/超重物品運送"/>
    <s v=""/>
    <s v=""/>
    <s v="信用卡"/>
    <s v="2026-04-27 23:59"/>
    <s v="新竹物流8179154944"/>
    <s v="2026-04-25 05:49"/>
    <m/>
    <s v=""/>
    <s v=""/>
    <m/>
    <s v="學習"/>
    <s v="蝦皮"/>
  </r>
  <r>
    <s v="260425PCRSHPT7"/>
    <x v="1"/>
    <s v="被買家取消，原因 : 修改訂單內容"/>
    <s v=""/>
    <s v="q******0"/>
    <x v="24"/>
    <s v="1889.00"/>
    <s v="0.00"/>
    <s v="0.00"/>
    <s v="0.00"/>
    <s v="0.00"/>
    <s v="0.00"/>
    <s v="40"/>
    <s v="0.00"/>
    <s v="SVC-1394544310911108;TKB260425"/>
    <s v="0.00"/>
    <s v="0.00"/>
    <s v="0.00"/>
    <s v="0.00"/>
    <s v="0.00"/>
    <s v="0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32******"/>
    <s v="****"/>
    <s v=""/>
    <s v=""/>
    <s v="桃園市"/>
    <s v="平鎮區"/>
    <s v="324"/>
    <s v="宋*婷"/>
    <s v="賣家宅配：大型/超重物品運送"/>
    <s v=""/>
    <s v=""/>
    <s v="信用卡"/>
    <s v="2026-04-27 23:59"/>
    <s v=""/>
    <s v="2026-04-25 06:41"/>
    <m/>
    <s v=""/>
    <s v=""/>
    <m/>
    <s v="學習"/>
    <s v="蝦皮"/>
  </r>
  <r>
    <s v="260425PE57FDDF"/>
    <x v="1"/>
    <s v="賣家選擇不成立訂單，原因 : 無法運送範圍"/>
    <s v=""/>
    <s v="s******7"/>
    <x v="24"/>
    <s v="1929.00"/>
    <s v="0.00"/>
    <s v="0.00"/>
    <s v="0.00"/>
    <s v="0.00"/>
    <s v="0.00"/>
    <s v="0"/>
    <s v="0.00"/>
    <s v="SVC-1394544310911108;TKB260425"/>
    <s v="0.00"/>
    <s v="0.00"/>
    <s v="0.00"/>
    <s v="0.00"/>
    <s v="0.00"/>
    <s v="0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72******"/>
    <s v="****"/>
    <s v=""/>
    <s v=""/>
    <s v="臺南市"/>
    <s v="佳里區"/>
    <s v="722"/>
    <s v="李*真"/>
    <s v="賣家宅配：大型/超重物品運送"/>
    <s v=""/>
    <s v=""/>
    <s v="信用卡"/>
    <s v="2026-04-27 23:59"/>
    <s v=""/>
    <s v="2026-04-25 07:05"/>
    <m/>
    <s v=""/>
    <s v=""/>
    <m/>
    <s v="學習"/>
    <s v="蝦皮"/>
  </r>
  <r>
    <s v="260425PJNJ55RS"/>
    <x v="12"/>
    <s v=""/>
    <s v=""/>
    <s v="s******7"/>
    <x v="24"/>
    <s v="6679.00"/>
    <s v="0.00"/>
    <s v="0.00"/>
    <s v="0.00"/>
    <s v="6679.00"/>
    <s v="0.00"/>
    <s v="0"/>
    <s v="0.00"/>
    <s v="BENE0420;YPR4BKSNW"/>
    <s v="20.00"/>
    <s v="0.00"/>
    <s v="0.00"/>
    <s v="568.00"/>
    <s v="210.00"/>
    <s v="167.00"/>
    <s v="0"/>
    <s v="2.50%"/>
    <s v=""/>
    <x v="31"/>
    <s v="27004843078"/>
    <s v="(單套)"/>
    <s v="281830899971"/>
    <s v="27004843078_281830899971"/>
    <n v="5000"/>
    <x v="33"/>
    <x v="43"/>
    <s v="20220MY00"/>
    <n v="1"/>
    <s v="0"/>
    <s v="N"/>
    <s v="-"/>
    <s v="72******"/>
    <s v="****"/>
    <s v="0928000888,35621764#1"/>
    <s v=""/>
    <s v="臺南市"/>
    <s v="佳里區"/>
    <s v="722"/>
    <s v="李*真"/>
    <s v="賣家宅配：大型/超重物品運送"/>
    <s v=""/>
    <s v=""/>
    <s v="信用卡"/>
    <s v="2026-04-27 23:59"/>
    <s v="新竹物流8179154966"/>
    <s v="2026-04-25 08:26"/>
    <m/>
    <s v="2026-04-28 11:29"/>
    <s v=""/>
    <m/>
    <s v="學習"/>
    <s v="蝦皮"/>
  </r>
  <r>
    <s v="260425PJNJ55RS"/>
    <x v="12"/>
    <s v=""/>
    <s v=""/>
    <s v="s******7"/>
    <x v="24"/>
    <s v="6679.00"/>
    <s v="0.00"/>
    <s v="0.00"/>
    <s v="0.00"/>
    <s v="6679.00"/>
    <s v="0.00"/>
    <s v="0"/>
    <s v="0.00"/>
    <s v="BENE0420;YPR4BKSNW"/>
    <s v="20.00"/>
    <s v="0.00"/>
    <s v="0.00"/>
    <s v="568.00"/>
    <s v="210.00"/>
    <s v="167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72******"/>
    <s v="****"/>
    <s v="0928000888,35621764#1"/>
    <s v=""/>
    <s v="臺南市"/>
    <s v="佳里區"/>
    <s v="722"/>
    <s v="李*真"/>
    <s v="賣家宅配：大型/超重物品運送"/>
    <s v=""/>
    <s v=""/>
    <s v="信用卡"/>
    <s v="2026-04-27 23:59"/>
    <s v="新竹物流8179154966"/>
    <s v="2026-04-25 08:26"/>
    <m/>
    <s v="2026-04-28 11:29"/>
    <s v=""/>
    <m/>
    <s v="學習"/>
    <s v="蝦皮"/>
  </r>
  <r>
    <s v="260425PNHUNVSE"/>
    <x v="3"/>
    <s v=""/>
    <s v=""/>
    <s v="s******4"/>
    <x v="24"/>
    <s v="2369.00"/>
    <s v="0.00"/>
    <s v="0.00"/>
    <s v="0.00"/>
    <s v="2369.00"/>
    <s v="0.00"/>
    <s v="2"/>
    <s v="0.00"/>
    <s v="GFQ9BDLDD;SVC-1394544310911108"/>
    <s v="20.00"/>
    <s v="0.00"/>
    <s v="207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30 桃園市桃園區經國路387號"/>
    <s v="****"/>
    <s v="0928000888,93038301#1"/>
    <s v=""/>
    <s v="桃園市"/>
    <s v="桃園區"/>
    <s v="330"/>
    <s v="王奕茜"/>
    <s v="賣家宅配：大型/超重物品運送"/>
    <s v=""/>
    <s v=""/>
    <s v="信用卡"/>
    <s v="2026-04-27 23:59"/>
    <s v="新竹物流8179154524"/>
    <s v="2026-04-25 09:18"/>
    <m/>
    <s v=""/>
    <s v=""/>
    <m/>
    <s v="學習"/>
    <s v="蝦皮"/>
  </r>
  <r>
    <s v="260425PQHNG0HE"/>
    <x v="3"/>
    <s v=""/>
    <s v=""/>
    <s v="s******9"/>
    <x v="24"/>
    <s v="5566.00"/>
    <s v="0.00"/>
    <s v="0.00"/>
    <s v="0.00"/>
    <s v="5566.00"/>
    <s v="0.00"/>
    <s v="91"/>
    <s v="0.00"/>
    <s v="GFQ9BDLDD;BENE0450"/>
    <s v="50.00"/>
    <s v="0.00"/>
    <s v="492.00"/>
    <s v="523.00"/>
    <s v="194.00"/>
    <s v="15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338 桃園市蘆竹區南崁路一段142號3樓之2"/>
    <s v="****"/>
    <s v="0928000888,85613420#1"/>
    <s v=""/>
    <s v="桃園市"/>
    <s v="蘆竹區"/>
    <s v="338"/>
    <s v="洪若榛"/>
    <s v="賣家宅配：大型/超重物品運送"/>
    <s v=""/>
    <s v=""/>
    <s v="信用卡"/>
    <s v="2026-04-27 23:59"/>
    <s v="新竹物流8179155003"/>
    <s v="2026-04-25 09:53"/>
    <m/>
    <s v=""/>
    <s v=""/>
    <m/>
    <s v="學習"/>
    <s v="蝦皮"/>
  </r>
  <r>
    <s v="260425PQHNG0HE"/>
    <x v="3"/>
    <s v=""/>
    <s v=""/>
    <s v="s******9"/>
    <x v="24"/>
    <s v="5566.00"/>
    <s v="0.00"/>
    <s v="0.00"/>
    <s v="0.00"/>
    <s v="5566.00"/>
    <s v="0.00"/>
    <s v="91"/>
    <s v="0.00"/>
    <s v="GFQ9BDLDD;BENE0450"/>
    <s v="50.00"/>
    <s v="0.00"/>
    <s v="492.00"/>
    <s v="523.00"/>
    <s v="194.00"/>
    <s v="154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38 桃園市蘆竹區南崁路一段142號3樓之2"/>
    <s v="****"/>
    <s v="0928000888,85613420#1"/>
    <s v=""/>
    <s v="桃園市"/>
    <s v="蘆竹區"/>
    <s v="338"/>
    <s v="洪若榛"/>
    <s v="賣家宅配：大型/超重物品運送"/>
    <s v=""/>
    <s v=""/>
    <s v="信用卡"/>
    <s v="2026-04-27 23:59"/>
    <s v="新竹物流8179155003"/>
    <s v="2026-04-25 09:53"/>
    <m/>
    <s v=""/>
    <s v=""/>
    <m/>
    <s v="學習"/>
    <s v="蝦皮"/>
  </r>
  <r>
    <s v="260425PQKAW9CK"/>
    <x v="1"/>
    <s v="被買家取消，原因 : Need to change delivery address"/>
    <s v=""/>
    <s v="k*****7"/>
    <x v="24"/>
    <s v="2179.00"/>
    <s v="0.00"/>
    <s v="0.00"/>
    <s v="0.00"/>
    <s v="0.00"/>
    <s v="0.00"/>
    <s v="0"/>
    <s v="0.00"/>
    <s v="SVC-1394544310911108;5MVHAC9CC"/>
    <s v="0.00"/>
    <s v="0.00"/>
    <s v="0.00"/>
    <s v="0.00"/>
    <s v="0.00"/>
    <s v="0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"/>
    <s v=""/>
    <s v="新北市"/>
    <s v="三重區"/>
    <s v="241"/>
    <s v="王*婷"/>
    <s v="賣家宅配：大型/超重物品運送"/>
    <s v=""/>
    <s v=""/>
    <s v="信用卡分期付款"/>
    <s v="2026-04-27 23:59"/>
    <s v=""/>
    <s v="2026-04-25 09:54"/>
    <m/>
    <s v=""/>
    <s v=""/>
    <m/>
    <s v="學習"/>
    <s v="蝦皮"/>
  </r>
  <r>
    <s v="260425PRAC2FV1"/>
    <x v="12"/>
    <s v=""/>
    <s v=""/>
    <s v="d******2"/>
    <x v="24"/>
    <s v="2371.00"/>
    <s v="0.00"/>
    <s v="0.00"/>
    <s v="0.00"/>
    <s v="2371.00"/>
    <s v="0.00"/>
    <s v="8"/>
    <s v="0.00"/>
    <s v="SVC-1394544310911108;U9747DFNE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82******"/>
    <s v="****"/>
    <s v="0928000888,91983323#1"/>
    <s v=""/>
    <s v="高雄市"/>
    <s v="梓官區"/>
    <s v="826"/>
    <s v="周*真"/>
    <s v="賣家宅配：大型/超重物品運送"/>
    <s v=""/>
    <s v=""/>
    <s v="信用卡"/>
    <s v="2026-04-27 23:59"/>
    <s v="新竹物流8179154266"/>
    <s v="2026-04-25 10:07"/>
    <m/>
    <s v="2026-04-29 09:32"/>
    <s v=""/>
    <m/>
    <s v="學習"/>
    <s v="蝦皮"/>
  </r>
  <r>
    <s v="260425PSW72QB6"/>
    <x v="3"/>
    <s v=""/>
    <s v=""/>
    <s v="m******g"/>
    <x v="24"/>
    <s v="1961.00"/>
    <s v="0.00"/>
    <s v="0.00"/>
    <s v="0.00"/>
    <s v="1961.00"/>
    <s v="0.00"/>
    <s v="0"/>
    <s v="0.00"/>
    <s v="SVC-1394544310911108;NLPQY892E"/>
    <s v="20.00"/>
    <s v="0.00"/>
    <s v="218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114 臺北市內湖區文德路66巷101號3樓之7"/>
    <s v="****"/>
    <s v="0928000888,04672070#1"/>
    <s v=""/>
    <s v="臺北市"/>
    <s v="內湖區"/>
    <s v="114"/>
    <s v="洪維均"/>
    <s v="賣家宅配：大型/超重物品運送"/>
    <s v=""/>
    <s v=""/>
    <s v="信用卡"/>
    <s v="2026-04-27 23:59"/>
    <s v="新竹物流8179155051"/>
    <s v="2026-04-25 10:36"/>
    <m/>
    <s v=""/>
    <s v=""/>
    <m/>
    <s v="學習"/>
    <s v="蝦皮"/>
  </r>
  <r>
    <s v="260425PTFXV048"/>
    <x v="12"/>
    <s v=""/>
    <s v=""/>
    <s v="c******1"/>
    <x v="24"/>
    <s v="2379.00"/>
    <s v="0.00"/>
    <s v="0.00"/>
    <s v="0.00"/>
    <s v="2379.00"/>
    <s v="0.00"/>
    <s v="0"/>
    <s v="0.00"/>
    <s v="SVC-1394544310911108;Q9XEW8GMB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3******"/>
    <s v="****"/>
    <s v="0928000888,73572994#1"/>
    <s v=""/>
    <s v="桃園市"/>
    <s v="蘆竹區"/>
    <s v="338"/>
    <s v="黃*琪"/>
    <s v="賣家宅配：大型/超重物品運送"/>
    <s v=""/>
    <s v=""/>
    <s v="信用卡"/>
    <s v="2026-04-27 23:59"/>
    <s v="新竹物流8179154270"/>
    <s v="2026-04-25 10:46"/>
    <m/>
    <s v="2026-04-28 22:27"/>
    <s v=""/>
    <m/>
    <s v="學習"/>
    <s v="蝦皮"/>
  </r>
  <r>
    <s v="260425PU2JY15M"/>
    <x v="12"/>
    <s v=""/>
    <s v=""/>
    <s v="s******5"/>
    <x v="24"/>
    <s v="2527.00"/>
    <s v="0.00"/>
    <s v="0.00"/>
    <s v="0.00"/>
    <s v="2527.00"/>
    <s v="0.00"/>
    <s v="127"/>
    <s v="0.00"/>
    <s v="BENE0450;NLPQY892E"/>
    <s v="50.00"/>
    <s v="0.00"/>
    <s v="295.00"/>
    <s v="251.00"/>
    <s v="98.00"/>
    <s v="74.00"/>
    <s v="3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51******"/>
    <s v="****"/>
    <s v="0928000888,44228288#1"/>
    <s v=""/>
    <s v="彰化縣"/>
    <s v="員林市"/>
    <s v="510"/>
    <s v="廖*雯"/>
    <s v="賣家宅配：大型/超重物品運送"/>
    <s v=""/>
    <s v=""/>
    <s v="信用卡分期付款"/>
    <s v="2026-04-27 23:59"/>
    <s v="新竹物流8179155073"/>
    <s v="2026-04-25 10:58"/>
    <m/>
    <s v="2026-04-29 21:29"/>
    <s v=""/>
    <m/>
    <s v="學習"/>
    <s v="蝦皮"/>
  </r>
  <r>
    <s v="260425PUJH3QGM"/>
    <x v="12"/>
    <s v=""/>
    <s v=""/>
    <s v="l******1"/>
    <x v="24"/>
    <s v="950.00"/>
    <s v="0.00"/>
    <s v="0.00"/>
    <s v="0.00"/>
    <s v="950.00"/>
    <s v="0.00"/>
    <s v="0"/>
    <s v="0.00"/>
    <s v="SVC-1394544310911108;PQV6TH8K3"/>
    <s v="20.00"/>
    <s v="0.00"/>
    <s v="200.00"/>
    <s v="98.00"/>
    <s v="45.00"/>
    <s v="29.00"/>
    <s v="0"/>
    <s v="2.50%"/>
    <s v=""/>
    <x v="25"/>
    <s v="53055235490"/>
    <s v="2410益智挑戰書+拼音語詞書(海神王)"/>
    <s v="320478078545"/>
    <s v="53055235490_320478078545"/>
    <n v="780"/>
    <x v="24"/>
    <x v="31"/>
    <s v="20255CXBD"/>
    <n v="1"/>
    <s v="0"/>
    <s v="Y"/>
    <s v="3 件 4折"/>
    <s v="90******"/>
    <s v="****"/>
    <s v="0928000888,19863770#1"/>
    <s v=""/>
    <s v="屏東縣"/>
    <s v="屏東市"/>
    <s v="900"/>
    <s v="廖*菁"/>
    <s v="賣家宅配：大型/超重物品運送"/>
    <s v=""/>
    <s v=""/>
    <s v="信用卡"/>
    <s v="2026-04-27 23:59"/>
    <s v="新竹物流8179154502"/>
    <s v="2026-04-25 11:06"/>
    <m/>
    <s v="2026-04-30 14:14"/>
    <s v=""/>
    <m/>
    <s v="學習周邊"/>
    <s v="蝦皮"/>
  </r>
  <r>
    <s v="260425PUJH3QGM"/>
    <x v="12"/>
    <s v=""/>
    <s v=""/>
    <s v="l******1"/>
    <x v="24"/>
    <s v="950.00"/>
    <s v="0.00"/>
    <s v="0.00"/>
    <s v="0.00"/>
    <s v="950.00"/>
    <s v="0.00"/>
    <s v="0"/>
    <s v="0.00"/>
    <s v="SVC-1394544310911108;PQV6TH8K3"/>
    <s v="20.00"/>
    <s v="0.00"/>
    <s v="200.00"/>
    <s v="98.00"/>
    <s v="45.00"/>
    <s v="29.00"/>
    <s v="0"/>
    <s v="2.50%"/>
    <s v=""/>
    <x v="25"/>
    <s v="53055235490"/>
    <s v="2411益智挑戰書+拼音語詞書(地底世界"/>
    <s v="320478078546"/>
    <s v="53055235490_320478078546"/>
    <n v="780"/>
    <x v="24"/>
    <x v="33"/>
    <s v="20255CXBE"/>
    <n v="1"/>
    <s v="0"/>
    <s v="Y"/>
    <s v="3 件 4折"/>
    <s v="90******"/>
    <s v="****"/>
    <s v="0928000888,19863770#1"/>
    <s v=""/>
    <s v="屏東縣"/>
    <s v="屏東市"/>
    <s v="900"/>
    <s v="廖*菁"/>
    <s v="賣家宅配：大型/超重物品運送"/>
    <s v=""/>
    <s v=""/>
    <s v="信用卡"/>
    <s v="2026-04-27 23:59"/>
    <s v="新竹物流8179154502"/>
    <s v="2026-04-25 11:06"/>
    <m/>
    <s v="2026-04-30 14:14"/>
    <s v=""/>
    <m/>
    <s v="學習周邊"/>
    <s v="蝦皮"/>
  </r>
  <r>
    <s v="260425PUJH3QGM"/>
    <x v="12"/>
    <s v=""/>
    <s v=""/>
    <s v="l******1"/>
    <x v="24"/>
    <s v="950.00"/>
    <s v="0.00"/>
    <s v="0.00"/>
    <s v="0.00"/>
    <s v="950.00"/>
    <s v="0.00"/>
    <s v="0"/>
    <s v="0.00"/>
    <s v="SVC-1394544310911108;PQV6TH8K3"/>
    <s v="20.00"/>
    <s v="0.00"/>
    <s v="200.00"/>
    <s v="98.00"/>
    <s v="45.00"/>
    <s v="29.00"/>
    <s v="0"/>
    <s v="2.50%"/>
    <s v=""/>
    <x v="25"/>
    <s v="53055235490"/>
    <s v="2412益智挑戰書+拼音語詞書(耶誕樂園"/>
    <s v="320478078547"/>
    <s v="53055235490_320478078547"/>
    <n v="780"/>
    <x v="24"/>
    <x v="34"/>
    <s v="20255CXBF"/>
    <n v="1"/>
    <s v="0"/>
    <s v="Y"/>
    <s v="3 件 4折"/>
    <s v="90******"/>
    <s v="****"/>
    <s v="0928000888,19863770#1"/>
    <s v=""/>
    <s v="屏東縣"/>
    <s v="屏東市"/>
    <s v="900"/>
    <s v="廖*菁"/>
    <s v="賣家宅配：大型/超重物品運送"/>
    <s v=""/>
    <s v=""/>
    <s v="信用卡"/>
    <s v="2026-04-27 23:59"/>
    <s v="新竹物流8179154502"/>
    <s v="2026-04-25 11:06"/>
    <m/>
    <s v="2026-04-30 14:14"/>
    <s v=""/>
    <m/>
    <s v="學習周邊"/>
    <s v="蝦皮"/>
  </r>
  <r>
    <s v="260425PUJH3QGM"/>
    <x v="12"/>
    <s v=""/>
    <s v=""/>
    <s v="l******1"/>
    <x v="24"/>
    <s v="950.00"/>
    <s v="0.00"/>
    <s v="0.00"/>
    <s v="0.00"/>
    <s v="950.00"/>
    <s v="0.00"/>
    <s v="0"/>
    <s v="0.00"/>
    <s v="SVC-1394544310911108;PQV6TH8K3"/>
    <s v="20.00"/>
    <s v="0.00"/>
    <s v="200.00"/>
    <s v="98.00"/>
    <s v="45.00"/>
    <s v="29.00"/>
    <s v="0"/>
    <s v="2.50%"/>
    <s v=""/>
    <x v="25"/>
    <s v="53055235490"/>
    <s v="2501益智挑戰書+拼音語詞書(阿拉丁"/>
    <s v="320478078548"/>
    <s v="53055235490_320478078548"/>
    <n v="780"/>
    <x v="24"/>
    <x v="35"/>
    <s v="20255CXBB"/>
    <n v="1"/>
    <s v="0"/>
    <s v="Y"/>
    <s v="3 件 4折"/>
    <s v="90******"/>
    <s v="****"/>
    <s v="0928000888,19863770#1"/>
    <s v=""/>
    <s v="屏東縣"/>
    <s v="屏東市"/>
    <s v="900"/>
    <s v="廖*菁"/>
    <s v="賣家宅配：大型/超重物品運送"/>
    <s v=""/>
    <s v=""/>
    <s v="信用卡"/>
    <s v="2026-04-27 23:59"/>
    <s v="新竹物流8179154502"/>
    <s v="2026-04-25 11:06"/>
    <m/>
    <s v="2026-04-30 14:14"/>
    <s v=""/>
    <m/>
    <s v="學習周邊"/>
    <s v="蝦皮"/>
  </r>
  <r>
    <s v="260425PUJH3QGM"/>
    <x v="12"/>
    <s v=""/>
    <s v=""/>
    <s v="l******1"/>
    <x v="24"/>
    <s v="950.00"/>
    <s v="0.00"/>
    <s v="0.00"/>
    <s v="0.00"/>
    <s v="950.00"/>
    <s v="0.00"/>
    <s v="0"/>
    <s v="0.00"/>
    <s v="SVC-1394544310911108;PQV6TH8K3"/>
    <s v="20.00"/>
    <s v="0.00"/>
    <s v="200.00"/>
    <s v="98.00"/>
    <s v="45.00"/>
    <s v="29.00"/>
    <s v="0"/>
    <s v="2.50%"/>
    <s v=""/>
    <x v="25"/>
    <s v="53055235490"/>
    <s v="2502益智挑戰書+拼音語詞書(調皮巫婆"/>
    <s v="320478078549"/>
    <s v="53055235490_320478078549"/>
    <n v="780"/>
    <x v="24"/>
    <x v="36"/>
    <s v="20255CXBC"/>
    <n v="1"/>
    <s v="0"/>
    <s v="Y"/>
    <s v="3 件 4折"/>
    <s v="90******"/>
    <s v="****"/>
    <s v="0928000888,19863770#1"/>
    <s v=""/>
    <s v="屏東縣"/>
    <s v="屏東市"/>
    <s v="900"/>
    <s v="廖*菁"/>
    <s v="賣家宅配：大型/超重物品運送"/>
    <s v=""/>
    <s v=""/>
    <s v="信用卡"/>
    <s v="2026-04-27 23:59"/>
    <s v="新竹物流8179154502"/>
    <s v="2026-04-25 11:06"/>
    <m/>
    <s v="2026-04-30 14:14"/>
    <s v=""/>
    <m/>
    <s v="學習周邊"/>
    <s v="蝦皮"/>
  </r>
  <r>
    <s v="260425PXKCJAT9"/>
    <x v="12"/>
    <s v=""/>
    <s v=""/>
    <s v="a******9"/>
    <x v="24"/>
    <s v="2141.00"/>
    <s v="0.00"/>
    <s v="0.00"/>
    <s v="0.00"/>
    <s v="2141.00"/>
    <s v="0.00"/>
    <s v="0"/>
    <s v="0.00"/>
    <s v="SVC-1394544310911108;NLPQY892E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0******"/>
    <s v="****"/>
    <s v="0928000888,92404591#1"/>
    <s v=""/>
    <s v="基隆市"/>
    <s v="安樂區"/>
    <s v="204"/>
    <s v="車*璇"/>
    <s v="賣家宅配：大型/超重物品運送"/>
    <s v=""/>
    <s v=""/>
    <s v="信用卡"/>
    <s v="2026-04-27 23:59"/>
    <s v="新竹物流8179154281"/>
    <s v="2026-04-25 12:00"/>
    <m/>
    <s v="2026-04-29 20:15"/>
    <s v=""/>
    <m/>
    <s v="學習"/>
    <s v="蝦皮"/>
  </r>
  <r>
    <s v="260425PYK81KBS"/>
    <x v="12"/>
    <s v=""/>
    <s v=""/>
    <s v="w***y"/>
    <x v="24"/>
    <s v="2141.00"/>
    <s v="0.00"/>
    <s v="0.00"/>
    <s v="0.00"/>
    <s v="2141.00"/>
    <s v="0.00"/>
    <s v="0"/>
    <s v="0.00"/>
    <s v="BENE0420;NLPQY892E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1******"/>
    <s v="****"/>
    <s v="0928000888,62862590#1"/>
    <s v=""/>
    <s v="臺南市"/>
    <s v="永康區"/>
    <s v="710"/>
    <s v="王*珊"/>
    <s v="賣家宅配：大型/超重物品運送"/>
    <s v=""/>
    <s v=""/>
    <s v="信用卡"/>
    <s v="2026-04-27 23:59"/>
    <s v="新竹物流8179154292"/>
    <s v="2026-04-25 12:18"/>
    <m/>
    <s v="2026-04-29 23:24"/>
    <s v=""/>
    <m/>
    <s v="學習"/>
    <s v="蝦皮"/>
  </r>
  <r>
    <s v="260425Q0GHGJ03"/>
    <x v="12"/>
    <s v=""/>
    <s v=""/>
    <s v="k*****7"/>
    <x v="24"/>
    <s v="2379.00"/>
    <s v="0.00"/>
    <s v="0.00"/>
    <s v="0.00"/>
    <s v="2379.00"/>
    <s v="0.00"/>
    <s v="0"/>
    <s v="0.00"/>
    <s v="BENE0420;U9747DFNE"/>
    <s v="20.00"/>
    <s v="0.00"/>
    <s v="0.00"/>
    <s v="202.00"/>
    <s v="81.00"/>
    <s v="59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0928000888,08135817#1"/>
    <s v=""/>
    <s v="新北市"/>
    <s v="三重區"/>
    <s v="241"/>
    <s v="王*婷"/>
    <s v="賣家宅配：大型/超重物品運送"/>
    <s v=""/>
    <s v=""/>
    <s v="信用卡分期付款"/>
    <s v="2026-04-27 23:59"/>
    <s v="新竹物流8179154303"/>
    <s v="2026-04-25 12:34"/>
    <m/>
    <s v="2026-05-01 15:29"/>
    <s v=""/>
    <m/>
    <s v="學習"/>
    <s v="蝦皮"/>
  </r>
  <r>
    <s v="260425Q4YTTJVC"/>
    <x v="3"/>
    <s v=""/>
    <s v=""/>
    <s v="a*****3"/>
    <x v="24"/>
    <s v="2835.00"/>
    <s v="0.00"/>
    <s v="0.00"/>
    <s v="0.00"/>
    <s v="2835.00"/>
    <s v="0.00"/>
    <s v="0"/>
    <s v="0.00"/>
    <s v="BENE0450;NLPQY892E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06 臺北市大安區敦化南路二段128號14樓之1"/>
    <s v="****"/>
    <s v="0928000888,94721578#1"/>
    <s v=""/>
    <s v="臺北市"/>
    <s v="大安區"/>
    <s v="106"/>
    <s v="苗香君"/>
    <s v="賣家宅配：大型/超重物品運送"/>
    <s v=""/>
    <s v=""/>
    <s v="信用卡"/>
    <s v="2026-04-27 23:59"/>
    <s v="新竹物流8179154406"/>
    <s v="2026-04-25 13:54"/>
    <m/>
    <s v=""/>
    <s v=""/>
    <m/>
    <s v="學習"/>
    <s v="蝦皮"/>
  </r>
  <r>
    <s v="260425Q6ADJKN8"/>
    <x v="3"/>
    <s v=""/>
    <s v=""/>
    <s v="w******7"/>
    <x v="24"/>
    <s v="2379.00"/>
    <s v="0.00"/>
    <s v="0.00"/>
    <s v="0.00"/>
    <s v="2379.00"/>
    <s v="0.00"/>
    <s v="0"/>
    <s v="0.00"/>
    <s v="SVC-1394544310911108;U9747DFNE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2 臺北市北投區中和街502巷8弄15-1號4樓"/>
    <s v="****"/>
    <s v="0928000888,83953690#1"/>
    <s v=""/>
    <s v="臺北市"/>
    <s v="北投區"/>
    <s v="112"/>
    <s v="王品涵"/>
    <s v="賣家宅配：大型/超重物品運送"/>
    <s v=""/>
    <s v=""/>
    <s v="信用卡"/>
    <s v="2026-04-27 23:59"/>
    <s v="新竹物流8179154314"/>
    <s v="2026-04-25 14:18"/>
    <m/>
    <s v=""/>
    <s v=""/>
    <m/>
    <s v="學習"/>
    <s v="蝦皮"/>
  </r>
  <r>
    <s v="260425Q6BJS0HD"/>
    <x v="3"/>
    <s v=""/>
    <s v=""/>
    <s v="l******9"/>
    <x v="24"/>
    <s v="2141.00"/>
    <s v="0.00"/>
    <s v="0.00"/>
    <s v="0.00"/>
    <s v="2141.00"/>
    <s v="0.00"/>
    <s v="0"/>
    <s v="0.00"/>
    <s v="SVC-1394544310911108;NLPQY892E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14 臺中市烏日區仁德里信義街58號5樓之2"/>
    <s v="****"/>
    <s v="0928000888,74351541#1"/>
    <s v=""/>
    <s v="臺中市"/>
    <s v="烏日區"/>
    <s v="414"/>
    <s v="陳彩屏"/>
    <s v="賣家宅配：大型/超重物品運送"/>
    <s v=""/>
    <s v=""/>
    <s v="信用卡"/>
    <s v="2026-04-27 23:59"/>
    <s v="新竹物流8179154325"/>
    <s v="2026-04-25 14:18"/>
    <m/>
    <s v=""/>
    <s v=""/>
    <m/>
    <s v="學習"/>
    <s v="蝦皮"/>
  </r>
  <r>
    <s v="260425Q98H90Y2"/>
    <x v="12"/>
    <s v=""/>
    <s v=""/>
    <s v="f******8"/>
    <x v="24"/>
    <s v="2141.00"/>
    <s v="0.00"/>
    <s v="0.00"/>
    <s v="0.00"/>
    <s v="2141.00"/>
    <s v="0.00"/>
    <s v="0"/>
    <s v="0.00"/>
    <s v="SVC-1394544310911108;NLPQY892E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50******"/>
    <s v="****"/>
    <s v="0928000888,61587284#1"/>
    <s v=""/>
    <s v="彰化縣"/>
    <s v="福興鄉"/>
    <s v="506"/>
    <s v="蔣*吟"/>
    <s v="賣家宅配：大型/超重物品運送"/>
    <s v=""/>
    <s v=""/>
    <s v="信用卡"/>
    <s v="2026-04-27 23:59"/>
    <s v="新竹物流8179154336"/>
    <s v="2026-04-25 15:11"/>
    <m/>
    <s v="2026-05-04 06:50"/>
    <s v=""/>
    <m/>
    <s v="學習"/>
    <s v="蝦皮"/>
  </r>
  <r>
    <s v="260425QA5WNBYG"/>
    <x v="12"/>
    <s v=""/>
    <s v=""/>
    <s v="c******4"/>
    <x v="24"/>
    <s v="2179.00"/>
    <s v="0.00"/>
    <s v="0.00"/>
    <s v="0.00"/>
    <s v="2179.00"/>
    <s v="0.00"/>
    <s v="0"/>
    <s v="0.00"/>
    <s v="SVC-1394544310911108;U9747DFNE"/>
    <s v="20.00"/>
    <s v="0.00"/>
    <s v="0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30******"/>
    <s v="****"/>
    <s v="0928000888,53348257#1"/>
    <s v=""/>
    <s v="新竹縣"/>
    <s v="竹北市"/>
    <s v="302"/>
    <s v="莊*勳"/>
    <s v="賣家宅配：大型/超重物品運送"/>
    <s v=""/>
    <s v=""/>
    <s v="信用卡"/>
    <s v="2026-04-27 23:59"/>
    <s v="新竹物流8179155095"/>
    <s v="2026-04-25 15:27"/>
    <m/>
    <s v="2026-05-02 22:46"/>
    <s v=""/>
    <m/>
    <s v="學習"/>
    <s v="蝦皮"/>
  </r>
  <r>
    <s v="260425QFXMH7TF"/>
    <x v="1"/>
    <s v="系統自動判定訂單不成立，原因 : 未收到款項"/>
    <s v=""/>
    <s v="v******6"/>
    <x v="24"/>
    <s v="4390.00"/>
    <s v="0.00"/>
    <s v="0.00"/>
    <s v="0.00"/>
    <s v="0.00"/>
    <s v="0.00"/>
    <s v="2"/>
    <s v="0.00"/>
    <s v="BENE0420;NLPQY892E"/>
    <s v="0.00"/>
    <s v="0.00"/>
    <s v="0.00"/>
    <s v="0.00"/>
    <s v="0.00"/>
    <s v="0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22******"/>
    <s v="****"/>
    <s v=""/>
    <s v=""/>
    <s v="新北市"/>
    <s v="板橋區"/>
    <s v="220"/>
    <s v="雯*"/>
    <s v="賣家宅配：大型/超重物品運送"/>
    <s v=""/>
    <s v=""/>
    <s v="信用卡"/>
    <s v=""/>
    <s v=""/>
    <s v="-"/>
    <m/>
    <s v=""/>
    <s v=""/>
    <m/>
    <s v="學習"/>
    <s v="蝦皮"/>
  </r>
  <r>
    <s v="260425QM4TX4UM"/>
    <x v="3"/>
    <s v=""/>
    <s v=""/>
    <s v="c******0"/>
    <x v="24"/>
    <s v="398.00"/>
    <s v="100.00"/>
    <s v="0.00"/>
    <s v="0.00"/>
    <s v="498.00"/>
    <s v="0.00"/>
    <s v="0"/>
    <s v="0.00"/>
    <s v=""/>
    <s v="0.00"/>
    <s v="0.00"/>
    <s v="0.00"/>
    <s v="18.00"/>
    <s v="22.00"/>
    <s v="12.00"/>
    <s v="0"/>
    <s v="2.50%"/>
    <s v=""/>
    <x v="35"/>
    <s v="29404284709"/>
    <s v=""/>
    <s v="158690870458"/>
    <s v="29404284709_158690870458"/>
    <n v="299"/>
    <x v="10"/>
    <x v="48"/>
    <s v="20230H003"/>
    <n v="2"/>
    <s v="0"/>
    <s v="N"/>
    <s v="-"/>
    <s v="830 高雄市鳳山區海涵路585號9樓"/>
    <s v="****"/>
    <s v="0928000888,97469021#1"/>
    <s v=""/>
    <s v="高雄市"/>
    <s v="鳳山區"/>
    <s v="830"/>
    <s v="楊雅茵"/>
    <s v="賣家宅配：大型/超重物品運送"/>
    <s v=""/>
    <s v=""/>
    <s v="信用卡"/>
    <s v="2026-04-27 23:59"/>
    <s v="新竹物流8179155106"/>
    <s v="2026-04-25 18:25"/>
    <m/>
    <s v=""/>
    <s v=""/>
    <m/>
    <s v="生活周邊"/>
    <s v="蝦皮"/>
  </r>
  <r>
    <s v="260425QNTDK8G9"/>
    <x v="12"/>
    <s v=""/>
    <s v=""/>
    <s v="s******9"/>
    <x v="24"/>
    <s v="2141.00"/>
    <s v="0.00"/>
    <s v="0.00"/>
    <s v="0.00"/>
    <s v="2141.00"/>
    <s v="0.00"/>
    <s v="0"/>
    <s v="0.00"/>
    <s v="SVC-1394544310911108;NLPQY892E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31******"/>
    <s v="****"/>
    <s v="0928000888,73397993#1"/>
    <s v=""/>
    <s v="新竹縣"/>
    <s v="竹東鎮"/>
    <s v="310"/>
    <s v="陳*琳"/>
    <s v="賣家宅配：大型/超重物品運送"/>
    <s v=""/>
    <s v=""/>
    <s v="信用卡"/>
    <s v="2026-04-27 23:59"/>
    <s v="新竹物流8179154340"/>
    <s v="2026-04-25 18:56"/>
    <m/>
    <s v="2026-05-01 21:26"/>
    <s v=""/>
    <m/>
    <s v="學習"/>
    <s v="蝦皮"/>
  </r>
  <r>
    <s v="260425QPU8H2C8"/>
    <x v="3"/>
    <s v=""/>
    <s v=""/>
    <s v="y******2"/>
    <x v="24"/>
    <s v="2089.00"/>
    <s v="0.00"/>
    <s v="0.00"/>
    <s v="0.00"/>
    <s v="2089.00"/>
    <s v="0.00"/>
    <s v="290"/>
    <s v="0.00"/>
    <s v="SVC-1394544310911108;U9747DFNE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904 屏東縣九如鄉東寧村東寧路15之2號"/>
    <s v="****"/>
    <s v="0928000888,21134854#1"/>
    <s v=""/>
    <s v="屏東縣"/>
    <s v="九如鄉"/>
    <s v="904"/>
    <s v="楊雅婷"/>
    <s v="賣家宅配：大型/超重物品運送"/>
    <s v=""/>
    <s v=""/>
    <s v="信用卡"/>
    <s v="2026-04-27 23:59"/>
    <s v="新竹物流8179154351"/>
    <s v="2026-04-25 19:28"/>
    <m/>
    <s v=""/>
    <s v=""/>
    <m/>
    <s v="學習"/>
    <s v="蝦皮"/>
  </r>
  <r>
    <s v="260425QQGWV71X"/>
    <x v="1"/>
    <s v="系統自動判定訂單不成立，原因 : 未收到款項"/>
    <s v=""/>
    <s v="v******6"/>
    <x v="24"/>
    <s v="4390.00"/>
    <s v="0.00"/>
    <s v="0.00"/>
    <s v="0.00"/>
    <s v="0.00"/>
    <s v="0.00"/>
    <s v="2"/>
    <s v="0.00"/>
    <s v="BENE0420;NLPQY892E"/>
    <s v="0.00"/>
    <s v="0.00"/>
    <s v="0.00"/>
    <s v="0.00"/>
    <s v="0.00"/>
    <s v="0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22******"/>
    <s v="****"/>
    <s v=""/>
    <s v=""/>
    <s v="新北市"/>
    <s v="板橋區"/>
    <s v="220"/>
    <s v="雯*"/>
    <s v="賣家宅配：大型/超重物品運送"/>
    <s v=""/>
    <s v=""/>
    <s v="信用卡"/>
    <s v=""/>
    <s v=""/>
    <s v="-"/>
    <m/>
    <s v=""/>
    <s v=""/>
    <m/>
    <s v="學習"/>
    <s v="蝦皮"/>
  </r>
  <r>
    <s v="260425QSMHT103"/>
    <x v="12"/>
    <s v=""/>
    <s v=""/>
    <s v="c******3"/>
    <x v="24"/>
    <s v="2140.00"/>
    <s v="0.00"/>
    <s v="0.00"/>
    <s v="0.00"/>
    <s v="2140.00"/>
    <s v="0.00"/>
    <s v="0"/>
    <s v="0.00"/>
    <s v="BENE0420;NLPQY892E"/>
    <s v="20.00"/>
    <s v="0.00"/>
    <s v="238.00"/>
    <s v="202.00"/>
    <s v="81.00"/>
    <s v="59.00"/>
    <s v="0"/>
    <s v="2.50%"/>
    <s v=""/>
    <x v="18"/>
    <s v="43300564167"/>
    <s v="(加購)巧虎手偶"/>
    <s v="208744991582"/>
    <s v="43300564167_208744991582"/>
    <n v="3199"/>
    <x v="38"/>
    <x v="50"/>
    <s v="20250FXAN"/>
    <n v="1"/>
    <s v="0"/>
    <s v="N"/>
    <s v="-"/>
    <s v="33******"/>
    <s v="****"/>
    <s v="0928000888,97582753#1"/>
    <s v=""/>
    <s v="桃園市"/>
    <s v="桃園區"/>
    <s v="330"/>
    <s v="林*婕"/>
    <s v="賣家宅配：大型/超重物品運送"/>
    <s v=""/>
    <s v=""/>
    <s v="信用卡"/>
    <s v="2026-04-27 23:59"/>
    <s v="新竹物流8179155143"/>
    <s v="2026-04-25 20:04"/>
    <m/>
    <s v="2026-04-29 13:41"/>
    <s v=""/>
    <m/>
    <s v="學習"/>
    <s v="蝦皮"/>
  </r>
  <r>
    <s v="260425QXGSWHM4"/>
    <x v="3"/>
    <s v=""/>
    <s v=""/>
    <s v="v******6"/>
    <x v="24"/>
    <s v="4390.00"/>
    <s v="0.00"/>
    <s v="0.00"/>
    <s v="0.00"/>
    <s v="4390.00"/>
    <s v="0.00"/>
    <s v="2"/>
    <s v="0.00"/>
    <s v="BENE0420;NLPQY892E"/>
    <s v="20.00"/>
    <s v="0.00"/>
    <s v="488.00"/>
    <s v="415.00"/>
    <s v="156.00"/>
    <s v="122.00"/>
    <s v="0"/>
    <s v="2.50%"/>
    <s v=""/>
    <x v="5"/>
    <s v="29842502974"/>
    <s v="(單套)"/>
    <s v="259020882901"/>
    <s v="29842502974_259020882901"/>
    <n v="6500"/>
    <x v="17"/>
    <x v="5"/>
    <s v="20250FD00"/>
    <n v="1"/>
    <s v="0"/>
    <s v="N"/>
    <s v="-"/>
    <s v="220 新北市板橋區華東街272-3號24樓"/>
    <s v="****"/>
    <s v="0928000888,35180192#1"/>
    <s v=""/>
    <s v="新北市"/>
    <s v="板橋區"/>
    <s v="220"/>
    <s v="雯婷"/>
    <s v="賣家宅配：大型/超重物品運送"/>
    <s v=""/>
    <s v=""/>
    <s v="信用卡"/>
    <s v="2026-04-27 23:59"/>
    <s v="新竹物流8179155165"/>
    <s v="2026-04-25 22:02"/>
    <m/>
    <s v=""/>
    <s v=""/>
    <m/>
    <s v="學習"/>
    <s v="蝦皮"/>
  </r>
  <r>
    <s v="260425QXJ3U3NP"/>
    <x v="3"/>
    <s v=""/>
    <s v=""/>
    <s v="i******y"/>
    <x v="24"/>
    <s v="2141.00"/>
    <s v="0.00"/>
    <s v="0.00"/>
    <s v="0.00"/>
    <s v="2141.00"/>
    <s v="0.00"/>
    <s v="0"/>
    <s v="0.00"/>
    <s v="SVC-1394544310911108;NLPQY892E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709 臺南市安南區生態二街70號9F-2"/>
    <s v="****"/>
    <s v="0928000888,32587685#1"/>
    <s v=""/>
    <s v="臺南市"/>
    <s v="安南區"/>
    <s v="709"/>
    <s v="林怡萱"/>
    <s v="賣家宅配：大型/超重物品運送"/>
    <s v=""/>
    <s v=""/>
    <s v="信用卡"/>
    <s v="2026-04-27 23:59"/>
    <s v="新竹物流8179154362"/>
    <s v="2026-04-25 21:32"/>
    <m/>
    <s v=""/>
    <s v=""/>
    <m/>
    <s v="學習"/>
    <s v="蝦皮"/>
  </r>
  <r>
    <s v="260425R09KHRYV"/>
    <x v="3"/>
    <s v=""/>
    <s v=""/>
    <s v="h***j"/>
    <x v="24"/>
    <s v="2630.00"/>
    <s v="0.00"/>
    <s v="0.00"/>
    <s v="0.00"/>
    <s v="2630.00"/>
    <s v="0.00"/>
    <s v="24"/>
    <s v="0.00"/>
    <s v="BENE0450;NLPQY892E"/>
    <s v="50.00"/>
    <s v="0.00"/>
    <s v="295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4******"/>
    <s v="****"/>
    <s v="0928000888,52774864#1"/>
    <s v=""/>
    <s v="新北市"/>
    <s v="蘆洲區"/>
    <s v="247"/>
    <s v="黃*靜"/>
    <s v="賣家宅配：大型/超重物品運送"/>
    <s v=""/>
    <s v=""/>
    <s v="信用卡"/>
    <s v="2026-04-27 23:59"/>
    <s v="新竹物流8179155176"/>
    <s v="2026-04-25 22:03"/>
    <m/>
    <s v=""/>
    <s v=""/>
    <m/>
    <s v="學習"/>
    <s v="蝦皮"/>
  </r>
  <r>
    <s v="260425R1TS45XU"/>
    <x v="3"/>
    <s v=""/>
    <s v=""/>
    <s v="i******s"/>
    <x v="24"/>
    <s v="2320.00"/>
    <s v="0.00"/>
    <s v="0.00"/>
    <s v="0.00"/>
    <s v="2320.00"/>
    <s v="0.00"/>
    <s v="0"/>
    <s v="0.00"/>
    <s v="SVC-1394544310911108;NLPQY892E"/>
    <s v="20.00"/>
    <s v="0.00"/>
    <s v="258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41 新北市三重區三重區元信二街72號13樓"/>
    <s v="****"/>
    <s v="0928000888,86214449#1"/>
    <s v=""/>
    <s v="新北市"/>
    <s v="三重區"/>
    <s v="241"/>
    <s v="陳思妤"/>
    <s v="賣家宅配：大型/超重物品運送"/>
    <s v=""/>
    <s v=""/>
    <s v="信用卡"/>
    <s v="2026-04-27 23:59"/>
    <s v="新竹物流8179154535"/>
    <s v="2026-04-25 22:30"/>
    <m/>
    <s v=""/>
    <s v=""/>
    <m/>
    <s v="學習"/>
    <s v="蝦皮"/>
  </r>
  <r>
    <s v="260425R28QDGG4"/>
    <x v="3"/>
    <s v=""/>
    <s v=""/>
    <s v="d******9"/>
    <x v="24"/>
    <s v="2835.00"/>
    <s v="0.00"/>
    <s v="0.00"/>
    <s v="0.00"/>
    <s v="2835.00"/>
    <s v="0.00"/>
    <s v="0"/>
    <s v="0.00"/>
    <s v="BENE0450;NLPQY892E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35 新北市中和區新生街112巷8號3樓"/>
    <s v="****"/>
    <s v="0928000888,03840636#1"/>
    <s v=""/>
    <s v="新北市"/>
    <s v="中和區"/>
    <s v="235"/>
    <s v="邱啓峰"/>
    <s v="賣家宅配：大型/超重物品運送"/>
    <s v=""/>
    <s v=""/>
    <s v="信用卡"/>
    <s v="2026-04-27 23:59"/>
    <s v="新竹物流8179154410"/>
    <s v="2026-04-25 22:38"/>
    <m/>
    <s v=""/>
    <s v=""/>
    <m/>
    <s v="學習"/>
    <s v="蝦皮"/>
  </r>
  <r>
    <s v="260425R2KQBEVS"/>
    <x v="3"/>
    <s v=""/>
    <s v=""/>
    <s v="h******7"/>
    <x v="24"/>
    <s v="3104.00"/>
    <s v="0.00"/>
    <s v="0.00"/>
    <s v="0.00"/>
    <s v="3104.00"/>
    <s v="0.00"/>
    <s v="18"/>
    <s v="0.00"/>
    <s v="BENE0450;NLPQY892E"/>
    <s v="50.00"/>
    <s v="0.00"/>
    <s v="347.00"/>
    <s v="289.00"/>
    <s v="114.00"/>
    <s v="87.00"/>
    <s v="0"/>
    <s v="2.50%"/>
    <s v=""/>
    <x v="37"/>
    <s v="44022645178"/>
    <s v=""/>
    <s v="281840860093"/>
    <s v="44022645178_281840860093"/>
    <n v="800"/>
    <x v="47"/>
    <x v="51"/>
    <s v="20252FA00"/>
    <n v="1"/>
    <s v="0"/>
    <s v="N"/>
    <s v="-"/>
    <s v="235 新北市中和區新生街112巷8號3樓"/>
    <s v="****"/>
    <s v="0928000888,92055078#1"/>
    <s v=""/>
    <s v="新北市"/>
    <s v="中和區"/>
    <s v="235"/>
    <s v="邱啓峰"/>
    <s v="賣家宅配：大型/超重物品運送"/>
    <s v=""/>
    <s v=""/>
    <s v="信用卡"/>
    <s v="2026-04-27 23:59"/>
    <s v="新竹物流8179154970"/>
    <s v="2026-04-25 22:44"/>
    <m/>
    <s v=""/>
    <s v=""/>
    <m/>
    <s v="學習周邊"/>
    <s v="蝦皮"/>
  </r>
  <r>
    <s v="260425R2KQBEVS"/>
    <x v="3"/>
    <s v=""/>
    <s v=""/>
    <s v="h******7"/>
    <x v="24"/>
    <s v="3104.00"/>
    <s v="0.00"/>
    <s v="0.00"/>
    <s v="0.00"/>
    <s v="3104.00"/>
    <s v="0.00"/>
    <s v="18"/>
    <s v="0.00"/>
    <s v="BENE0450;NLPQY892E"/>
    <s v="50.00"/>
    <s v="0.00"/>
    <s v="347.00"/>
    <s v="289.00"/>
    <s v="114.00"/>
    <s v="87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235 新北市中和區新生街112巷8號3樓"/>
    <s v="****"/>
    <s v="0928000888,92055078#1"/>
    <s v=""/>
    <s v="新北市"/>
    <s v="中和區"/>
    <s v="235"/>
    <s v="邱啓峰"/>
    <s v="賣家宅配：大型/超重物品運送"/>
    <s v=""/>
    <s v=""/>
    <s v="信用卡"/>
    <s v="2026-04-27 23:59"/>
    <s v="新竹物流8179154970"/>
    <s v="2026-04-25 22:44"/>
    <m/>
    <s v=""/>
    <s v=""/>
    <m/>
    <s v="學習"/>
    <s v="蝦皮"/>
  </r>
  <r>
    <s v="260425R2WG4UDJ"/>
    <x v="1"/>
    <s v="系統自動判定訂單不成立，原因 : 未收到款項"/>
    <s v=""/>
    <s v="t*****s"/>
    <x v="24"/>
    <s v="299.00"/>
    <s v="0.00"/>
    <s v="0.00"/>
    <s v="0.00"/>
    <s v="0.00"/>
    <s v="0.00"/>
    <s v="0"/>
    <s v="0.00"/>
    <s v=""/>
    <s v="0.00"/>
    <s v="0.00"/>
    <s v="0.00"/>
    <s v="0.00"/>
    <s v="0.00"/>
    <s v="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2******"/>
    <s v="****"/>
    <s v=""/>
    <s v=""/>
    <s v="新北市"/>
    <s v="板橋區"/>
    <s v="220"/>
    <s v="郭*雯"/>
    <s v="賣家宅配：大型/超重物品運送"/>
    <s v=""/>
    <s v=""/>
    <s v="信用卡"/>
    <s v=""/>
    <s v=""/>
    <s v="-"/>
    <m/>
    <s v=""/>
    <s v=""/>
    <m/>
    <s v="學習周邊"/>
    <s v="蝦皮"/>
  </r>
  <r>
    <s v="260425R3QPEW8T"/>
    <x v="1"/>
    <s v="系統自動判定訂單不成立，原因 : 未收到款項"/>
    <s v=""/>
    <s v="t******1"/>
    <x v="24"/>
    <s v="299.00"/>
    <s v="0.00"/>
    <s v="0.00"/>
    <s v="0.00"/>
    <s v="0.00"/>
    <s v="0.00"/>
    <s v="0"/>
    <s v="0.00"/>
    <s v=""/>
    <s v="0.00"/>
    <s v="0.00"/>
    <s v="0.00"/>
    <s v="0.00"/>
    <s v="0.00"/>
    <s v="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2******"/>
    <s v="****"/>
    <s v=""/>
    <s v=""/>
    <s v="新北市"/>
    <s v="板橋區"/>
    <s v="220"/>
    <s v="佘*穎"/>
    <s v="賣家宅配：大型/超重物品運送"/>
    <s v=""/>
    <s v=""/>
    <s v="信用卡"/>
    <s v=""/>
    <s v=""/>
    <s v="-"/>
    <m/>
    <s v=""/>
    <s v=""/>
    <m/>
    <s v="學習周邊"/>
    <s v="蝦皮"/>
  </r>
  <r>
    <s v="260425R3QRBJ2Y"/>
    <x v="3"/>
    <s v=""/>
    <s v=""/>
    <s v="j******3"/>
    <x v="24"/>
    <s v="1178.00"/>
    <s v="0.00"/>
    <s v="0.00"/>
    <s v="0.00"/>
    <s v="1178.00"/>
    <s v="0.00"/>
    <s v="0"/>
    <s v="0.00"/>
    <s v="SVC-1394544310911108;U9747DFNE"/>
    <s v="20.00"/>
    <s v="0.00"/>
    <s v="0.00"/>
    <s v="100.00"/>
    <s v="45.00"/>
    <s v="29.00"/>
    <s v="0"/>
    <s v="2.50%"/>
    <s v=""/>
    <x v="30"/>
    <s v="40272629657"/>
    <s v=""/>
    <s v="258985690764"/>
    <s v="40272629657_258985690764"/>
    <n v="399"/>
    <x v="6"/>
    <x v="6"/>
    <s v="20250FXAM"/>
    <n v="1"/>
    <s v="0"/>
    <s v="N"/>
    <s v="-"/>
    <s v="522 彰化縣田尾鄉新生村延平路190巷22號"/>
    <s v="****"/>
    <s v="0928000888,93352348#1"/>
    <s v=""/>
    <s v="彰化縣"/>
    <s v="田尾鄉"/>
    <s v="522"/>
    <s v="謝喬媖"/>
    <s v="賣家宅配：大型/超重物品運送"/>
    <s v=""/>
    <s v=""/>
    <s v="信用卡"/>
    <s v="2026-04-27 23:59"/>
    <s v="新竹物流8179154594"/>
    <s v="2026-04-25 23:04"/>
    <m/>
    <s v=""/>
    <s v=""/>
    <m/>
    <s v="學習周邊"/>
    <s v="蝦皮"/>
  </r>
  <r>
    <s v="260425R3QRBJ2Y"/>
    <x v="3"/>
    <s v=""/>
    <s v=""/>
    <s v="j******3"/>
    <x v="24"/>
    <s v="1178.00"/>
    <s v="0.00"/>
    <s v="0.00"/>
    <s v="0.00"/>
    <s v="1178.00"/>
    <s v="0.00"/>
    <s v="0"/>
    <s v="0.00"/>
    <s v="SVC-1394544310911108;U9747DFNE"/>
    <s v="20.00"/>
    <s v="0.00"/>
    <s v="0.00"/>
    <s v="100.00"/>
    <s v="45.00"/>
    <s v="29.00"/>
    <s v="0"/>
    <s v="2.50%"/>
    <s v=""/>
    <x v="42"/>
    <s v="52408787601"/>
    <s v=""/>
    <s v="198823956357"/>
    <s v="52408787601_198823956357"/>
    <n v="899"/>
    <x v="40"/>
    <x v="56"/>
    <s v="20250H002"/>
    <n v="1"/>
    <s v="0"/>
    <s v="N"/>
    <s v="-"/>
    <s v="522 彰化縣田尾鄉新生村延平路190巷22號"/>
    <s v="****"/>
    <s v="0928000888,93352348#1"/>
    <s v=""/>
    <s v="彰化縣"/>
    <s v="田尾鄉"/>
    <s v="522"/>
    <s v="謝喬媖"/>
    <s v="賣家宅配：大型/超重物品運送"/>
    <s v=""/>
    <s v=""/>
    <s v="信用卡"/>
    <s v="2026-04-27 23:59"/>
    <s v="新竹物流8179154594"/>
    <s v="2026-04-25 23:04"/>
    <m/>
    <s v=""/>
    <s v=""/>
    <m/>
    <s v="生活周邊"/>
    <s v="蝦皮"/>
  </r>
  <r>
    <s v="260425R5FGP8NH"/>
    <x v="12"/>
    <s v=""/>
    <s v=""/>
    <s v="t******8"/>
    <x v="24"/>
    <s v="2373.00"/>
    <s v="0.00"/>
    <s v="0.00"/>
    <s v="0.00"/>
    <s v="2373.00"/>
    <s v="0.00"/>
    <s v="6"/>
    <s v="0.00"/>
    <s v="SVC-1394544310911108;Q9XEW8GMB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0******"/>
    <s v="****"/>
    <s v="0928000888,68853825#1"/>
    <s v=""/>
    <s v="臺北市"/>
    <s v="大同區"/>
    <s v="103"/>
    <s v="周*"/>
    <s v="賣家宅配：大型/超重物品運送"/>
    <s v=""/>
    <s v=""/>
    <s v="信用卡"/>
    <s v="2026-04-27 23:59"/>
    <s v="新竹物流8179154373"/>
    <s v="2026-04-25 23:36"/>
    <m/>
    <s v="2026-04-30 08:46"/>
    <s v=""/>
    <m/>
    <s v="學習"/>
    <s v="蝦皮"/>
  </r>
  <r>
    <s v="260425R5JPQ8G6"/>
    <x v="3"/>
    <s v=""/>
    <s v=""/>
    <s v="m******0"/>
    <x v="24"/>
    <s v="1859.00"/>
    <s v="0.00"/>
    <s v="0.00"/>
    <s v="0.00"/>
    <s v="1859.00"/>
    <s v="0.00"/>
    <s v="282"/>
    <s v="0.00"/>
    <s v="NLPQY892E;SVC-1394544310911108"/>
    <s v="20.00"/>
    <s v="0.00"/>
    <s v="238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429 臺中市神岡區文昌街382號4樓之3"/>
    <s v="****"/>
    <s v="0928000888,55473415#1"/>
    <s v=""/>
    <s v="臺中市"/>
    <s v="神岡區"/>
    <s v="429"/>
    <s v="盧詩宜"/>
    <s v="賣家宅配：大型/超重物品運送"/>
    <s v=""/>
    <s v=""/>
    <s v="信用卡"/>
    <s v="2026-04-27 23:59"/>
    <s v="新竹物流8179154384"/>
    <s v="2026-04-25 23:38"/>
    <m/>
    <s v=""/>
    <s v=""/>
    <m/>
    <s v="學習"/>
    <s v="蝦皮"/>
  </r>
  <r>
    <s v="260425R5VR5C55"/>
    <x v="12"/>
    <s v=""/>
    <s v=""/>
    <s v="7******w"/>
    <x v="24"/>
    <s v="2835.00"/>
    <s v="0.00"/>
    <s v="0.00"/>
    <s v="0.00"/>
    <s v="2835.00"/>
    <s v="0.00"/>
    <s v="0"/>
    <s v="0.00"/>
    <s v="BENE0450;NLPQY892E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10******"/>
    <s v="****"/>
    <s v="0928000888,96590060#1"/>
    <s v=""/>
    <s v="臺北市"/>
    <s v="中山區"/>
    <s v="104"/>
    <s v="張*媛"/>
    <s v="賣家宅配：大型/超重物品運送"/>
    <s v=""/>
    <s v=""/>
    <s v="信用卡"/>
    <s v="2026-04-27 23:59"/>
    <s v="新竹物流8179154421"/>
    <s v="2026-04-25 23:43"/>
    <m/>
    <s v="2026-04-29 18:27"/>
    <s v=""/>
    <m/>
    <s v="學習"/>
    <s v="蝦皮"/>
  </r>
  <r>
    <s v="260425R6GAQ2P6"/>
    <x v="12"/>
    <s v=""/>
    <s v=""/>
    <s v="b******5"/>
    <x v="24"/>
    <s v="2305.00"/>
    <s v="0.00"/>
    <s v="0.00"/>
    <s v="0.00"/>
    <s v="2305.00"/>
    <s v="0.00"/>
    <s v="530"/>
    <s v="0.00"/>
    <s v="NLPQY892E;BENE0450"/>
    <s v="50.00"/>
    <s v="0.00"/>
    <s v="315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32******"/>
    <s v="****"/>
    <s v="0928000888,17420674#1"/>
    <s v=""/>
    <s v="桃園市"/>
    <s v="平鎮區"/>
    <s v="324"/>
    <s v="蔣*雯"/>
    <s v="賣家宅配：大型/超重物品運送"/>
    <s v=""/>
    <s v=""/>
    <s v="信用卡"/>
    <s v="2026-04-27 23:59"/>
    <s v="新竹物流8179154432"/>
    <s v="2026-04-25 23:54"/>
    <m/>
    <s v="2026-04-29 23:04"/>
    <s v=""/>
    <m/>
    <s v="學習"/>
    <s v="蝦皮"/>
  </r>
  <r>
    <s v="260426RF8J1BVK"/>
    <x v="3"/>
    <s v=""/>
    <s v=""/>
    <s v="a*****m"/>
    <x v="25"/>
    <s v="2759.00"/>
    <s v="0.00"/>
    <s v="0.00"/>
    <s v="0.00"/>
    <s v="2759.00"/>
    <s v="0.00"/>
    <s v="0"/>
    <s v="0.00"/>
    <s v="BENE0450;KPDDU5PSP"/>
    <s v="50.00"/>
    <s v="0.00"/>
    <s v="0.00"/>
    <s v="235.00"/>
    <s v="93.00"/>
    <s v="69.00"/>
    <s v="0"/>
    <s v="2.50%"/>
    <s v=""/>
    <x v="8"/>
    <s v="24735289975"/>
    <s v=""/>
    <s v="251469945373"/>
    <s v="24735289975_251469945373"/>
    <n v="320"/>
    <x v="7"/>
    <x v="7"/>
    <s v="20191C710"/>
    <n v="1"/>
    <s v="0"/>
    <s v="N"/>
    <s v="-"/>
    <s v="234 新北市永和區中山路一段17巷4弄6號12樓之7"/>
    <s v="****"/>
    <s v="0928000888,37827124#1"/>
    <s v=""/>
    <s v="新北市"/>
    <s v="永和區"/>
    <s v="234"/>
    <s v="林明慧"/>
    <s v="賣家宅配：大型/超重物品運送"/>
    <s v=""/>
    <s v=""/>
    <s v="信用卡"/>
    <s v="2026-04-27 23:59"/>
    <s v="新竹物流8179154616"/>
    <s v="2026-04-26 02:30"/>
    <m/>
    <s v=""/>
    <s v=""/>
    <m/>
    <s v="學習周邊"/>
    <s v="蝦皮"/>
  </r>
  <r>
    <s v="260426RF8J1BVK"/>
    <x v="3"/>
    <s v=""/>
    <s v=""/>
    <s v="a*****m"/>
    <x v="25"/>
    <s v="2759.00"/>
    <s v="0.00"/>
    <s v="0.00"/>
    <s v="0.00"/>
    <s v="2759.00"/>
    <s v="0.00"/>
    <s v="0"/>
    <s v="0.00"/>
    <s v="BENE0450;KPDDU5PSP"/>
    <s v="50.00"/>
    <s v="0.00"/>
    <s v="0.00"/>
    <s v="235.00"/>
    <s v="93.00"/>
    <s v="69.00"/>
    <s v="0"/>
    <s v="2.50%"/>
    <s v=""/>
    <x v="4"/>
    <s v="28604287513"/>
    <s v=""/>
    <s v="256123210658"/>
    <s v="28604287513_256123210658"/>
    <n v="300"/>
    <x v="4"/>
    <x v="4"/>
    <s v="20211C608"/>
    <n v="1"/>
    <s v="0"/>
    <s v="N"/>
    <s v="-"/>
    <s v="234 新北市永和區中山路一段17巷4弄6號12樓之7"/>
    <s v="****"/>
    <s v="0928000888,37827124#1"/>
    <s v=""/>
    <s v="新北市"/>
    <s v="永和區"/>
    <s v="234"/>
    <s v="林明慧"/>
    <s v="賣家宅配：大型/超重物品運送"/>
    <s v=""/>
    <s v=""/>
    <s v="信用卡"/>
    <s v="2026-04-27 23:59"/>
    <s v="新竹物流8179154616"/>
    <s v="2026-04-26 02:30"/>
    <m/>
    <s v=""/>
    <s v=""/>
    <m/>
    <s v="學習周邊"/>
    <s v="蝦皮"/>
  </r>
  <r>
    <s v="260426RF8J1BVK"/>
    <x v="3"/>
    <s v=""/>
    <s v=""/>
    <s v="a*****m"/>
    <x v="25"/>
    <s v="2759.00"/>
    <s v="0.00"/>
    <s v="0.00"/>
    <s v="0.00"/>
    <s v="2759.00"/>
    <s v="0.00"/>
    <s v="0"/>
    <s v="0.00"/>
    <s v="BENE0450;KPDDU5PSP"/>
    <s v="50.00"/>
    <s v="0.00"/>
    <s v="0.00"/>
    <s v="235.00"/>
    <s v="93.00"/>
    <s v="6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4 新北市永和區中山路一段17巷4弄6號12樓之7"/>
    <s v="****"/>
    <s v="0928000888,37827124#1"/>
    <s v=""/>
    <s v="新北市"/>
    <s v="永和區"/>
    <s v="234"/>
    <s v="林明慧"/>
    <s v="賣家宅配：大型/超重物品運送"/>
    <s v=""/>
    <s v=""/>
    <s v="信用卡"/>
    <s v="2026-04-27 23:59"/>
    <s v="新竹物流8179154616"/>
    <s v="2026-04-26 02:30"/>
    <m/>
    <s v=""/>
    <s v=""/>
    <m/>
    <s v="學習"/>
    <s v="蝦皮"/>
  </r>
  <r>
    <s v="260426SDBSS2TR"/>
    <x v="3"/>
    <s v=""/>
    <s v=""/>
    <s v="y******n"/>
    <x v="25"/>
    <s v="598.00"/>
    <s v="0.00"/>
    <s v="0.00"/>
    <s v="0.00"/>
    <s v="598.00"/>
    <s v="0.00"/>
    <s v="0"/>
    <s v="0.00"/>
    <s v=""/>
    <s v="0.00"/>
    <s v="0.00"/>
    <s v="0.00"/>
    <s v="51.00"/>
    <s v="28.00"/>
    <s v="15.00"/>
    <s v="0"/>
    <s v="2.50%"/>
    <s v=""/>
    <x v="7"/>
    <s v="28157944827"/>
    <s v="單購"/>
    <s v="276894603061"/>
    <s v="28157944827_276894603061"/>
    <n v="399"/>
    <x v="6"/>
    <x v="6"/>
    <s v="20250FXAM"/>
    <n v="2"/>
    <s v="0"/>
    <s v="N"/>
    <s v="-"/>
    <s v="320 桃園市中壢區福州二街517巷18號（水明漾社區）"/>
    <s v="****"/>
    <s v="0928000888,76997425#1"/>
    <s v=""/>
    <s v="桃園市"/>
    <s v="中壢區"/>
    <s v="320"/>
    <s v="林芸真"/>
    <s v="賣家宅配：大型/超重物品運送"/>
    <s v=""/>
    <s v=""/>
    <s v="信用卡"/>
    <s v="2026-04-27 23:59"/>
    <s v="新竹物流8179154620"/>
    <s v="2026-04-26 11:29"/>
    <m/>
    <s v=""/>
    <s v=""/>
    <m/>
    <s v="學習周邊"/>
    <s v="蝦皮"/>
  </r>
  <r>
    <s v="260426SDQGM0WW"/>
    <x v="12"/>
    <s v=""/>
    <s v=""/>
    <s v="t******1"/>
    <x v="25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2******"/>
    <s v="****"/>
    <s v="0928000888,05706467#1"/>
    <s v=""/>
    <s v="新北市"/>
    <s v="板橋區"/>
    <s v="220"/>
    <s v="佘*穎"/>
    <s v="賣家宅配：大型/超重物品運送"/>
    <s v=""/>
    <s v=""/>
    <s v="信用卡"/>
    <s v="2026-04-27 23:59"/>
    <s v="新竹物流8179154476"/>
    <s v="2026-04-26 11:36"/>
    <m/>
    <s v="2026-04-29 09:08"/>
    <s v=""/>
    <m/>
    <s v="學習周邊"/>
    <s v="蝦皮"/>
  </r>
  <r>
    <s v="260426SJ51HTAF"/>
    <x v="12"/>
    <s v=""/>
    <s v=""/>
    <s v="a******8"/>
    <x v="25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32******"/>
    <s v="****"/>
    <s v="0928000888,67225774#1"/>
    <s v=""/>
    <s v="桃園市"/>
    <s v="龍潭區"/>
    <s v="325"/>
    <s v="廖*維"/>
    <s v="賣家宅配：大型/超重物品運送"/>
    <s v=""/>
    <s v=""/>
    <s v="信用卡"/>
    <s v="2026-04-27 23:59"/>
    <s v="新竹物流8179154480"/>
    <s v="2026-04-26 12:56"/>
    <m/>
    <s v="2026-04-28 20:01"/>
    <s v=""/>
    <m/>
    <s v="學習周邊"/>
    <s v="蝦皮"/>
  </r>
  <r>
    <s v="260426SQJUDMM9"/>
    <x v="1"/>
    <s v="被買家取消，原因 : 修改訂單內容"/>
    <s v=""/>
    <s v="c******6"/>
    <x v="25"/>
    <s v="2260.00"/>
    <s v="0.00"/>
    <s v="0.00"/>
    <s v="0.00"/>
    <s v="0.00"/>
    <s v="0.00"/>
    <s v="0"/>
    <s v="0.00"/>
    <s v="BENE0420;D5CZMFUNR"/>
    <s v="0.00"/>
    <s v="0.00"/>
    <s v="0.00"/>
    <s v="0.00"/>
    <s v="0.00"/>
    <s v="0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******"/>
    <s v="****"/>
    <s v=""/>
    <s v=""/>
    <s v="新北市"/>
    <s v="新店區"/>
    <s v="231"/>
    <s v="陳*宜"/>
    <s v="賣家宅配：大型/超重物品運送"/>
    <s v=""/>
    <s v=""/>
    <s v="信用卡"/>
    <s v="2026-04-27 23:59"/>
    <s v=""/>
    <s v="2026-04-26 14:33"/>
    <m/>
    <s v=""/>
    <s v=""/>
    <m/>
    <s v="學習"/>
    <s v="蝦皮"/>
  </r>
  <r>
    <s v="260426SQU5EEPU"/>
    <x v="12"/>
    <s v=""/>
    <s v=""/>
    <s v="c******6"/>
    <x v="25"/>
    <s v="2449.00"/>
    <s v="0.00"/>
    <s v="0.00"/>
    <s v="0.00"/>
    <s v="2449.00"/>
    <s v="0.00"/>
    <s v="0"/>
    <s v="0.00"/>
    <s v="BENE0420;D5CZMFUNR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******"/>
    <s v="****"/>
    <s v="0928000888,43260884#1"/>
    <s v=""/>
    <s v="新北市"/>
    <s v="新店區"/>
    <s v="231"/>
    <s v="陳*宜"/>
    <s v="賣家宅配：大型/超重物品運送"/>
    <s v=""/>
    <s v=""/>
    <s v="信用卡"/>
    <s v="2026-04-27 23:59"/>
    <s v="新竹物流8179154546"/>
    <s v="2026-04-26 14:37"/>
    <m/>
    <s v="2026-04-30 10:12"/>
    <s v=""/>
    <m/>
    <s v="學習"/>
    <s v="蝦皮"/>
  </r>
  <r>
    <s v="260426SRHCY7XY"/>
    <x v="12"/>
    <s v=""/>
    <s v=""/>
    <s v="w******5"/>
    <x v="25"/>
    <s v="2447.00"/>
    <s v="0.00"/>
    <s v="0.00"/>
    <s v="0.00"/>
    <s v="2447.00"/>
    <s v="0.00"/>
    <s v="2"/>
    <s v="0.00"/>
    <s v="RKGG96LKC;BENE0420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11******"/>
    <s v="****"/>
    <s v="0928000888,22428489#1"/>
    <s v=""/>
    <s v="臺北市"/>
    <s v="內湖區"/>
    <s v="114"/>
    <s v="曾*珊"/>
    <s v="賣家宅配：大型/超重物品運送"/>
    <s v=""/>
    <s v=""/>
    <s v="信用卡"/>
    <s v="2026-04-27 23:59"/>
    <s v="新竹物流8179154550"/>
    <s v="2026-04-26 14:50"/>
    <m/>
    <s v="2026-04-29 21:37"/>
    <s v=""/>
    <m/>
    <s v="學習"/>
    <s v="蝦皮"/>
  </r>
  <r>
    <s v="260426SVV65JRX"/>
    <x v="3"/>
    <s v=""/>
    <s v=""/>
    <s v="t******o"/>
    <x v="25"/>
    <s v="7747.00"/>
    <s v="0.00"/>
    <s v="0.00"/>
    <s v="0.00"/>
    <s v="7747.00"/>
    <s v="0.00"/>
    <s v="0"/>
    <s v="0.00"/>
    <s v="BENE0450;KPDDU5PSP"/>
    <s v="50.00"/>
    <s v="0.00"/>
    <s v="0.00"/>
    <s v="658.00"/>
    <s v="242.00"/>
    <s v="194.00"/>
    <s v="0"/>
    <s v="2.50%"/>
    <s v=""/>
    <x v="5"/>
    <s v="29842502974"/>
    <s v="(加購)巧虎收納袋-單套已有收納袋"/>
    <s v="259020882904"/>
    <s v="29842502974_259020882904"/>
    <n v="6899"/>
    <x v="34"/>
    <x v="5"/>
    <s v="20250FXAT"/>
    <n v="1"/>
    <s v="0"/>
    <s v="N"/>
    <s v="-"/>
    <s v="325 桃園市龍潭區龍星里37鄰大同路191巷12號12樓"/>
    <s v="****"/>
    <s v="0928000888,07923995#1"/>
    <s v=""/>
    <s v="桃園市"/>
    <s v="龍潭區"/>
    <s v="325"/>
    <s v="蔡萱煖"/>
    <s v="賣家宅配：大型/超重物品運送"/>
    <s v=""/>
    <s v=""/>
    <s v="信用卡"/>
    <s v="2026-04-27 23:59"/>
    <s v="新竹物流8179154631"/>
    <s v="2026-04-26 16:07"/>
    <m/>
    <s v=""/>
    <s v=""/>
    <m/>
    <s v="學習"/>
    <s v="蝦皮"/>
  </r>
  <r>
    <s v="260426SVV65JRX"/>
    <x v="3"/>
    <s v=""/>
    <s v=""/>
    <s v="t******o"/>
    <x v="25"/>
    <s v="7747.00"/>
    <s v="0.00"/>
    <s v="0.00"/>
    <s v="0.00"/>
    <s v="7747.00"/>
    <s v="0.00"/>
    <s v="0"/>
    <s v="0.00"/>
    <s v="BENE0450;KPDDU5PSP"/>
    <s v="50.00"/>
    <s v="0.00"/>
    <s v="0.00"/>
    <s v="658.00"/>
    <s v="242.00"/>
    <s v="19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325 桃園市龍潭區龍星里37鄰大同路191巷12號12樓"/>
    <s v="****"/>
    <s v="0928000888,07923995#1"/>
    <s v=""/>
    <s v="桃園市"/>
    <s v="龍潭區"/>
    <s v="325"/>
    <s v="蔡萱煖"/>
    <s v="賣家宅配：大型/超重物品運送"/>
    <s v=""/>
    <s v=""/>
    <s v="信用卡"/>
    <s v="2026-04-27 23:59"/>
    <s v="新竹物流8179154631"/>
    <s v="2026-04-26 16:07"/>
    <m/>
    <s v=""/>
    <s v=""/>
    <m/>
    <s v="學習"/>
    <s v="蝦皮"/>
  </r>
  <r>
    <s v="260426SWPQXTGJ"/>
    <x v="12"/>
    <s v=""/>
    <s v=""/>
    <s v="e******8"/>
    <x v="25"/>
    <s v="2449.00"/>
    <s v="0.00"/>
    <s v="0.00"/>
    <s v="0.00"/>
    <s v="2449.00"/>
    <s v="0.00"/>
    <s v="0"/>
    <s v="0.00"/>
    <s v="BENE0420;D5CZMFUNR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2******"/>
    <s v="****"/>
    <s v="0928000888,67984016#1"/>
    <s v=""/>
    <s v="高雄市"/>
    <s v="燕巢區"/>
    <s v="82443"/>
    <s v="鄭*俐"/>
    <s v="賣家宅配：大型/超重物品運送"/>
    <s v=""/>
    <s v=""/>
    <s v="信用卡"/>
    <s v="2026-04-27 23:59"/>
    <s v="新竹物流8179154561"/>
    <s v="2026-04-26 16:22"/>
    <m/>
    <s v="2026-04-28 15:19"/>
    <s v=""/>
    <m/>
    <s v="學習"/>
    <s v="蝦皮"/>
  </r>
  <r>
    <s v="260426SY1UWCYS"/>
    <x v="3"/>
    <s v=""/>
    <s v=""/>
    <s v="e******4"/>
    <x v="25"/>
    <s v="4165.00"/>
    <s v="0.00"/>
    <s v="0.00"/>
    <s v="0.00"/>
    <s v="4165.00"/>
    <s v="0.00"/>
    <s v="60"/>
    <s v="0.00"/>
    <s v="MUM2604E;D5CZMFUNR"/>
    <s v="0.00"/>
    <s v="0.00"/>
    <s v="273.00"/>
    <s v="382.00"/>
    <s v="145.00"/>
    <s v="112.00"/>
    <s v="0"/>
    <s v="2.50%"/>
    <s v=""/>
    <x v="16"/>
    <s v="29710271443"/>
    <s v="(加購)巧虎手偶"/>
    <s v="249004683961"/>
    <s v="29710271443_249004683961"/>
    <n v="5699"/>
    <x v="32"/>
    <x v="42"/>
    <s v="20250FXAP"/>
    <n v="1"/>
    <s v="0"/>
    <s v="N"/>
    <s v="-"/>
    <s v="116 臺北市文山區老泉街26巷3號（輔導處）"/>
    <s v="****"/>
    <s v="0928000888,05809096#1"/>
    <s v=""/>
    <s v="臺北市"/>
    <s v="文山區"/>
    <s v="116"/>
    <s v="楊喻騏"/>
    <s v="賣家宅配：大型/超重物品運送"/>
    <s v=""/>
    <s v=""/>
    <s v="信用卡"/>
    <s v="2026-04-27 23:59"/>
    <s v="新竹物流8179154642"/>
    <s v="2026-04-26 16:46"/>
    <m/>
    <s v=""/>
    <s v=""/>
    <m/>
    <s v="學習"/>
    <s v="蝦皮"/>
  </r>
  <r>
    <s v="260426TH5JS1A2"/>
    <x v="12"/>
    <s v=""/>
    <s v=""/>
    <s v="_***o"/>
    <x v="25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11******"/>
    <s v="****"/>
    <s v="0928000888,20106675#1"/>
    <s v=""/>
    <s v="臺北市"/>
    <s v="南港區"/>
    <s v="115"/>
    <s v="大**乃"/>
    <s v="賣家宅配：大型/超重物品運送"/>
    <s v=""/>
    <s v=""/>
    <s v="信用卡"/>
    <s v="2026-04-27 23:59"/>
    <s v="新竹物流8179154491"/>
    <s v="2026-04-26 22:10"/>
    <m/>
    <s v="2026-04-29 19:13"/>
    <s v=""/>
    <m/>
    <s v="學習周邊"/>
    <s v="蝦皮"/>
  </r>
  <r>
    <s v="260426TJXXH5F8"/>
    <x v="12"/>
    <s v=""/>
    <s v=""/>
    <s v="e*****9"/>
    <x v="25"/>
    <s v="2801.00"/>
    <s v="0.00"/>
    <s v="0.00"/>
    <s v="0.00"/>
    <s v="2801.00"/>
    <s v="0.00"/>
    <s v="0"/>
    <s v="0.00"/>
    <s v="BENE0450;D5CZMFUNR"/>
    <s v="50.00"/>
    <s v="0.00"/>
    <s v="148.00"/>
    <s v="251.00"/>
    <s v="98.00"/>
    <s v="74.00"/>
    <s v="0"/>
    <s v="2.50%"/>
    <s v=""/>
    <x v="11"/>
    <s v="46756353219"/>
    <s v="(單購)"/>
    <s v="400596693875"/>
    <s v="46756353219_400596693875"/>
    <n v="4000"/>
    <x v="11"/>
    <x v="11"/>
    <s v="20250FF00"/>
    <n v="1"/>
    <s v="0"/>
    <s v="N"/>
    <s v="-"/>
    <s v="80******"/>
    <s v="****"/>
    <s v="0928000888,64408664#1"/>
    <s v=""/>
    <s v="高雄市"/>
    <s v="新興區"/>
    <s v="800"/>
    <s v="陳*萱"/>
    <s v="賣家宅配：大型/超重物品運送"/>
    <s v=""/>
    <s v=""/>
    <s v="信用卡"/>
    <s v="2026-04-27 23:59"/>
    <s v="新竹物流8179154653"/>
    <s v="2026-04-26 22:42"/>
    <m/>
    <s v="2026-04-29 15:56"/>
    <s v=""/>
    <m/>
    <s v="學習"/>
    <s v="蝦皮"/>
  </r>
  <r>
    <s v="260426TKVU2CCH"/>
    <x v="12"/>
    <s v=""/>
    <s v=""/>
    <s v="z******9"/>
    <x v="25"/>
    <s v="2449.00"/>
    <s v="0.00"/>
    <s v="0.00"/>
    <s v="0.00"/>
    <s v="2449.00"/>
    <s v="0.00"/>
    <s v="0"/>
    <s v="0.00"/>
    <s v="BENE0420;RKGG96LKC"/>
    <s v="20.00"/>
    <s v="0.00"/>
    <s v="129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80******"/>
    <s v="****"/>
    <s v="0928000888,23557009#1"/>
    <s v=""/>
    <s v="高雄市"/>
    <s v="新興區"/>
    <s v="800"/>
    <s v="凌*庭"/>
    <s v="賣家宅配：大型/超重物品運送"/>
    <s v=""/>
    <s v=""/>
    <s v="信用卡"/>
    <s v="2026-04-27 23:59"/>
    <s v="新竹物流8179154572"/>
    <s v="2026-04-26 22:59"/>
    <m/>
    <s v="2026-05-01 21:58"/>
    <s v=""/>
    <m/>
    <s v="學習"/>
    <s v="蝦皮"/>
  </r>
  <r>
    <s v="260427TRBWQAHJ"/>
    <x v="3"/>
    <s v=""/>
    <s v=""/>
    <s v="y******0"/>
    <x v="26"/>
    <s v="689.00"/>
    <s v="0.00"/>
    <s v="0.00"/>
    <s v="0.00"/>
    <s v="689.00"/>
    <s v="0.00"/>
    <s v="0"/>
    <s v="0.00"/>
    <s v="SFC-1393793144225796"/>
    <s v="10.00"/>
    <s v="0.00"/>
    <s v="0.00"/>
    <s v="59.00"/>
    <s v="31.00"/>
    <s v="17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300 新竹市東區慈祥路88號6樓之1"/>
    <s v="****"/>
    <s v="0928000888,63264938#1"/>
    <s v=""/>
    <s v="新竹市"/>
    <s v="東區"/>
    <s v="300"/>
    <s v="孫于盛"/>
    <s v="賣家宅配：大型/超重物品運送"/>
    <s v=""/>
    <s v=""/>
    <s v="信用卡"/>
    <s v="2026-04-28 23:59"/>
    <s v="新竹物流8179159866"/>
    <s v="2026-04-27 00:19"/>
    <m/>
    <s v=""/>
    <s v=""/>
    <m/>
    <s v="學習周邊"/>
    <s v="蝦皮"/>
  </r>
  <r>
    <s v="260427TT94K350"/>
    <x v="3"/>
    <s v=""/>
    <s v=""/>
    <s v="t******s"/>
    <x v="26"/>
    <s v="3999.00"/>
    <s v="0.00"/>
    <s v="0.00"/>
    <s v="0.00"/>
    <s v="3999.00"/>
    <s v="0.00"/>
    <s v="0"/>
    <s v="0.00"/>
    <s v="BENE0450;TKBVIP2604C"/>
    <s v="50.00"/>
    <s v="0.00"/>
    <s v="250.00"/>
    <s v="361.00"/>
    <s v="137.00"/>
    <s v="106.00"/>
    <s v="3"/>
    <s v="2.50%"/>
    <s v=""/>
    <x v="16"/>
    <s v="29710271443"/>
    <s v="(單套)"/>
    <s v="187914014572"/>
    <s v="29710271443_187914014572"/>
    <n v="5500"/>
    <x v="36"/>
    <x v="47"/>
    <s v="20240FA00"/>
    <n v="1"/>
    <s v="0"/>
    <s v="N"/>
    <s v="-"/>
    <s v="231 新北市新店區中央路153號17樓之13"/>
    <s v="****"/>
    <s v="0928000888,45978351#1"/>
    <s v=""/>
    <s v="新北市"/>
    <s v="新店區"/>
    <s v="231"/>
    <s v="張芷瑄"/>
    <s v="賣家宅配：大型/超重物品運送"/>
    <s v=""/>
    <s v=""/>
    <s v="信用卡分期付款"/>
    <s v="2026-04-28 23:59"/>
    <s v="新竹物流8179159892"/>
    <s v="2026-04-27 00:55"/>
    <m/>
    <s v=""/>
    <s v=""/>
    <m/>
    <s v="學習"/>
    <s v="蝦皮"/>
  </r>
  <r>
    <s v="260427TV3PF97M"/>
    <x v="13"/>
    <s v=""/>
    <s v=""/>
    <s v="l******4"/>
    <x v="26"/>
    <s v="100.00"/>
    <s v="100.00"/>
    <s v="0.00"/>
    <s v="0.00"/>
    <s v="200.00"/>
    <s v="0.00"/>
    <s v="0"/>
    <s v="0.00"/>
    <s v="N8MTCSMTG"/>
    <s v="0.00"/>
    <s v="0.00"/>
    <s v="100.00"/>
    <s v="17.00"/>
    <s v="16.00"/>
    <s v="8.00"/>
    <s v="0"/>
    <s v="2.50%"/>
    <s v=""/>
    <x v="4"/>
    <s v="28604287513"/>
    <s v=""/>
    <s v="256123210658"/>
    <s v="28604287513_256123210658"/>
    <n v="300"/>
    <x v="4"/>
    <x v="4"/>
    <s v="20211C608"/>
    <n v="1"/>
    <s v="0"/>
    <s v="N"/>
    <s v="-"/>
    <s v="80******"/>
    <s v="****"/>
    <s v="0928000888,77438212#1"/>
    <s v=""/>
    <s v="高雄市"/>
    <s v="苓雅區"/>
    <s v="802"/>
    <s v="林*檥"/>
    <s v="賣家宅配：大型/超重物品運送"/>
    <s v=""/>
    <s v=""/>
    <s v="信用卡"/>
    <s v="2026-04-28 23:59"/>
    <s v="新竹物流8179160065"/>
    <s v="2026-04-27 01:26"/>
    <m/>
    <s v="2026-04-30 08:05"/>
    <s v=""/>
    <m/>
    <s v="學習周邊"/>
    <s v="蝦皮"/>
  </r>
  <r>
    <s v="260427V95Q1FJB"/>
    <x v="3"/>
    <s v=""/>
    <s v=""/>
    <s v="s******a"/>
    <x v="26"/>
    <s v="2578.00"/>
    <s v="0.00"/>
    <s v="0.00"/>
    <s v="0.00"/>
    <s v="2578.00"/>
    <s v="0.00"/>
    <s v="0"/>
    <s v="0.00"/>
    <s v="BENE0420;S5U3DJTMV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950 臺東縣臺東市仁五街75巷8號"/>
    <s v="****"/>
    <s v="0928000888,36281984#1"/>
    <s v=""/>
    <s v="臺東縣"/>
    <s v="臺東市"/>
    <s v="950"/>
    <s v="胡毓雲"/>
    <s v="賣家宅配：大型/超重物品運送"/>
    <s v=""/>
    <s v=""/>
    <s v="信用卡"/>
    <s v="2026-04-28 23:59"/>
    <s v="新竹物流8179160032"/>
    <s v="2026-04-27 14:52"/>
    <m/>
    <s v=""/>
    <s v=""/>
    <m/>
    <s v="學習"/>
    <s v="蝦皮"/>
  </r>
  <r>
    <s v="260427VD59Q99B"/>
    <x v="3"/>
    <s v=""/>
    <s v=""/>
    <s v="j******e"/>
    <x v="26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300 新竹市北區中和路76號"/>
    <s v="****"/>
    <s v="0928000888,44060592#1"/>
    <s v=""/>
    <s v="新竹市"/>
    <s v="北區"/>
    <s v="300"/>
    <s v="駱相君"/>
    <s v="賣家宅配：大型/超重物品運送"/>
    <s v=""/>
    <s v=""/>
    <s v="信用卡"/>
    <s v="2026-04-28 23:59"/>
    <s v="新竹物流8179160091"/>
    <s v="2026-04-27 16:05"/>
    <m/>
    <s v=""/>
    <s v=""/>
    <m/>
    <s v="學習周邊"/>
    <s v="蝦皮"/>
  </r>
  <r>
    <s v="260427VFRM3NWX"/>
    <x v="3"/>
    <s v=""/>
    <s v=""/>
    <s v="h*****y"/>
    <x v="26"/>
    <s v="2259.00"/>
    <s v="0.00"/>
    <s v="0.00"/>
    <s v="0.00"/>
    <s v="2259.00"/>
    <s v="0.00"/>
    <s v="0"/>
    <s v="0.00"/>
    <s v="BENE0420;YXSYP3UDH"/>
    <s v="20.00"/>
    <s v="0.00"/>
    <s v="12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11 臺北市士林區德行東路338巷2號3樓 天母晨曦"/>
    <s v="****"/>
    <s v="0928000888,61844972#1"/>
    <s v=""/>
    <s v="臺北市"/>
    <s v="士林區"/>
    <s v="111"/>
    <s v="劉皓翔"/>
    <s v="賣家宅配：大型/超重物品運送"/>
    <s v=""/>
    <s v=""/>
    <s v="信用卡"/>
    <s v="2026-04-28 23:59"/>
    <s v="新竹物流8179160102"/>
    <s v="2026-04-27 16:50"/>
    <m/>
    <s v=""/>
    <s v=""/>
    <m/>
    <s v="學習"/>
    <s v="蝦皮"/>
  </r>
  <r>
    <s v="260427VG4KJGP7"/>
    <x v="13"/>
    <s v=""/>
    <s v=""/>
    <s v="m******5"/>
    <x v="26"/>
    <s v="2578.00"/>
    <s v="0.00"/>
    <s v="0.00"/>
    <s v="0.00"/>
    <s v="2578.00"/>
    <s v="0.00"/>
    <s v="0"/>
    <s v="0.00"/>
    <s v="BENE0420;TR95H33SP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4******"/>
    <s v="****"/>
    <s v="0928000888,26081329#1"/>
    <s v=""/>
    <s v="新北市"/>
    <s v="五股區"/>
    <s v="248"/>
    <s v="陳*璇"/>
    <s v="賣家宅配：大型/超重物品運送"/>
    <s v=""/>
    <s v=""/>
    <s v="信用卡"/>
    <s v="2026-04-28 23:59"/>
    <s v="新竹物流8179160135"/>
    <s v="2026-04-27 16:57"/>
    <m/>
    <s v="2026-05-02 10:11"/>
    <s v=""/>
    <m/>
    <s v="學習"/>
    <s v="蝦皮"/>
  </r>
  <r>
    <s v="260427VMVSWRQ8"/>
    <x v="3"/>
    <s v=""/>
    <s v=""/>
    <s v="a******9"/>
    <x v="26"/>
    <s v="2179.00"/>
    <s v="0.00"/>
    <s v="0.00"/>
    <s v="0.00"/>
    <s v="2179.00"/>
    <s v="0.00"/>
    <s v="0"/>
    <s v="0.00"/>
    <s v="BENE0420"/>
    <s v="20.00"/>
    <s v="0.00"/>
    <s v="0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248 新北市五股區新城八路10號17樓"/>
    <s v="****"/>
    <s v="0928000888,68722157#1"/>
    <s v=""/>
    <s v="新北市"/>
    <s v="五股區"/>
    <s v="248"/>
    <s v="陳韻茹"/>
    <s v="賣家宅配：大型/超重物品運送"/>
    <s v=""/>
    <s v=""/>
    <s v="信用卡"/>
    <s v="2026-04-28 23:59"/>
    <s v="新竹物流8179160150"/>
    <s v="2026-04-27 18:22"/>
    <m/>
    <s v=""/>
    <s v=""/>
    <m/>
    <s v="學習"/>
    <s v="蝦皮"/>
  </r>
  <r>
    <s v="260427VS3HF9MT"/>
    <x v="3"/>
    <s v=""/>
    <s v=""/>
    <s v="j******2"/>
    <x v="26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508 彰化縣和美鎮和安街28號"/>
    <s v="****"/>
    <s v="0928000888,33808411#1"/>
    <s v=""/>
    <s v="彰化縣"/>
    <s v="和美鎮"/>
    <s v="508"/>
    <s v="陳柔學"/>
    <s v="賣家宅配：大型/超重物品運送"/>
    <s v=""/>
    <s v=""/>
    <s v="信用卡"/>
    <s v="2026-04-28 23:59"/>
    <s v="新竹物流8179160183"/>
    <s v="2026-04-27 19:37"/>
    <m/>
    <s v=""/>
    <s v=""/>
    <m/>
    <s v="學習"/>
    <s v="蝦皮"/>
  </r>
  <r>
    <s v="2604280PAFMSF6"/>
    <x v="3"/>
    <s v=""/>
    <s v=""/>
    <s v="e******4"/>
    <x v="27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43 新北市泰山區信華一街47號5樓"/>
    <s v="****"/>
    <s v="0928000888,37246619#1"/>
    <s v=""/>
    <s v="新北市"/>
    <s v="泰山區"/>
    <s v="243"/>
    <s v="范雅閔"/>
    <s v="賣家宅配：大型/超重物品運送"/>
    <s v=""/>
    <s v=""/>
    <s v="信用卡"/>
    <s v="2026-04-29 23:59"/>
    <s v="新竹物流8179163650"/>
    <s v="2026-04-28 05:20"/>
    <m/>
    <s v=""/>
    <s v=""/>
    <m/>
    <s v="學習"/>
    <s v="蝦皮"/>
  </r>
  <r>
    <s v="260428101XF4PE"/>
    <x v="3"/>
    <s v=""/>
    <s v=""/>
    <s v="y******2"/>
    <x v="27"/>
    <s v="2197.00"/>
    <s v="0.00"/>
    <s v="0.00"/>
    <s v="0.00"/>
    <s v="2197.00"/>
    <s v="0.00"/>
    <s v="62"/>
    <s v="0.00"/>
    <s v="BENE0420;YXSYP3UDH"/>
    <s v="20.00"/>
    <s v="0.00"/>
    <s v="12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38 新北市樹林區學勤路593號12樓"/>
    <s v="****"/>
    <s v="0928000888,42400487#1"/>
    <s v=""/>
    <s v="新北市"/>
    <s v="樹林區"/>
    <s v="238"/>
    <s v="鄭雅方"/>
    <s v="賣家宅配：大型/超重物品運送"/>
    <s v=""/>
    <s v=""/>
    <s v="信用卡"/>
    <s v="2026-04-29 23:59"/>
    <s v="新竹物流8179163661"/>
    <s v="2026-04-28 08:14"/>
    <m/>
    <s v=""/>
    <s v=""/>
    <m/>
    <s v="學習"/>
    <s v="蝦皮"/>
  </r>
  <r>
    <s v="26042817XSFAT2"/>
    <x v="14"/>
    <s v=""/>
    <s v=""/>
    <s v="r****0"/>
    <x v="27"/>
    <s v="2171.00"/>
    <s v="0.00"/>
    <s v="0.00"/>
    <s v="0.00"/>
    <s v="2171.00"/>
    <s v="0.00"/>
    <s v="8"/>
    <s v="0.00"/>
    <s v="BENE0420;MUMHB202604"/>
    <s v="20.00"/>
    <s v="300.00"/>
    <s v="0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40******"/>
    <s v="****"/>
    <s v="0928000888,45904631#1"/>
    <s v=""/>
    <s v="臺中市"/>
    <s v="西區"/>
    <s v="403"/>
    <s v="蔡******x"/>
    <s v="賣家宅配：大型/超重物品運送"/>
    <s v=""/>
    <s v=""/>
    <s v="信用卡"/>
    <s v="2026-04-29 23:59"/>
    <s v="新竹物流8179163672"/>
    <s v="2026-04-28 10:35"/>
    <m/>
    <s v="2026-05-01 09:19"/>
    <s v=""/>
    <m/>
    <s v="學習"/>
    <s v="蝦皮"/>
  </r>
  <r>
    <s v="2604281XYH8MCR"/>
    <x v="14"/>
    <s v=""/>
    <s v=""/>
    <s v="s******e"/>
    <x v="27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4******"/>
    <s v="****"/>
    <s v="0928000888,13731398#1"/>
    <s v=""/>
    <s v="新北市"/>
    <s v="三重區"/>
    <s v="241"/>
    <s v="尹*靚"/>
    <s v="賣家宅配：大型/超重物品運送"/>
    <s v=""/>
    <s v=""/>
    <s v="信用卡"/>
    <s v="2026-04-29 23:59"/>
    <s v="新竹物流8179163683"/>
    <s v="2026-04-28 17:27"/>
    <m/>
    <s v="2026-04-30 21:22"/>
    <s v=""/>
    <m/>
    <s v="學習周邊"/>
    <s v="蝦皮"/>
  </r>
  <r>
    <s v="260428282C4URG"/>
    <x v="3"/>
    <s v=""/>
    <s v=""/>
    <s v="d******d"/>
    <x v="27"/>
    <s v="978.00"/>
    <s v="0.00"/>
    <s v="0.00"/>
    <s v="0.00"/>
    <s v="978.00"/>
    <s v="0.00"/>
    <s v="0"/>
    <s v="0.00"/>
    <s v="BENE0420"/>
    <s v="20.00"/>
    <s v="0.00"/>
    <s v="0.00"/>
    <s v="83.00"/>
    <s v="39.00"/>
    <s v="24.00"/>
    <s v="0"/>
    <s v="2.50%"/>
    <s v=""/>
    <x v="3"/>
    <s v="26661165843"/>
    <s v=""/>
    <s v="129066787879"/>
    <s v="26661165843_129066787879"/>
    <n v="699"/>
    <x v="3"/>
    <x v="3"/>
    <s v="20240H022"/>
    <n v="1"/>
    <s v="0"/>
    <s v="N"/>
    <s v="-"/>
    <s v="812 高雄市小港區立群路176號"/>
    <s v="****"/>
    <s v="0928000888,20890844#1"/>
    <s v=""/>
    <s v="高雄市"/>
    <s v="小港區"/>
    <s v="812"/>
    <s v="張顏婷"/>
    <s v="賣家宅配：大型/超重物品運送"/>
    <s v=""/>
    <s v=""/>
    <s v="信用卡"/>
    <s v="2026-04-29 23:59"/>
    <s v="新竹物流8179163694"/>
    <s v="2026-04-28 20:10"/>
    <m/>
    <s v=""/>
    <s v=""/>
    <m/>
    <s v="學習周邊"/>
    <s v="蝦皮"/>
  </r>
  <r>
    <s v="260428282C4URG"/>
    <x v="3"/>
    <s v=""/>
    <s v=""/>
    <s v="d******d"/>
    <x v="27"/>
    <s v="978.00"/>
    <s v="0.00"/>
    <s v="0.00"/>
    <s v="0.00"/>
    <s v="978.00"/>
    <s v="0.00"/>
    <s v="0"/>
    <s v="0.00"/>
    <s v="BENE0420"/>
    <s v="20.00"/>
    <s v="0.00"/>
    <s v="0.00"/>
    <s v="83.00"/>
    <s v="39.00"/>
    <s v="24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812 高雄市小港區立群路176號"/>
    <s v="****"/>
    <s v="0928000888,20890844#1"/>
    <s v=""/>
    <s v="高雄市"/>
    <s v="小港區"/>
    <s v="812"/>
    <s v="張顏婷"/>
    <s v="賣家宅配：大型/超重物品運送"/>
    <s v=""/>
    <s v=""/>
    <s v="信用卡"/>
    <s v="2026-04-29 23:59"/>
    <s v="新竹物流8179163694"/>
    <s v="2026-04-28 20:10"/>
    <m/>
    <s v=""/>
    <s v=""/>
    <m/>
    <s v="學習周邊"/>
    <s v="蝦皮"/>
  </r>
  <r>
    <s v="2604282HQ1AFJC"/>
    <x v="1"/>
    <s v="系統自動判定訂單不成立，原因 : 未收到款項"/>
    <s v=""/>
    <s v="y******i"/>
    <x v="27"/>
    <s v="2279.00"/>
    <s v="0.00"/>
    <s v="0.00"/>
    <s v="0.00"/>
    <s v="0.00"/>
    <s v="0.00"/>
    <s v="0"/>
    <s v="0.00"/>
    <s v="BENE0420;LRPTNG4KS"/>
    <s v="0.00"/>
    <s v="0.00"/>
    <s v="0.00"/>
    <s v="0.00"/>
    <s v="0.00"/>
    <s v="0.00"/>
    <s v="3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22******"/>
    <s v="****"/>
    <s v=""/>
    <s v=""/>
    <s v="新北市"/>
    <s v="板橋區"/>
    <s v="220"/>
    <s v="袁*君"/>
    <s v="賣家宅配：大型/超重物品運送"/>
    <s v=""/>
    <s v=""/>
    <s v="信用卡分期付款"/>
    <s v=""/>
    <s v=""/>
    <s v="-"/>
    <m/>
    <s v=""/>
    <s v=""/>
    <m/>
    <s v="學習"/>
    <s v="蝦皮"/>
  </r>
  <r>
    <s v="2604293QME69AK"/>
    <x v="15"/>
    <s v=""/>
    <s v=""/>
    <s v="r******4"/>
    <x v="28"/>
    <s v="2179.00"/>
    <s v="0.00"/>
    <s v="0.00"/>
    <s v="0.00"/>
    <s v="2179.00"/>
    <s v="0.00"/>
    <s v="0"/>
    <s v="0.00"/>
    <s v="BENE0420"/>
    <s v="20.00"/>
    <s v="0.00"/>
    <s v="0.00"/>
    <s v="185.00"/>
    <s v="75.00"/>
    <s v="54.00"/>
    <s v="0"/>
    <s v="2.50%"/>
    <s v=""/>
    <x v="18"/>
    <s v="43300564167"/>
    <s v="(單套)"/>
    <s v="276830849048"/>
    <s v="43300564167_276830849048"/>
    <n v="2800"/>
    <x v="19"/>
    <x v="20"/>
    <s v="20250FA00"/>
    <n v="1"/>
    <s v="0"/>
    <s v="N"/>
    <s v="-"/>
    <s v="32******"/>
    <s v="****"/>
    <s v="0928000888,56871801#1"/>
    <s v=""/>
    <s v="桃園市"/>
    <s v="中壢區"/>
    <s v="320"/>
    <s v="劉*儒"/>
    <s v="賣家宅配：大型/超重物品運送"/>
    <s v=""/>
    <s v=""/>
    <s v="信用卡"/>
    <s v="2026-04-30 23:59"/>
    <s v="新竹物流8179166645"/>
    <s v="2026-04-29 10:21"/>
    <m/>
    <s v="2026-05-03 15:38"/>
    <s v=""/>
    <m/>
    <s v="學習"/>
    <s v="蝦皮"/>
  </r>
  <r>
    <s v="2604293SMHJ5BD"/>
    <x v="3"/>
    <s v=""/>
    <s v=""/>
    <s v="c******6"/>
    <x v="28"/>
    <s v="2900.00"/>
    <s v="0.00"/>
    <s v="0.00"/>
    <s v="0.00"/>
    <s v="2900.00"/>
    <s v="0.00"/>
    <s v="0"/>
    <s v="0.00"/>
    <s v="BENE0450;TKBVIP2604C"/>
    <s v="50.00"/>
    <s v="0.00"/>
    <s v="250.00"/>
    <s v="268.00"/>
    <s v="105.00"/>
    <s v="79.00"/>
    <s v="0"/>
    <s v="2.50%"/>
    <s v=""/>
    <x v="12"/>
    <s v="49156357078"/>
    <s v="(單購)"/>
    <s v="325596686282"/>
    <s v="49156357078_325596686282"/>
    <n v="4500"/>
    <x v="1"/>
    <x v="12"/>
    <s v="20250FG00"/>
    <n v="1"/>
    <s v="0"/>
    <s v="N"/>
    <s v="-"/>
    <s v="231 新北市新店區檳榔路36巷15號3樓"/>
    <s v="****"/>
    <s v="0928000888,36528639#1"/>
    <s v=""/>
    <s v="新北市"/>
    <s v="新店區"/>
    <s v="231"/>
    <s v="王怡文"/>
    <s v="賣家宅配：大型/超重物品運送"/>
    <s v=""/>
    <s v=""/>
    <s v="信用卡"/>
    <s v="2026-04-30 23:59"/>
    <s v="新竹物流8179166656"/>
    <s v="2026-04-29 10:57"/>
    <m/>
    <s v=""/>
    <s v=""/>
    <m/>
    <s v="學習"/>
    <s v="蝦皮"/>
  </r>
  <r>
    <s v="2604293XHS4GXG"/>
    <x v="3"/>
    <s v=""/>
    <s v=""/>
    <s v="a******1"/>
    <x v="28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7"/>
    <s v="28157944827"/>
    <s v="單購"/>
    <s v="276894603061"/>
    <s v="28157944827_276894603061"/>
    <n v="399"/>
    <x v="6"/>
    <x v="6"/>
    <s v="20250FXAM"/>
    <n v="1"/>
    <s v="0"/>
    <s v="N"/>
    <s v="-"/>
    <s v="200 基隆市仁愛區仁一路261-1號 16樓之1"/>
    <s v="****"/>
    <s v="0928000888,52706531#1"/>
    <s v=""/>
    <s v="基隆市"/>
    <s v="仁愛區"/>
    <s v="200"/>
    <s v="莊翔宇"/>
    <s v="賣家宅配：大型/超重物品運送"/>
    <s v=""/>
    <s v=""/>
    <s v="信用卡"/>
    <s v="2026-04-30 23:59"/>
    <s v="新竹物流8179166660"/>
    <s v="2026-04-29 12:25"/>
    <m/>
    <s v=""/>
    <s v=""/>
    <m/>
    <s v="學習周邊"/>
    <s v="蝦皮"/>
  </r>
  <r>
    <s v="26042940UEK8K3"/>
    <x v="3"/>
    <s v=""/>
    <s v=""/>
    <s v="u*****0"/>
    <x v="28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0"/>
    <s v="55104898742"/>
    <s v="(加購)巧虎手偶 $199"/>
    <s v="430504001726"/>
    <s v="55104898742_430504001726"/>
    <n v="3299"/>
    <x v="9"/>
    <x v="9"/>
    <s v="20250FXBH"/>
    <n v="1"/>
    <s v="0"/>
    <s v="N"/>
    <s v="-"/>
    <s v="237 新北市三峽區大同路208-5號10樓"/>
    <s v="****"/>
    <s v="0928000888,47334242#1"/>
    <s v=""/>
    <s v="新北市"/>
    <s v="三峽區"/>
    <s v="237"/>
    <s v="王品婕"/>
    <s v="賣家宅配：大型/超重物品運送"/>
    <s v=""/>
    <s v=""/>
    <s v="信用卡"/>
    <s v="2026-04-30 23:59"/>
    <s v="新竹物流8179166671"/>
    <s v="2026-04-29 13:06"/>
    <m/>
    <s v=""/>
    <s v=""/>
    <m/>
    <s v="學習"/>
    <s v="蝦皮"/>
  </r>
  <r>
    <s v="26042949JCYQX9"/>
    <x v="3"/>
    <s v=""/>
    <s v=""/>
    <s v="a******c"/>
    <x v="28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0"/>
    <s v="55104898742"/>
    <s v="單購"/>
    <s v="430504001725"/>
    <s v="55104898742_430504001725"/>
    <n v="3000"/>
    <x v="0"/>
    <x v="0"/>
    <s v="20250FE00"/>
    <n v="1"/>
    <s v="0"/>
    <s v="N"/>
    <s v="-"/>
    <s v="104 臺北市中山區明水路500號10樓"/>
    <s v="****"/>
    <s v="0928000888,65193598#1"/>
    <s v=""/>
    <s v="臺北市"/>
    <s v="中山區"/>
    <s v="104"/>
    <s v="劉歷杰"/>
    <s v="賣家宅配：大型/超重物品運送"/>
    <s v=""/>
    <s v=""/>
    <s v="信用卡"/>
    <s v="2026-04-30 23:59"/>
    <s v="新竹物流8179166693"/>
    <s v="2026-04-29 15:45"/>
    <m/>
    <s v=""/>
    <s v=""/>
    <m/>
    <s v="學習"/>
    <s v="蝦皮"/>
  </r>
  <r>
    <s v="26042950P8W994"/>
    <x v="3"/>
    <s v=""/>
    <s v=""/>
    <s v="w****6"/>
    <x v="28"/>
    <s v="3749.00"/>
    <s v="0.00"/>
    <s v="0.00"/>
    <s v="0.00"/>
    <s v="3749.00"/>
    <s v="0.00"/>
    <s v="198"/>
    <s v="0.00"/>
    <s v="BENE0450;S5U3DJTMV"/>
    <s v="50.00"/>
    <s v="0.00"/>
    <s v="0.00"/>
    <s v="335.00"/>
    <s v="128.00"/>
    <s v="99.00"/>
    <s v="0"/>
    <s v="2.50%"/>
    <s v=""/>
    <x v="47"/>
    <s v="26006309303"/>
    <s v="單購"/>
    <s v="166942493928"/>
    <s v="26006309303_166942493928"/>
    <n v="890"/>
    <x v="8"/>
    <x v="8"/>
    <s v="20221C6B6"/>
    <n v="1"/>
    <s v="0"/>
    <s v="N"/>
    <s v="-"/>
    <s v="804 高雄市鼓山區美術北三路210號2樓"/>
    <s v="****"/>
    <s v="0928000888,73364600#1"/>
    <s v=""/>
    <s v="高雄市"/>
    <s v="鼓山區"/>
    <s v="804"/>
    <s v="王郁茜"/>
    <s v="賣家宅配：大型/超重物品運送"/>
    <s v=""/>
    <s v=""/>
    <s v="信用卡"/>
    <s v="2026-04-30 23:59"/>
    <s v="新竹物流8179166682"/>
    <s v="2026-04-29 22:36"/>
    <m/>
    <s v=""/>
    <s v=""/>
    <m/>
    <s v="學習周邊"/>
    <s v="蝦皮"/>
  </r>
  <r>
    <s v="26042950P8W994"/>
    <x v="3"/>
    <s v=""/>
    <s v=""/>
    <s v="w****6"/>
    <x v="28"/>
    <s v="3749.00"/>
    <s v="0.00"/>
    <s v="0.00"/>
    <s v="0.00"/>
    <s v="3749.00"/>
    <s v="0.00"/>
    <s v="198"/>
    <s v="0.00"/>
    <s v="BENE0450;S5U3DJTMV"/>
    <s v="50.00"/>
    <s v="0.00"/>
    <s v="0.00"/>
    <s v="335.00"/>
    <s v="128.00"/>
    <s v="99.00"/>
    <s v="0"/>
    <s v="2.50%"/>
    <s v=""/>
    <x v="48"/>
    <s v="29672846571"/>
    <s v="(單購)"/>
    <s v="385265149350"/>
    <s v="29672846571_385265149350"/>
    <n v="1300"/>
    <x v="14"/>
    <x v="15"/>
    <s v="20240FB00"/>
    <n v="1"/>
    <s v="0"/>
    <s v="N"/>
    <s v="-"/>
    <s v="804 高雄市鼓山區美術北三路210號2樓"/>
    <s v="****"/>
    <s v="0928000888,73364600#1"/>
    <s v=""/>
    <s v="高雄市"/>
    <s v="鼓山區"/>
    <s v="804"/>
    <s v="王郁茜"/>
    <s v="賣家宅配：大型/超重物品運送"/>
    <s v=""/>
    <s v=""/>
    <s v="信用卡"/>
    <s v="2026-04-30 23:59"/>
    <s v="新竹物流8179166682"/>
    <s v="2026-04-29 22:36"/>
    <m/>
    <s v=""/>
    <s v=""/>
    <m/>
    <s v="學習周邊"/>
    <s v="蝦皮"/>
  </r>
  <r>
    <s v="26042950P8W994"/>
    <x v="3"/>
    <s v=""/>
    <s v=""/>
    <s v="w****6"/>
    <x v="28"/>
    <s v="3749.00"/>
    <s v="0.00"/>
    <s v="0.00"/>
    <s v="0.00"/>
    <s v="3749.00"/>
    <s v="0.00"/>
    <s v="198"/>
    <s v="0.00"/>
    <s v="BENE0450;S5U3DJTMV"/>
    <s v="50.00"/>
    <s v="0.00"/>
    <s v="0.00"/>
    <s v="335.00"/>
    <s v="128.00"/>
    <s v="99.00"/>
    <s v="0"/>
    <s v="2.50%"/>
    <s v=""/>
    <x v="49"/>
    <s v="55104898742"/>
    <s v="單購"/>
    <s v="430504001725"/>
    <s v="55104898742_430504001725"/>
    <n v="3000"/>
    <x v="0"/>
    <x v="0"/>
    <s v="20250FE00"/>
    <n v="1"/>
    <s v="0"/>
    <s v="N"/>
    <s v="-"/>
    <s v="804 高雄市鼓山區美術北三路210號2樓"/>
    <s v="****"/>
    <s v="0928000888,73364600#1"/>
    <s v=""/>
    <s v="高雄市"/>
    <s v="鼓山區"/>
    <s v="804"/>
    <s v="王郁茜"/>
    <s v="賣家宅配：大型/超重物品運送"/>
    <s v=""/>
    <s v=""/>
    <s v="信用卡"/>
    <s v="2026-04-30 23:59"/>
    <s v="新竹物流8179166682"/>
    <s v="2026-04-29 22:36"/>
    <m/>
    <s v=""/>
    <s v=""/>
    <m/>
    <s v="學習"/>
    <s v="蝦皮"/>
  </r>
  <r>
    <s v="26042950QE2PGH"/>
    <x v="15"/>
    <s v=""/>
    <s v=""/>
    <s v="p*****a"/>
    <x v="28"/>
    <s v="2379.00"/>
    <s v="0.00"/>
    <s v="0.00"/>
    <s v="0.00"/>
    <s v="2379.00"/>
    <s v="0.00"/>
    <s v="0"/>
    <s v="0.00"/>
    <s v="BENE0420"/>
    <s v="20.00"/>
    <s v="0.00"/>
    <s v="0.00"/>
    <s v="202.00"/>
    <s v="81.00"/>
    <s v="59.00"/>
    <s v="0"/>
    <s v="2.50%"/>
    <s v=""/>
    <x v="49"/>
    <s v="55104898742"/>
    <s v="單購"/>
    <s v="430504001725"/>
    <s v="55104898742_430504001725"/>
    <n v="3000"/>
    <x v="0"/>
    <x v="0"/>
    <s v="20250FE00"/>
    <n v="1"/>
    <s v="0"/>
    <s v="N"/>
    <s v="-"/>
    <s v="71******"/>
    <s v="****"/>
    <s v="0928000888,14109400#1"/>
    <s v=""/>
    <s v="臺南市"/>
    <s v="新化區"/>
    <s v="712"/>
    <s v="馬*如"/>
    <s v="賣家宅配：大型/超重物品運送"/>
    <s v=""/>
    <s v=""/>
    <s v="信用卡"/>
    <s v="2026-04-30 23:59"/>
    <s v="新竹物流8179166704"/>
    <s v="2026-04-29 22:37"/>
    <m/>
    <s v="2026-05-03 18:49"/>
    <s v=""/>
    <m/>
    <s v="學習"/>
    <s v="蝦皮"/>
  </r>
  <r>
    <s v="26043056J2Y9T9"/>
    <x v="16"/>
    <s v=""/>
    <s v=""/>
    <s v="h******3"/>
    <x v="29"/>
    <s v="210.00"/>
    <s v="100.00"/>
    <s v="0.00"/>
    <s v="0.00"/>
    <s v="310.00"/>
    <s v="0.00"/>
    <s v="0"/>
    <s v="0.00"/>
    <s v=""/>
    <s v="0.00"/>
    <s v="0.00"/>
    <s v="0.00"/>
    <s v="18.00"/>
    <s v="16.00"/>
    <s v="8.00"/>
    <s v="0"/>
    <s v="2.50%"/>
    <s v=""/>
    <x v="50"/>
    <s v="24735289975"/>
    <s v=""/>
    <s v="251469945373"/>
    <s v="24735289975_251469945373"/>
    <n v="320"/>
    <x v="7"/>
    <x v="7"/>
    <s v="20191C710"/>
    <n v="1"/>
    <s v="0"/>
    <s v="N"/>
    <s v="-"/>
    <s v="333 桃園市龜山區文青二路106號7樓"/>
    <s v="****"/>
    <s v="0928000888,83735019#1"/>
    <s v=""/>
    <s v="桃園市"/>
    <s v="龜山區"/>
    <s v="333"/>
    <s v="黃筧"/>
    <s v="賣家宅配：大型/超重物品運送"/>
    <s v=""/>
    <s v=""/>
    <s v="信用卡"/>
    <s v="2026-05-04 23:59"/>
    <s v=""/>
    <s v="2026-04-30 00:21"/>
    <m/>
    <s v=""/>
    <s v=""/>
    <m/>
    <s v="學習周邊"/>
    <s v="蝦皮"/>
  </r>
  <r>
    <s v="26043056WAHXER"/>
    <x v="16"/>
    <s v=""/>
    <s v=""/>
    <s v="r******1"/>
    <x v="29"/>
    <s v="2578.00"/>
    <s v="0.00"/>
    <s v="0.00"/>
    <s v="0.00"/>
    <s v="2578.00"/>
    <s v="0.00"/>
    <s v="0"/>
    <s v="0.00"/>
    <s v="BENE0420"/>
    <s v="20.00"/>
    <s v="0.00"/>
    <s v="0.00"/>
    <s v="219.00"/>
    <s v="87.00"/>
    <s v="64.00"/>
    <s v="0"/>
    <s v="2.50%"/>
    <s v=""/>
    <x v="49"/>
    <s v="55104898742"/>
    <s v="(加購)巧虎手偶 $199"/>
    <s v="430504001726"/>
    <s v="55104898742_430504001726"/>
    <n v="3299"/>
    <x v="9"/>
    <x v="9"/>
    <s v="20250FXBH"/>
    <n v="1"/>
    <s v="0"/>
    <s v="N"/>
    <s v="-"/>
    <s v="402 臺中市南區公理街108號"/>
    <s v="****"/>
    <s v="0928000888,88353361#1"/>
    <s v=""/>
    <s v="臺中市"/>
    <s v="南區"/>
    <s v="402"/>
    <s v="邱韋竣"/>
    <s v="賣家宅配：大型/超重物品運送"/>
    <s v=""/>
    <s v=""/>
    <s v="信用卡"/>
    <s v="2026-05-04 23:59"/>
    <s v=""/>
    <s v="2026-04-30 00:28"/>
    <m/>
    <s v=""/>
    <s v=""/>
    <m/>
    <s v="學習"/>
    <s v="蝦皮"/>
  </r>
  <r>
    <s v="2604305X1QM4CP"/>
    <x v="16"/>
    <s v=""/>
    <s v=""/>
    <s v="u*****7"/>
    <x v="29"/>
    <s v="2379.00"/>
    <s v="0.00"/>
    <s v="0.00"/>
    <s v="0.00"/>
    <s v="2379.00"/>
    <s v="0.00"/>
    <s v="0"/>
    <s v="0.00"/>
    <s v="BENE0420;KPDDU5PSP"/>
    <s v="20.00"/>
    <s v="0.00"/>
    <s v="0.00"/>
    <s v="202.00"/>
    <s v="81.00"/>
    <s v="59.00"/>
    <s v="0"/>
    <s v="2.50%"/>
    <s v=""/>
    <x v="49"/>
    <s v="55104898742"/>
    <s v="單購"/>
    <s v="430504001725"/>
    <s v="55104898742_430504001725"/>
    <n v="3000"/>
    <x v="0"/>
    <x v="0"/>
    <s v="20250FE00"/>
    <n v="1"/>
    <s v="0"/>
    <s v="N"/>
    <s v="-"/>
    <s v="320 桃園市中壢區興仁路一段105號"/>
    <s v="****"/>
    <s v="0928000888,50904087#1"/>
    <s v=""/>
    <s v="桃園市"/>
    <s v="中壢區"/>
    <s v="320"/>
    <s v="莊雅涵"/>
    <s v="賣家宅配：大型/超重物品運送"/>
    <s v=""/>
    <s v=""/>
    <s v="信用卡"/>
    <s v="2026-05-04 23:59"/>
    <s v=""/>
    <s v="2026-04-30 07:21"/>
    <m/>
    <s v=""/>
    <s v=""/>
    <m/>
    <s v="學習"/>
    <s v="蝦皮"/>
  </r>
  <r>
    <s v="26043068AWUBXC"/>
    <x v="16"/>
    <s v=""/>
    <s v=""/>
    <s v="w******h"/>
    <x v="29"/>
    <s v="2591.00"/>
    <s v="0.00"/>
    <s v="0.00"/>
    <s v="0.00"/>
    <s v="2591.00"/>
    <s v="0.00"/>
    <s v="156"/>
    <s v="0.00"/>
    <s v="BENE0450"/>
    <s v="50.00"/>
    <s v="0.00"/>
    <s v="0.00"/>
    <s v="233.00"/>
    <s v="92.00"/>
    <s v="69.00"/>
    <s v="0"/>
    <s v="2.50%"/>
    <s v=""/>
    <x v="51"/>
    <s v="27854297254"/>
    <s v=""/>
    <s v="251123821962"/>
    <s v="27854297254_251123821962"/>
    <n v="250"/>
    <x v="10"/>
    <x v="10"/>
    <s v="20221C611"/>
    <n v="1"/>
    <s v="0"/>
    <s v="N"/>
    <s v="-"/>
    <s v="251 新北市淡水區新春街125巷14號7樓"/>
    <s v="****"/>
    <s v="0928000888,08803055#1"/>
    <s v=""/>
    <s v="新北市"/>
    <s v="淡水區"/>
    <s v="251"/>
    <s v="謝艾倫"/>
    <s v="賣家宅配：大型/超重物品運送"/>
    <s v=""/>
    <s v=""/>
    <s v="信用卡"/>
    <s v="2026-05-04 23:59"/>
    <s v=""/>
    <s v="2026-04-30 10:25"/>
    <m/>
    <s v=""/>
    <s v=""/>
    <m/>
    <s v="學習周邊"/>
    <s v="蝦皮"/>
  </r>
  <r>
    <s v="26043068AWUBXC"/>
    <x v="16"/>
    <s v=""/>
    <s v=""/>
    <s v="w******h"/>
    <x v="29"/>
    <s v="2591.00"/>
    <s v="0.00"/>
    <s v="0.00"/>
    <s v="0.00"/>
    <s v="2591.00"/>
    <s v="0.00"/>
    <s v="156"/>
    <s v="0.00"/>
    <s v="BENE0450"/>
    <s v="50.00"/>
    <s v="0.00"/>
    <s v="0.00"/>
    <s v="233.00"/>
    <s v="92.00"/>
    <s v="69.00"/>
    <s v="0"/>
    <s v="2.50%"/>
    <s v=""/>
    <x v="49"/>
    <s v="55104898742"/>
    <s v="(加購)巧虎手偶 $199"/>
    <s v="430504001726"/>
    <s v="55104898742_430504001726"/>
    <n v="3299"/>
    <x v="9"/>
    <x v="9"/>
    <s v="20250FXBH"/>
    <n v="1"/>
    <s v="0"/>
    <s v="N"/>
    <s v="-"/>
    <s v="251 新北市淡水區新春街125巷14號7樓"/>
    <s v="****"/>
    <s v="0928000888,08803055#1"/>
    <s v=""/>
    <s v="新北市"/>
    <s v="淡水區"/>
    <s v="251"/>
    <s v="謝艾倫"/>
    <s v="賣家宅配：大型/超重物品運送"/>
    <s v=""/>
    <s v=""/>
    <s v="信用卡"/>
    <s v="2026-05-04 23:59"/>
    <s v=""/>
    <s v="2026-04-30 10:25"/>
    <m/>
    <s v=""/>
    <s v=""/>
    <m/>
    <s v="學習"/>
    <s v="蝦皮"/>
  </r>
  <r>
    <s v="2604306Y9TG4TU"/>
    <x v="1"/>
    <s v="系統自動判定訂單不成立，原因 : 未收到款項"/>
    <s v=""/>
    <s v="_*****p"/>
    <x v="29"/>
    <s v="2279.00"/>
    <s v="0.00"/>
    <s v="0.00"/>
    <s v="0.00"/>
    <s v="0.00"/>
    <s v="0.00"/>
    <s v="0"/>
    <s v="0.00"/>
    <s v="BENE0420;US4VKJ48S"/>
    <s v="0.00"/>
    <s v="0.00"/>
    <s v="0.00"/>
    <s v="0.00"/>
    <s v="0.00"/>
    <s v="0.00"/>
    <s v="0"/>
    <s v="2.50%"/>
    <s v=""/>
    <x v="49"/>
    <s v="55104898742"/>
    <s v="單購"/>
    <s v="430504001725"/>
    <s v="55104898742_430504001725"/>
    <n v="3000"/>
    <x v="0"/>
    <x v="0"/>
    <s v="20250FE00"/>
    <n v="1"/>
    <s v="0"/>
    <s v="N"/>
    <s v="-"/>
    <s v="82******"/>
    <s v="****"/>
    <s v=""/>
    <s v=""/>
    <s v="高雄市"/>
    <s v="橋頭區"/>
    <s v="825"/>
    <s v="余*璇"/>
    <s v="賣家宅配：大型/超重物品運送"/>
    <s v=""/>
    <s v=""/>
    <s v="信用卡"/>
    <s v=""/>
    <s v=""/>
    <s v="-"/>
    <m/>
    <s v=""/>
    <s v=""/>
    <m/>
    <s v="學習"/>
    <s v="蝦皮"/>
  </r>
  <r>
    <s v="2604307F8DUK40"/>
    <x v="1"/>
    <s v="被買家取消，原因 : 改變心意(例如:不想買了,發現更便宜的價格....)"/>
    <s v=""/>
    <s v="c*****3"/>
    <x v="29"/>
    <s v="2379.00"/>
    <s v="0.00"/>
    <s v="0.00"/>
    <s v="0.00"/>
    <s v="0.00"/>
    <s v="0.00"/>
    <s v="0"/>
    <s v="0.00"/>
    <s v="BENE0420"/>
    <s v="0.00"/>
    <s v="0.00"/>
    <s v="0.00"/>
    <s v="0.00"/>
    <s v="0.00"/>
    <s v="0.00"/>
    <s v="3"/>
    <s v="2.50%"/>
    <s v=""/>
    <x v="49"/>
    <s v="55104898742"/>
    <s v="單購"/>
    <s v="430504001725"/>
    <s v="55104898742_430504001725"/>
    <n v="3000"/>
    <x v="0"/>
    <x v="0"/>
    <s v="20250FE00"/>
    <n v="1"/>
    <s v="0"/>
    <s v="N"/>
    <s v="-"/>
    <s v="24******"/>
    <s v="****"/>
    <s v=""/>
    <s v=""/>
    <s v="新北市"/>
    <s v="林口區"/>
    <s v="244"/>
    <s v="陳*倩"/>
    <s v="賣家宅配：大型/超重物品運送"/>
    <s v=""/>
    <s v=""/>
    <s v="信用卡分期付款"/>
    <s v="2026-05-04 23:59"/>
    <s v=""/>
    <s v="2026-04-30 22:02"/>
    <m/>
    <s v=""/>
    <s v=""/>
    <m/>
    <s v="學習"/>
    <s v="蝦皮"/>
  </r>
  <r>
    <s v="2604307GQQ9E0Y"/>
    <x v="16"/>
    <s v=""/>
    <s v=""/>
    <s v="p****3"/>
    <x v="29"/>
    <s v="499.00"/>
    <s v="0.00"/>
    <s v="0.00"/>
    <s v="0.00"/>
    <s v="499.00"/>
    <s v="0.00"/>
    <s v="0"/>
    <s v="0.00"/>
    <s v=""/>
    <s v="0.00"/>
    <s v="0.00"/>
    <s v="0.00"/>
    <s v="42.00"/>
    <s v="25.00"/>
    <s v="12.00"/>
    <s v="0"/>
    <s v="2.50%"/>
    <s v=""/>
    <x v="51"/>
    <s v="27854297254"/>
    <s v=""/>
    <s v="251123821962"/>
    <s v="27854297254_251123821962"/>
    <n v="250"/>
    <x v="10"/>
    <x v="10"/>
    <s v="20221C611"/>
    <n v="1"/>
    <s v="0"/>
    <s v="N"/>
    <s v="-"/>
    <s v="328 桃園市觀音區藍埔里新華路一段583號"/>
    <s v="****"/>
    <s v="0928000888,64397335#1"/>
    <s v=""/>
    <s v="桃園市"/>
    <s v="觀音區"/>
    <s v="328"/>
    <s v="陳思嘉"/>
    <s v="賣家宅配：大型/超重物品運送"/>
    <s v=""/>
    <s v=""/>
    <s v="信用卡"/>
    <s v="2026-05-04 23:59"/>
    <s v=""/>
    <s v="2026-04-30 22:28"/>
    <m/>
    <s v=""/>
    <s v=""/>
    <m/>
    <s v="學習周邊"/>
    <s v="蝦皮"/>
  </r>
  <r>
    <s v="2604307GQQ9E0Y"/>
    <x v="16"/>
    <s v=""/>
    <s v=""/>
    <s v="p****3"/>
    <x v="29"/>
    <s v="499.00"/>
    <s v="0.00"/>
    <s v="0.00"/>
    <s v="0.00"/>
    <s v="499.00"/>
    <s v="0.00"/>
    <s v="0"/>
    <s v="0.00"/>
    <s v=""/>
    <s v="0.00"/>
    <s v="0.00"/>
    <s v="0.00"/>
    <s v="42.00"/>
    <s v="25.00"/>
    <s v="12.00"/>
    <s v="0"/>
    <s v="2.50%"/>
    <s v=""/>
    <x v="52"/>
    <s v="29406137869"/>
    <s v=""/>
    <s v="195263047363"/>
    <s v="29406137869_195263047363"/>
    <n v="300"/>
    <x v="41"/>
    <x v="28"/>
    <s v="2022FC801"/>
    <n v="1"/>
    <s v="0"/>
    <s v="N"/>
    <s v="-"/>
    <s v="328 桃園市觀音區藍埔里新華路一段583號"/>
    <s v="****"/>
    <s v="0928000888,64397335#1"/>
    <s v=""/>
    <s v="桃園市"/>
    <s v="觀音區"/>
    <s v="328"/>
    <s v="陳思嘉"/>
    <s v="賣家宅配：大型/超重物品運送"/>
    <s v=""/>
    <s v=""/>
    <s v="信用卡"/>
    <s v="2026-05-04 23:59"/>
    <s v=""/>
    <s v="2026-04-30 22:28"/>
    <m/>
    <s v=""/>
    <s v=""/>
    <m/>
    <s v="學習周邊"/>
    <s v="蝦皮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  <r>
    <s v=""/>
    <x v="17"/>
    <s v=""/>
    <s v=""/>
    <s v=""/>
    <x v="30"/>
    <s v=""/>
    <s v=""/>
    <s v=""/>
    <s v=""/>
    <s v=""/>
    <s v=""/>
    <s v=""/>
    <s v=""/>
    <s v=""/>
    <s v=""/>
    <s v=""/>
    <s v=""/>
    <s v=""/>
    <s v=""/>
    <s v=""/>
    <s v=""/>
    <s v=""/>
    <s v=""/>
    <x v="53"/>
    <s v=""/>
    <s v=""/>
    <s v=""/>
    <s v=""/>
    <s v=""/>
    <x v="48"/>
    <x v="6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周邊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#20260331174312188"/>
    <x v="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331174312188"/>
    <x v="0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331174312188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331174312188"/>
    <x v="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331180535749"/>
    <x v="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331180535749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02201409"/>
    <x v="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1002201409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12533733"/>
    <x v="0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01012533733"/>
    <x v="0"/>
    <x v="0"/>
    <x v="6"/>
    <x v="6"/>
    <m/>
    <m/>
    <s v="外部"/>
    <x v="0"/>
    <x v="0"/>
    <s v="C0033-0000"/>
    <n v="290"/>
    <s v="商品"/>
    <n v="1"/>
    <n v="0"/>
    <s v="510002"/>
    <s v="品牌授權"/>
    <n v="290"/>
    <s v="周邊商品"/>
    <s v=""/>
  </r>
  <r>
    <s v="#20260401012533733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21124876"/>
    <x v="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1021124876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23120842"/>
    <x v="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01023120842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30444112"/>
    <x v="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1030444112"/>
    <x v="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1030444112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30444112"/>
    <x v="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32214502"/>
    <x v="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1032214502"/>
    <x v="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01032214502"/>
    <x v="0"/>
    <x v="0"/>
    <x v="8"/>
    <x v="8"/>
    <m/>
    <m/>
    <s v="外部"/>
    <x v="0"/>
    <x v="0"/>
    <s v="C0033-0000"/>
    <n v="5199"/>
    <s v="商品"/>
    <n v="1"/>
    <n v="0"/>
    <s v="513100"/>
    <s v="周邊編輯"/>
    <n v="5199"/>
    <s v="周邊商品"/>
    <s v="AD2"/>
  </r>
  <r>
    <s v="#20260401032214502"/>
    <x v="0"/>
    <x v="0"/>
    <x v="9"/>
    <x v="9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32214502"/>
    <x v="0"/>
    <x v="0"/>
    <x v="10"/>
    <x v="1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32214502"/>
    <x v="0"/>
    <x v="0"/>
    <x v="11"/>
    <x v="11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32214502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32214502"/>
    <x v="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34213493"/>
    <x v="0"/>
    <x v="0"/>
    <x v="12"/>
    <x v="12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01034213493"/>
    <x v="0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01034213493"/>
    <x v="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1034213493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34213493"/>
    <x v="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42221549"/>
    <x v="0"/>
    <x v="0"/>
    <x v="14"/>
    <x v="14"/>
    <m/>
    <m/>
    <s v="外部"/>
    <x v="0"/>
    <x v="0"/>
    <s v="C0033-0000"/>
    <n v="2100"/>
    <s v="商品"/>
    <n v="2"/>
    <n v="0"/>
    <s v="513300"/>
    <s v="進階版編輯"/>
    <n v="4200"/>
    <s v="Mirafeel"/>
    <s v=""/>
  </r>
  <r>
    <s v="#20260401042221549"/>
    <x v="0"/>
    <x v="0"/>
    <x v="15"/>
    <x v="1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52944614"/>
    <x v="0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FBAD"/>
  </r>
  <r>
    <s v="#20260401082622356"/>
    <x v="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1082622356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83422956"/>
    <x v="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1083422956"/>
    <x v="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01083422956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85534746"/>
    <x v="0"/>
    <x v="0"/>
    <x v="18"/>
    <x v="18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01085534746"/>
    <x v="0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"/>
  </r>
  <r>
    <s v="#20260401085534746"/>
    <x v="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092546830"/>
    <x v="0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AD2"/>
  </r>
  <r>
    <s v="#20260401092546830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092546830"/>
    <x v="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122146027"/>
    <x v="0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01122146027"/>
    <x v="0"/>
    <x v="0"/>
    <x v="22"/>
    <x v="22"/>
    <m/>
    <m/>
    <s v="外部"/>
    <x v="0"/>
    <x v="0"/>
    <s v="C0033-0000"/>
    <n v="1500"/>
    <s v="商品"/>
    <n v="1"/>
    <n v="0"/>
    <s v="510002"/>
    <s v="品牌授權"/>
    <n v="1500"/>
    <s v="周邊商品"/>
    <s v="AD2"/>
  </r>
  <r>
    <s v="#20260401122146027"/>
    <x v="0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122146027"/>
    <x v="0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122146027"/>
    <x v="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1123635453"/>
    <x v="0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post"/>
  </r>
  <r>
    <s v="#20260401123635453"/>
    <x v="0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post"/>
  </r>
  <r>
    <s v="#20260401135242698"/>
    <x v="0"/>
    <x v="0"/>
    <x v="27"/>
    <x v="27"/>
    <m/>
    <m/>
    <s v="外部"/>
    <x v="0"/>
    <x v="0"/>
    <s v="C0033-0000"/>
    <n v="299"/>
    <s v="商品"/>
    <n v="1"/>
    <n v="0"/>
    <s v="510002"/>
    <s v="品牌授權"/>
    <n v="299"/>
    <s v="周邊商品"/>
    <s v="profile"/>
  </r>
  <r>
    <s v="#20260401135242698"/>
    <x v="0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profile"/>
  </r>
  <r>
    <s v="#20260401135242698"/>
    <x v="0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profile"/>
  </r>
  <r>
    <s v="#20260401135242698"/>
    <x v="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rofile"/>
  </r>
  <r>
    <s v="#20260401142903327"/>
    <x v="0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post"/>
  </r>
  <r>
    <s v="#20260401142903327"/>
    <x v="0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post"/>
  </r>
  <r>
    <s v="#20260401142903327"/>
    <x v="0"/>
    <x v="0"/>
    <x v="31"/>
    <x v="31"/>
    <m/>
    <m/>
    <s v="外部"/>
    <x v="0"/>
    <x v="0"/>
    <s v="C0033-0000"/>
    <n v="750"/>
    <s v="商品"/>
    <n v="1"/>
    <n v="0"/>
    <s v="510002"/>
    <s v="品牌授權"/>
    <n v="750"/>
    <s v="周邊商品"/>
    <s v="post"/>
  </r>
  <r>
    <s v="#20260401142903327"/>
    <x v="0"/>
    <x v="0"/>
    <x v="32"/>
    <x v="32"/>
    <m/>
    <m/>
    <s v="外部"/>
    <x v="0"/>
    <x v="0"/>
    <s v="C0033-0000"/>
    <n v="750"/>
    <s v="商品"/>
    <n v="1"/>
    <n v="0"/>
    <s v="510002"/>
    <s v="品牌授權"/>
    <n v="750"/>
    <s v="周邊商品"/>
    <s v="post"/>
  </r>
  <r>
    <s v="#20260401142903327"/>
    <x v="0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post"/>
  </r>
  <r>
    <s v="#20260401142903327"/>
    <x v="0"/>
    <x v="0"/>
    <x v="23"/>
    <x v="23"/>
    <m/>
    <m/>
    <s v="外部"/>
    <x v="0"/>
    <x v="0"/>
    <s v="C0033-0000"/>
    <n v="0"/>
    <s v="贈品"/>
    <n v="0"/>
    <n v="3"/>
    <s v="513200"/>
    <s v="周邊營業"/>
    <n v="0"/>
    <s v="周邊商品"/>
    <s v="post"/>
  </r>
  <r>
    <s v="#20260401142903327"/>
    <x v="0"/>
    <x v="0"/>
    <x v="24"/>
    <x v="24"/>
    <m/>
    <m/>
    <s v="外部"/>
    <x v="0"/>
    <x v="0"/>
    <s v="C0033-0000"/>
    <n v="0"/>
    <s v="贈品"/>
    <n v="0"/>
    <n v="2"/>
    <s v="513200"/>
    <s v="周邊營業"/>
    <n v="0"/>
    <s v="周邊商品"/>
    <s v="post"/>
  </r>
  <r>
    <s v="#20260401142903327"/>
    <x v="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1142903327"/>
    <x v="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1142903327"/>
    <x v="0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1142903327"/>
    <x v="0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1153026186"/>
    <x v="0"/>
    <x v="0"/>
    <x v="37"/>
    <x v="37"/>
    <m/>
    <m/>
    <s v="外部"/>
    <x v="0"/>
    <x v="0"/>
    <s v="C0033-0000"/>
    <n v="2800"/>
    <s v="商品"/>
    <n v="1"/>
    <n v="0"/>
    <s v="513300"/>
    <s v="進階版編輯"/>
    <n v="2800"/>
    <s v="Mirafeel"/>
    <s v=""/>
  </r>
  <r>
    <s v="#20260401153026186"/>
    <x v="0"/>
    <x v="0"/>
    <x v="15"/>
    <x v="1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153756298"/>
    <x v="0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post"/>
  </r>
  <r>
    <s v="#20260401153756298"/>
    <x v="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post"/>
  </r>
  <r>
    <s v="#20260401153756298"/>
    <x v="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1161428997"/>
    <x v="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01161428997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1162356494"/>
    <x v="1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post"/>
  </r>
  <r>
    <s v="#20260401162356494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1215224570"/>
    <x v="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1215224570"/>
    <x v="1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1215224570"/>
    <x v="1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01215224570"/>
    <x v="1"/>
    <x v="0"/>
    <x v="41"/>
    <x v="41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01215224570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1215224570"/>
    <x v="1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2025028198"/>
    <x v="1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2025028198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2030557901"/>
    <x v="1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AD2"/>
  </r>
  <r>
    <s v="#20260402044547833"/>
    <x v="1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02044547833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2060621351"/>
    <x v="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02060621351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2061414900"/>
    <x v="1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02061414900"/>
    <x v="1"/>
    <x v="0"/>
    <x v="43"/>
    <x v="43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402071227593"/>
    <x v="1"/>
    <x v="0"/>
    <x v="44"/>
    <x v="44"/>
    <m/>
    <m/>
    <s v="外部"/>
    <x v="0"/>
    <x v="0"/>
    <s v="C0033-0000"/>
    <n v="1399"/>
    <s v="商品"/>
    <n v="1"/>
    <n v="0"/>
    <s v="510002"/>
    <s v="品牌授權"/>
    <n v="1399"/>
    <s v="周邊商品"/>
    <s v="post"/>
  </r>
  <r>
    <s v="#20260402071227593"/>
    <x v="1"/>
    <x v="0"/>
    <x v="45"/>
    <x v="45"/>
    <m/>
    <m/>
    <s v="外部"/>
    <x v="0"/>
    <x v="0"/>
    <s v="C0033-0000"/>
    <n v="357"/>
    <s v="商品"/>
    <n v="1"/>
    <n v="0"/>
    <s v="513261"/>
    <s v="團團購"/>
    <n v="357"/>
    <s v="周邊商品"/>
    <s v="post"/>
  </r>
  <r>
    <s v="#20260402071227593"/>
    <x v="1"/>
    <x v="0"/>
    <x v="41"/>
    <x v="41"/>
    <m/>
    <m/>
    <s v="外部"/>
    <x v="0"/>
    <x v="0"/>
    <s v="C0033-0000"/>
    <n v="220"/>
    <s v="商品"/>
    <n v="1"/>
    <n v="0"/>
    <s v="510002"/>
    <s v="品牌授權"/>
    <n v="220"/>
    <s v="周邊商品"/>
    <s v="post"/>
  </r>
  <r>
    <s v="#20260402071227593"/>
    <x v="1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2071227593"/>
    <x v="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2095820742"/>
    <x v="1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Email"/>
  </r>
  <r>
    <s v="#20260402095820742"/>
    <x v="1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Email"/>
  </r>
  <r>
    <s v="#20260402095820742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02095820742"/>
    <x v="1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02102603223"/>
    <x v="1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02102603223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2112550854"/>
    <x v="1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2112550854"/>
    <x v="1"/>
    <x v="0"/>
    <x v="39"/>
    <x v="39"/>
    <m/>
    <m/>
    <s v="外部"/>
    <x v="0"/>
    <x v="0"/>
    <s v="C0033-0000"/>
    <n v="2199"/>
    <s v="商品"/>
    <n v="2"/>
    <n v="0"/>
    <s v="513100"/>
    <s v="周邊編輯"/>
    <n v="4398"/>
    <s v="學習"/>
    <s v=""/>
  </r>
  <r>
    <s v="#20260402112550854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2112550854"/>
    <x v="1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2120359515"/>
    <x v="1"/>
    <x v="0"/>
    <x v="47"/>
    <x v="47"/>
    <m/>
    <m/>
    <s v="外部"/>
    <x v="0"/>
    <x v="0"/>
    <s v="C0033-0000"/>
    <n v="399"/>
    <s v="商品"/>
    <n v="2"/>
    <n v="0"/>
    <s v="510002"/>
    <s v="品牌授權"/>
    <n v="798"/>
    <s v="周邊商品"/>
    <s v="story"/>
  </r>
  <r>
    <s v="#20260402120359515"/>
    <x v="1"/>
    <x v="0"/>
    <x v="48"/>
    <x v="48"/>
    <m/>
    <m/>
    <s v="外部"/>
    <x v="0"/>
    <x v="0"/>
    <s v="C0033-0000"/>
    <n v="399"/>
    <s v="商品"/>
    <n v="1"/>
    <n v="0"/>
    <s v="510002"/>
    <s v="品牌授權"/>
    <n v="399"/>
    <s v="周邊商品"/>
    <s v="story"/>
  </r>
  <r>
    <s v="#20260402120359515"/>
    <x v="1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story"/>
  </r>
  <r>
    <s v="#20260402120359515"/>
    <x v="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story"/>
  </r>
  <r>
    <s v="#20260402124458210"/>
    <x v="1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2124458210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2135658608"/>
    <x v="1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post"/>
  </r>
  <r>
    <s v="#20260402135658608"/>
    <x v="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2153351459"/>
    <x v="1"/>
    <x v="0"/>
    <x v="37"/>
    <x v="37"/>
    <m/>
    <m/>
    <s v="外部"/>
    <x v="0"/>
    <x v="0"/>
    <s v="C0033-0000"/>
    <n v="2800"/>
    <s v="商品"/>
    <n v="1"/>
    <n v="0"/>
    <s v="513300"/>
    <s v="進階版編輯"/>
    <n v="2800"/>
    <s v="Mirafeel"/>
    <s v="BNS"/>
  </r>
  <r>
    <s v="#20260402153351459"/>
    <x v="1"/>
    <x v="0"/>
    <x v="49"/>
    <x v="49"/>
    <m/>
    <m/>
    <s v="外部"/>
    <x v="0"/>
    <x v="0"/>
    <s v="C0033-0000"/>
    <n v="520"/>
    <s v="商品"/>
    <n v="1"/>
    <n v="0"/>
    <s v="513100"/>
    <s v="周邊編輯"/>
    <n v="520"/>
    <s v="周邊商品"/>
    <s v="BNS"/>
  </r>
  <r>
    <s v="#20260402153351459"/>
    <x v="1"/>
    <x v="0"/>
    <x v="50"/>
    <x v="50"/>
    <m/>
    <m/>
    <s v="外部"/>
    <x v="0"/>
    <x v="0"/>
    <s v="C0033-0000"/>
    <n v="350"/>
    <s v="商品"/>
    <n v="4"/>
    <n v="0"/>
    <s v="513300"/>
    <s v="進階版編輯"/>
    <n v="1400"/>
    <s v="Mirafeel"/>
    <s v="BNS"/>
  </r>
  <r>
    <s v="#20260402153351459"/>
    <x v="1"/>
    <x v="0"/>
    <x v="51"/>
    <x v="51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2153351459"/>
    <x v="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2153351459"/>
    <x v="1"/>
    <x v="0"/>
    <x v="15"/>
    <x v="1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2165527695"/>
    <x v="2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02165527695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2165527695"/>
    <x v="2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04201409"/>
    <x v="2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3004201409"/>
    <x v="2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3004201409"/>
    <x v="2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03004201409"/>
    <x v="2"/>
    <x v="0"/>
    <x v="22"/>
    <x v="22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03004201409"/>
    <x v="2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3004201409"/>
    <x v="2"/>
    <x v="0"/>
    <x v="52"/>
    <x v="52"/>
    <m/>
    <m/>
    <s v="外部"/>
    <x v="0"/>
    <x v="0"/>
    <s v="C0033-0000"/>
    <n v="252"/>
    <s v="商品"/>
    <n v="1"/>
    <n v="0"/>
    <s v="513261"/>
    <s v="團團購"/>
    <n v="252"/>
    <s v="周邊商品"/>
    <s v=""/>
  </r>
  <r>
    <s v="#20260403004201409"/>
    <x v="2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03004201409"/>
    <x v="2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04201409"/>
    <x v="2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04201409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04201409"/>
    <x v="2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04201409"/>
    <x v="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15730112"/>
    <x v="2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03015730112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15730112"/>
    <x v="2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32301113"/>
    <x v="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03032301113"/>
    <x v="2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03032301113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3032301113"/>
    <x v="2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3032804630"/>
    <x v="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3032804630"/>
    <x v="2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3032804630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32804630"/>
    <x v="2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41307159"/>
    <x v="2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03041307159"/>
    <x v="2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03041307159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054852966"/>
    <x v="2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AD2"/>
  </r>
  <r>
    <s v="#20260403054852966"/>
    <x v="2"/>
    <x v="0"/>
    <x v="53"/>
    <x v="53"/>
    <m/>
    <m/>
    <s v="外部"/>
    <x v="0"/>
    <x v="0"/>
    <s v="C0033-0000"/>
    <n v="175"/>
    <s v="商品"/>
    <n v="1"/>
    <n v="0"/>
    <s v="513261"/>
    <s v="團團購"/>
    <n v="175"/>
    <s v="周邊商品"/>
    <s v="AD2"/>
  </r>
  <r>
    <s v="#20260403054852966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3105334340"/>
    <x v="2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BNS"/>
  </r>
  <r>
    <s v="#20260403130233641"/>
    <x v="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3130233641"/>
    <x v="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3143900306"/>
    <x v="2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post"/>
  </r>
  <r>
    <s v="#20260403143900306"/>
    <x v="2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post"/>
  </r>
  <r>
    <s v="#20260403143900306"/>
    <x v="2"/>
    <x v="0"/>
    <x v="23"/>
    <x v="23"/>
    <m/>
    <m/>
    <s v="外部"/>
    <x v="0"/>
    <x v="0"/>
    <s v="C0033-0000"/>
    <n v="0"/>
    <s v="贈品"/>
    <n v="0"/>
    <n v="2"/>
    <s v="513200"/>
    <s v="周邊營業"/>
    <n v="0"/>
    <s v="周邊商品"/>
    <s v="post"/>
  </r>
  <r>
    <s v="#20260403143900306"/>
    <x v="2"/>
    <x v="0"/>
    <x v="24"/>
    <x v="24"/>
    <m/>
    <m/>
    <s v="外部"/>
    <x v="0"/>
    <x v="0"/>
    <s v="C0033-0000"/>
    <n v="0"/>
    <s v="贈品"/>
    <n v="0"/>
    <n v="2"/>
    <s v="513200"/>
    <s v="周邊營業"/>
    <n v="0"/>
    <s v="周邊商品"/>
    <s v="post"/>
  </r>
  <r>
    <s v="#20260403143900306"/>
    <x v="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3143900306"/>
    <x v="2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3145735147"/>
    <x v="2"/>
    <x v="0"/>
    <x v="12"/>
    <x v="12"/>
    <m/>
    <m/>
    <s v="外部"/>
    <x v="0"/>
    <x v="0"/>
    <s v="C0033-0000"/>
    <n v="899"/>
    <s v="商品"/>
    <n v="1"/>
    <n v="0"/>
    <s v="513261"/>
    <s v="團團購"/>
    <n v="899"/>
    <s v="周邊商品"/>
    <s v="post"/>
  </r>
  <r>
    <s v="#20260403145735147"/>
    <x v="2"/>
    <x v="0"/>
    <x v="55"/>
    <x v="55"/>
    <m/>
    <m/>
    <s v="外部"/>
    <x v="0"/>
    <x v="0"/>
    <s v="C0033-0000"/>
    <n v="399"/>
    <s v="商品"/>
    <n v="1"/>
    <n v="0"/>
    <s v="510015"/>
    <s v="舞台劇"/>
    <n v="399"/>
    <s v="周邊商品"/>
    <s v="post"/>
  </r>
  <r>
    <s v="#20260403145735147"/>
    <x v="2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post"/>
  </r>
  <r>
    <s v="#20260403145735147"/>
    <x v="2"/>
    <x v="0"/>
    <x v="57"/>
    <x v="57"/>
    <m/>
    <m/>
    <s v="外部"/>
    <x v="0"/>
    <x v="0"/>
    <s v="C0033-0000"/>
    <n v="399"/>
    <s v="商品"/>
    <n v="1"/>
    <n v="0"/>
    <s v="510002"/>
    <s v="品牌授權"/>
    <n v="399"/>
    <s v="周邊商品"/>
    <s v="post"/>
  </r>
  <r>
    <s v="#20260403145735147"/>
    <x v="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3145735147"/>
    <x v="2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4035720044"/>
    <x v="3"/>
    <x v="0"/>
    <x v="58"/>
    <x v="58"/>
    <m/>
    <m/>
    <s v="外部"/>
    <x v="0"/>
    <x v="0"/>
    <s v="C0033-0000"/>
    <n v="1250"/>
    <s v="商品"/>
    <n v="1"/>
    <n v="0"/>
    <s v="513100"/>
    <s v="周邊編輯"/>
    <n v="1250"/>
    <s v="學習"/>
    <s v=""/>
  </r>
  <r>
    <s v="#20260404042527693"/>
    <x v="3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4042527693"/>
    <x v="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4070602227"/>
    <x v="3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Geek"/>
  </r>
  <r>
    <s v="#20260404070602227"/>
    <x v="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4074017123"/>
    <x v="3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BNS"/>
  </r>
  <r>
    <s v="#20260404074017123"/>
    <x v="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04074017123"/>
    <x v="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4074017123"/>
    <x v="3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4081521655"/>
    <x v="3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"/>
  </r>
  <r>
    <s v="#20260404081521655"/>
    <x v="3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4091319247"/>
    <x v="3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4091319247"/>
    <x v="3"/>
    <x v="0"/>
    <x v="60"/>
    <x v="60"/>
    <m/>
    <m/>
    <s v="外部"/>
    <x v="0"/>
    <x v="0"/>
    <s v="C0033-0000"/>
    <n v="525"/>
    <s v="商品"/>
    <n v="1"/>
    <n v="0"/>
    <s v="513261"/>
    <s v="團團購"/>
    <n v="525"/>
    <s v="周邊商品"/>
    <s v=""/>
  </r>
  <r>
    <s v="#20260404091319247"/>
    <x v="3"/>
    <x v="0"/>
    <x v="61"/>
    <x v="61"/>
    <m/>
    <m/>
    <s v="外部"/>
    <x v="0"/>
    <x v="0"/>
    <s v="C0033-0000"/>
    <n v="20"/>
    <s v="商品"/>
    <n v="1"/>
    <n v="0"/>
    <s v="513261"/>
    <s v="團團購"/>
    <n v="20"/>
    <s v="周邊商品"/>
    <s v=""/>
  </r>
  <r>
    <s v="#20260404091319247"/>
    <x v="3"/>
    <x v="0"/>
    <x v="62"/>
    <x v="61"/>
    <m/>
    <m/>
    <s v="外部"/>
    <x v="0"/>
    <x v="0"/>
    <s v="C0033-0000"/>
    <n v="20"/>
    <s v="商品"/>
    <n v="1"/>
    <n v="0"/>
    <s v="513261"/>
    <s v="團團購"/>
    <n v="20"/>
    <s v="周邊商品"/>
    <s v=""/>
  </r>
  <r>
    <s v="#20260404093357511"/>
    <x v="3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AdGeek"/>
  </r>
  <r>
    <s v="#20260404093357511"/>
    <x v="3"/>
    <x v="0"/>
    <x v="63"/>
    <x v="62"/>
    <m/>
    <m/>
    <s v="外部"/>
    <x v="0"/>
    <x v="0"/>
    <s v="C0033-0000"/>
    <n v="145"/>
    <s v="商品"/>
    <n v="1"/>
    <n v="0"/>
    <s v="513261"/>
    <s v="團團購"/>
    <n v="145"/>
    <s v="周邊商品"/>
    <s v="AdGeek"/>
  </r>
  <r>
    <s v="#20260404093357511"/>
    <x v="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4094923465"/>
    <x v="3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4094923465"/>
    <x v="3"/>
    <x v="0"/>
    <x v="64"/>
    <x v="63"/>
    <m/>
    <m/>
    <s v="外部"/>
    <x v="0"/>
    <x v="0"/>
    <s v="C0033-0000"/>
    <n v="2400"/>
    <s v="商品"/>
    <n v="1"/>
    <n v="0"/>
    <s v="513100"/>
    <s v="周邊編輯"/>
    <n v="2400"/>
    <s v="學習"/>
    <s v=""/>
  </r>
  <r>
    <s v="#20260404094923465"/>
    <x v="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4131725079"/>
    <x v="3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AD"/>
  </r>
  <r>
    <s v="#20260404131725079"/>
    <x v="3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4131725079"/>
    <x v="3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4140207453"/>
    <x v="3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404140207453"/>
    <x v="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4140207453"/>
    <x v="3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4152214504"/>
    <x v="3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BNS"/>
  </r>
  <r>
    <s v="#20260404152214504"/>
    <x v="3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BNS"/>
  </r>
  <r>
    <s v="#20260404152214504"/>
    <x v="3"/>
    <x v="0"/>
    <x v="23"/>
    <x v="23"/>
    <m/>
    <m/>
    <s v="外部"/>
    <x v="0"/>
    <x v="0"/>
    <s v="C0033-0000"/>
    <n v="0"/>
    <s v="贈品"/>
    <n v="0"/>
    <n v="2"/>
    <s v="513200"/>
    <s v="周邊營業"/>
    <n v="0"/>
    <s v="周邊商品"/>
    <s v="BNS"/>
  </r>
  <r>
    <s v="#20260404152214504"/>
    <x v="3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4152214504"/>
    <x v="3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4162453173"/>
    <x v="4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"/>
  </r>
  <r>
    <s v="#20260404162453173"/>
    <x v="4"/>
    <x v="0"/>
    <x v="65"/>
    <x v="64"/>
    <m/>
    <m/>
    <s v="外部"/>
    <x v="0"/>
    <x v="0"/>
    <s v="C0033-0000"/>
    <n v="599"/>
    <s v="商品"/>
    <n v="1"/>
    <n v="0"/>
    <s v="510002"/>
    <s v="品牌授權"/>
    <n v="599"/>
    <s v="周邊商品"/>
    <s v=""/>
  </r>
  <r>
    <s v="#20260404162453173"/>
    <x v="4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"/>
  </r>
  <r>
    <s v="#20260404162453173"/>
    <x v="4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04162453173"/>
    <x v="4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4172607251"/>
    <x v="4"/>
    <x v="0"/>
    <x v="67"/>
    <x v="66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404172607251"/>
    <x v="4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4172607251"/>
    <x v="4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4172607251"/>
    <x v="4"/>
    <x v="0"/>
    <x v="69"/>
    <x v="68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4235953673"/>
    <x v="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4235953673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5045754286"/>
    <x v="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05045754286"/>
    <x v="4"/>
    <x v="0"/>
    <x v="17"/>
    <x v="17"/>
    <m/>
    <m/>
    <s v="外部"/>
    <x v="0"/>
    <x v="0"/>
    <s v="C0033-0000"/>
    <n v="199"/>
    <s v="加購品"/>
    <n v="2"/>
    <n v="0"/>
    <s v="513100"/>
    <s v="周邊編輯"/>
    <n v="398"/>
    <s v="周邊商品"/>
    <s v="AD"/>
  </r>
  <r>
    <s v="#20260405045754286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5060726086"/>
    <x v="4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05060726086"/>
    <x v="4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05060726086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60726086"/>
    <x v="4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65306149"/>
    <x v="4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05065306149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5074953679"/>
    <x v="4"/>
    <x v="0"/>
    <x v="71"/>
    <x v="70"/>
    <m/>
    <m/>
    <s v="外部"/>
    <x v="0"/>
    <x v="0"/>
    <s v="C0033-0000"/>
    <n v="2100"/>
    <s v="商品"/>
    <n v="1"/>
    <n v="0"/>
    <s v="513300"/>
    <s v="進階版編輯"/>
    <n v="2100"/>
    <s v="Mirafeel"/>
    <s v=""/>
  </r>
  <r>
    <s v="#20260405074953679"/>
    <x v="4"/>
    <x v="0"/>
    <x v="15"/>
    <x v="1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90724074"/>
    <x v="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5090724074"/>
    <x v="4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5090724074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90724074"/>
    <x v="4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91237661"/>
    <x v="4"/>
    <x v="0"/>
    <x v="72"/>
    <x v="71"/>
    <m/>
    <m/>
    <s v="外部"/>
    <x v="0"/>
    <x v="0"/>
    <s v="C0033-0000"/>
    <n v="239"/>
    <s v="商品"/>
    <n v="1"/>
    <n v="0"/>
    <s v="513261"/>
    <s v="團團購"/>
    <n v="239"/>
    <s v="周邊商品"/>
    <s v=""/>
  </r>
  <r>
    <s v="#20260405091237661"/>
    <x v="4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5092004041"/>
    <x v="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5092004041"/>
    <x v="4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5092004041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92004041"/>
    <x v="4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094102722"/>
    <x v="4"/>
    <x v="0"/>
    <x v="73"/>
    <x v="72"/>
    <m/>
    <m/>
    <s v="外部"/>
    <x v="0"/>
    <x v="0"/>
    <s v="C0033-0000"/>
    <n v="30"/>
    <s v="商品"/>
    <n v="2"/>
    <n v="0"/>
    <s v="513300"/>
    <s v="進階版編輯"/>
    <n v="60"/>
    <s v="Mirafeel"/>
    <s v=""/>
  </r>
  <r>
    <s v="#20260405094102722"/>
    <x v="4"/>
    <x v="0"/>
    <x v="74"/>
    <x v="72"/>
    <m/>
    <m/>
    <s v="外部"/>
    <x v="0"/>
    <x v="0"/>
    <s v="C0033-0000"/>
    <n v="30"/>
    <s v="商品"/>
    <n v="5"/>
    <n v="0"/>
    <s v="513300"/>
    <s v="進階版編輯"/>
    <n v="150"/>
    <s v="Mirafeel"/>
    <s v=""/>
  </r>
  <r>
    <s v="#20260405120804634"/>
    <x v="4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5120804634"/>
    <x v="4"/>
    <x v="0"/>
    <x v="65"/>
    <x v="64"/>
    <m/>
    <m/>
    <s v="外部"/>
    <x v="0"/>
    <x v="0"/>
    <s v="C0033-0000"/>
    <n v="599"/>
    <s v="商品"/>
    <n v="1"/>
    <n v="0"/>
    <s v="510002"/>
    <s v="品牌授權"/>
    <n v="599"/>
    <s v="周邊商品"/>
    <s v=""/>
  </r>
  <r>
    <s v="#20260405132228598"/>
    <x v="4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5132228598"/>
    <x v="4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05132228598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132228598"/>
    <x v="4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5145049345"/>
    <x v="4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KOL"/>
  </r>
  <r>
    <s v="#20260405145049345"/>
    <x v="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5145049345"/>
    <x v="4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5160031221"/>
    <x v="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5160031221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001234640"/>
    <x v="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6001234640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015650552"/>
    <x v="5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06015650552"/>
    <x v="5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FBAD"/>
  </r>
  <r>
    <s v="#20260406015650552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06032803623"/>
    <x v="5"/>
    <x v="0"/>
    <x v="75"/>
    <x v="72"/>
    <m/>
    <m/>
    <s v="外部"/>
    <x v="0"/>
    <x v="0"/>
    <s v="C0033-0000"/>
    <n v="30"/>
    <s v="商品"/>
    <n v="1"/>
    <n v="0"/>
    <s v="513300"/>
    <s v="進階版編輯"/>
    <n v="30"/>
    <s v="Mirafeel"/>
    <s v="APP"/>
  </r>
  <r>
    <s v="#20260406032803623"/>
    <x v="5"/>
    <x v="0"/>
    <x v="76"/>
    <x v="72"/>
    <m/>
    <m/>
    <s v="外部"/>
    <x v="0"/>
    <x v="0"/>
    <s v="C0033-0000"/>
    <n v="30"/>
    <s v="商品"/>
    <n v="1"/>
    <n v="0"/>
    <s v="513300"/>
    <s v="進階版編輯"/>
    <n v="30"/>
    <s v="Mirafeel"/>
    <s v="APP"/>
  </r>
  <r>
    <s v="#20260406095155087"/>
    <x v="5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"/>
  </r>
  <r>
    <s v="#20260406095155087"/>
    <x v="5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095155087"/>
    <x v="5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095155087"/>
    <x v="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02747231"/>
    <x v="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6102747231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03433035"/>
    <x v="5"/>
    <x v="0"/>
    <x v="77"/>
    <x v="73"/>
    <m/>
    <m/>
    <s v="外部"/>
    <x v="0"/>
    <x v="0"/>
    <s v="C0033-0000"/>
    <n v="799"/>
    <s v="商品"/>
    <n v="1"/>
    <n v="0"/>
    <s v="510015"/>
    <s v="舞台劇"/>
    <n v="799"/>
    <s v="周邊商品"/>
    <s v="AD2"/>
  </r>
  <r>
    <s v="#20260406103433035"/>
    <x v="5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AD2"/>
  </r>
  <r>
    <s v="#20260406103433035"/>
    <x v="5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06103433035"/>
    <x v="5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AD2"/>
  </r>
  <r>
    <s v="#20260406103433035"/>
    <x v="5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AD2"/>
  </r>
  <r>
    <s v="#20260406103433035"/>
    <x v="5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AD2"/>
  </r>
  <r>
    <s v="#20260406103433035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03433035"/>
    <x v="5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03433035"/>
    <x v="5"/>
    <x v="0"/>
    <x v="78"/>
    <x v="7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03433035"/>
    <x v="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11500502"/>
    <x v="5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06111500502"/>
    <x v="5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06111500502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11500502"/>
    <x v="5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21202418"/>
    <x v="5"/>
    <x v="0"/>
    <x v="79"/>
    <x v="75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406121202418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21202418"/>
    <x v="5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30157107"/>
    <x v="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06130157107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34755287"/>
    <x v="5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406134755287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34755287"/>
    <x v="5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34755287"/>
    <x v="5"/>
    <x v="0"/>
    <x v="78"/>
    <x v="7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45746228"/>
    <x v="5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06145746228"/>
    <x v="5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6145746228"/>
    <x v="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50842902"/>
    <x v="5"/>
    <x v="0"/>
    <x v="71"/>
    <x v="70"/>
    <m/>
    <m/>
    <s v="外部"/>
    <x v="0"/>
    <x v="0"/>
    <s v="C0033-0000"/>
    <n v="2100"/>
    <s v="商品"/>
    <n v="2"/>
    <n v="0"/>
    <s v="513300"/>
    <s v="進階版編輯"/>
    <n v="4200"/>
    <s v="Mirafeel"/>
    <s v="AD2"/>
  </r>
  <r>
    <s v="#20260406153922465"/>
    <x v="5"/>
    <x v="0"/>
    <x v="77"/>
    <x v="73"/>
    <m/>
    <m/>
    <s v="外部"/>
    <x v="0"/>
    <x v="0"/>
    <s v="C0033-0000"/>
    <n v="799"/>
    <s v="商品"/>
    <n v="1"/>
    <n v="0"/>
    <s v="510015"/>
    <s v="舞台劇"/>
    <n v="799"/>
    <s v="周邊商品"/>
    <s v="AD2"/>
  </r>
  <r>
    <s v="#20260406154918434"/>
    <x v="5"/>
    <x v="0"/>
    <x v="80"/>
    <x v="76"/>
    <m/>
    <m/>
    <s v="外部"/>
    <x v="0"/>
    <x v="0"/>
    <s v="C0033-0000"/>
    <n v="600"/>
    <s v="商品"/>
    <n v="4"/>
    <n v="0"/>
    <s v="513300"/>
    <s v="進階版編輯"/>
    <n v="2400"/>
    <s v="Mirafeel"/>
    <s v="AD2"/>
  </r>
  <r>
    <s v="#20260406154918434"/>
    <x v="5"/>
    <x v="0"/>
    <x v="51"/>
    <x v="51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6160151060"/>
    <x v="6"/>
    <x v="0"/>
    <x v="49"/>
    <x v="49"/>
    <m/>
    <m/>
    <s v="外部"/>
    <x v="0"/>
    <x v="0"/>
    <s v="C0033-0000"/>
    <n v="520"/>
    <s v="商品"/>
    <n v="1"/>
    <n v="0"/>
    <s v="513100"/>
    <s v="周邊編輯"/>
    <n v="520"/>
    <s v="周邊商品"/>
    <s v=""/>
  </r>
  <r>
    <s v="#20260406160151060"/>
    <x v="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06160151060"/>
    <x v="6"/>
    <x v="0"/>
    <x v="22"/>
    <x v="22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06160151060"/>
    <x v="6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60151060"/>
    <x v="6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60151060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60151060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60702916"/>
    <x v="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BNS"/>
  </r>
  <r>
    <s v="#20260406160702916"/>
    <x v="6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BNS"/>
  </r>
  <r>
    <s v="#20260406160702916"/>
    <x v="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06160702916"/>
    <x v="6"/>
    <x v="0"/>
    <x v="79"/>
    <x v="75"/>
    <m/>
    <m/>
    <s v="外部"/>
    <x v="0"/>
    <x v="0"/>
    <s v="C0033-0000"/>
    <n v="4500"/>
    <s v="商品"/>
    <n v="1"/>
    <n v="0"/>
    <s v="512105"/>
    <s v="英語編輯"/>
    <n v="4500"/>
    <s v="學習"/>
    <s v="BNS"/>
  </r>
  <r>
    <s v="#20260406160702916"/>
    <x v="6"/>
    <x v="0"/>
    <x v="8"/>
    <x v="8"/>
    <m/>
    <m/>
    <s v="外部"/>
    <x v="0"/>
    <x v="0"/>
    <s v="C0033-0000"/>
    <n v="5199"/>
    <s v="商品"/>
    <n v="1"/>
    <n v="0"/>
    <s v="513100"/>
    <s v="周邊編輯"/>
    <n v="5199"/>
    <s v="周邊商品"/>
    <s v="BNS"/>
  </r>
  <r>
    <s v="#20260406160702916"/>
    <x v="6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BNS"/>
  </r>
  <r>
    <s v="#20260406160702916"/>
    <x v="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BNS"/>
  </r>
  <r>
    <s v="#20260406160702916"/>
    <x v="6"/>
    <x v="0"/>
    <x v="81"/>
    <x v="77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6160702916"/>
    <x v="6"/>
    <x v="0"/>
    <x v="9"/>
    <x v="9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6160702916"/>
    <x v="6"/>
    <x v="0"/>
    <x v="10"/>
    <x v="1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6160702916"/>
    <x v="6"/>
    <x v="0"/>
    <x v="11"/>
    <x v="11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6160702916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6160702916"/>
    <x v="6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6162254780"/>
    <x v="6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06162254780"/>
    <x v="6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06162254780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62507551"/>
    <x v="6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"/>
  </r>
  <r>
    <s v="#20260406162507551"/>
    <x v="6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06164214500"/>
    <x v="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Email"/>
  </r>
  <r>
    <s v="#20260406164214500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06164519635"/>
    <x v="6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06164519635"/>
    <x v="6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06164519635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64519635"/>
    <x v="6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70843903"/>
    <x v="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"/>
  </r>
  <r>
    <s v="#20260406170843903"/>
    <x v="6"/>
    <x v="0"/>
    <x v="77"/>
    <x v="73"/>
    <m/>
    <m/>
    <s v="外部"/>
    <x v="0"/>
    <x v="0"/>
    <s v="C0033-0000"/>
    <n v="799"/>
    <s v="商品"/>
    <n v="1"/>
    <n v="0"/>
    <s v="510015"/>
    <s v="舞台劇"/>
    <n v="799"/>
    <s v="周邊商品"/>
    <s v=""/>
  </r>
  <r>
    <s v="#20260406170843903"/>
    <x v="6"/>
    <x v="0"/>
    <x v="18"/>
    <x v="18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06170843903"/>
    <x v="6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6170843903"/>
    <x v="6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6170843903"/>
    <x v="6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70843903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194228598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6194228598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233529707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6233529707"/>
    <x v="6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06233529707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6233529707"/>
    <x v="6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04322256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7004322256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04839875"/>
    <x v="6"/>
    <x v="0"/>
    <x v="77"/>
    <x v="73"/>
    <m/>
    <m/>
    <s v="外部"/>
    <x v="0"/>
    <x v="0"/>
    <s v="C0033-0000"/>
    <n v="799"/>
    <s v="商品"/>
    <n v="1"/>
    <n v="0"/>
    <s v="510015"/>
    <s v="舞台劇"/>
    <n v="799"/>
    <s v="周邊商品"/>
    <s v="post"/>
  </r>
  <r>
    <s v="#20260407004839875"/>
    <x v="6"/>
    <x v="0"/>
    <x v="47"/>
    <x v="47"/>
    <m/>
    <m/>
    <s v="外部"/>
    <x v="0"/>
    <x v="0"/>
    <s v="C0033-0000"/>
    <n v="399"/>
    <s v="商品"/>
    <n v="1"/>
    <n v="0"/>
    <s v="510002"/>
    <s v="品牌授權"/>
    <n v="399"/>
    <s v="周邊商品"/>
    <s v="post"/>
  </r>
  <r>
    <s v="#20260407004839875"/>
    <x v="6"/>
    <x v="0"/>
    <x v="6"/>
    <x v="6"/>
    <m/>
    <m/>
    <s v="外部"/>
    <x v="0"/>
    <x v="0"/>
    <s v="C0033-0000"/>
    <n v="290"/>
    <s v="商品"/>
    <n v="1"/>
    <n v="0"/>
    <s v="510002"/>
    <s v="品牌授權"/>
    <n v="290"/>
    <s v="周邊商品"/>
    <s v="post"/>
  </r>
  <r>
    <s v="#20260407004839875"/>
    <x v="6"/>
    <x v="0"/>
    <x v="82"/>
    <x v="78"/>
    <m/>
    <m/>
    <s v="外部"/>
    <x v="0"/>
    <x v="0"/>
    <s v="C0033-0000"/>
    <n v="357"/>
    <s v="商品"/>
    <n v="1"/>
    <n v="0"/>
    <s v="513261"/>
    <s v="團團購"/>
    <n v="357"/>
    <s v="周邊商品"/>
    <s v="post"/>
  </r>
  <r>
    <s v="#20260407004839875"/>
    <x v="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post"/>
  </r>
  <r>
    <s v="#20260407004839875"/>
    <x v="6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7004839875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7004839875"/>
    <x v="6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7004933535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07004933535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020016119"/>
    <x v="6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AD2"/>
  </r>
  <r>
    <s v="#20260407020500503"/>
    <x v="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post"/>
  </r>
  <r>
    <s v="#20260407020500503"/>
    <x v="6"/>
    <x v="0"/>
    <x v="83"/>
    <x v="79"/>
    <m/>
    <m/>
    <s v="外部"/>
    <x v="0"/>
    <x v="0"/>
    <s v="C0033-0000"/>
    <n v="420"/>
    <s v="商品"/>
    <n v="1"/>
    <n v="0"/>
    <s v="513261"/>
    <s v="團團購"/>
    <n v="420"/>
    <s v="周邊商品"/>
    <s v="post"/>
  </r>
  <r>
    <s v="#20260407020500503"/>
    <x v="6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7034322256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7034322256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41429005"/>
    <x v="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7041429005"/>
    <x v="6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7041429005"/>
    <x v="6"/>
    <x v="0"/>
    <x v="84"/>
    <x v="80"/>
    <m/>
    <m/>
    <s v="外部"/>
    <x v="0"/>
    <x v="0"/>
    <s v="C0033-0000"/>
    <n v="525"/>
    <s v="商品"/>
    <n v="1"/>
    <n v="0"/>
    <s v="513261"/>
    <s v="團團購"/>
    <n v="525"/>
    <s v="周邊商品"/>
    <s v=""/>
  </r>
  <r>
    <s v="#20260407041429005"/>
    <x v="6"/>
    <x v="0"/>
    <x v="85"/>
    <x v="81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41429005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41429005"/>
    <x v="6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43139977"/>
    <x v="6"/>
    <x v="0"/>
    <x v="86"/>
    <x v="82"/>
    <m/>
    <m/>
    <s v="外部"/>
    <x v="0"/>
    <x v="0"/>
    <s v="C0033-0000"/>
    <n v="499"/>
    <s v="商品"/>
    <n v="1"/>
    <n v="0"/>
    <s v="510002"/>
    <s v="品牌授權"/>
    <n v="499"/>
    <s v="周邊商品"/>
    <s v="AdGeek"/>
  </r>
  <r>
    <s v="#20260407043139977"/>
    <x v="6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AdGeek"/>
  </r>
  <r>
    <s v="#20260407043139977"/>
    <x v="6"/>
    <x v="0"/>
    <x v="6"/>
    <x v="6"/>
    <m/>
    <m/>
    <s v="外部"/>
    <x v="0"/>
    <x v="0"/>
    <s v="C0033-0000"/>
    <n v="290"/>
    <s v="商品"/>
    <n v="1"/>
    <n v="0"/>
    <s v="510002"/>
    <s v="品牌授權"/>
    <n v="290"/>
    <s v="周邊商品"/>
    <s v="AdGeek"/>
  </r>
  <r>
    <s v="#20260407043139977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Geek"/>
  </r>
  <r>
    <s v="#20260407043139977"/>
    <x v="6"/>
    <x v="0"/>
    <x v="87"/>
    <x v="83"/>
    <m/>
    <m/>
    <s v="外部"/>
    <x v="0"/>
    <x v="0"/>
    <s v="C0033-0000"/>
    <n v="200"/>
    <s v="商品"/>
    <n v="2"/>
    <n v="0"/>
    <s v="513261"/>
    <s v="團團購"/>
    <n v="400"/>
    <s v="周邊商品"/>
    <s v="AdGeek"/>
  </r>
  <r>
    <s v="#20260407043139977"/>
    <x v="6"/>
    <x v="0"/>
    <x v="27"/>
    <x v="27"/>
    <m/>
    <m/>
    <s v="外部"/>
    <x v="0"/>
    <x v="0"/>
    <s v="C0033-0000"/>
    <n v="299"/>
    <s v="商品"/>
    <n v="1"/>
    <n v="0"/>
    <s v="510002"/>
    <s v="品牌授權"/>
    <n v="299"/>
    <s v="周邊商品"/>
    <s v="AdGeek"/>
  </r>
  <r>
    <s v="#20260407043139977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7043139977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7050707955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07050707955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7052519635"/>
    <x v="6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07052519635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53452166"/>
    <x v="6"/>
    <x v="0"/>
    <x v="88"/>
    <x v="84"/>
    <m/>
    <m/>
    <s v="外部"/>
    <x v="0"/>
    <x v="0"/>
    <s v="C0033-0000"/>
    <n v="1599"/>
    <s v="商品"/>
    <n v="1"/>
    <n v="0"/>
    <s v="510002"/>
    <s v="品牌授權"/>
    <n v="1599"/>
    <s v="周邊商品"/>
    <s v="AD2"/>
  </r>
  <r>
    <s v="#20260407053452166"/>
    <x v="6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053452166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053929505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Email"/>
  </r>
  <r>
    <s v="#20260407053929505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07055835847"/>
    <x v="6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AD2"/>
  </r>
  <r>
    <s v="#20260407055835847"/>
    <x v="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AD2"/>
  </r>
  <r>
    <s v="#20260407055835847"/>
    <x v="6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AD2"/>
  </r>
  <r>
    <s v="#20260407055835847"/>
    <x v="6"/>
    <x v="0"/>
    <x v="23"/>
    <x v="23"/>
    <m/>
    <m/>
    <s v="外部"/>
    <x v="0"/>
    <x v="0"/>
    <s v="C0033-0000"/>
    <n v="0"/>
    <s v="贈品"/>
    <n v="0"/>
    <n v="2"/>
    <s v="513200"/>
    <s v="周邊營業"/>
    <n v="0"/>
    <s v="周邊商品"/>
    <s v="AD2"/>
  </r>
  <r>
    <s v="#20260407055835847"/>
    <x v="6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055835847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073542802"/>
    <x v="6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AD2"/>
  </r>
  <r>
    <s v="#20260407073542802"/>
    <x v="6"/>
    <x v="0"/>
    <x v="89"/>
    <x v="85"/>
    <m/>
    <m/>
    <s v="外部"/>
    <x v="0"/>
    <x v="0"/>
    <s v="C0033-0000"/>
    <n v="640"/>
    <s v="商品"/>
    <n v="1"/>
    <n v="0"/>
    <s v="510002"/>
    <s v="品牌授權"/>
    <n v="640"/>
    <s v="周邊商品"/>
    <s v="AD2"/>
  </r>
  <r>
    <s v="#20260407073542802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084457202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7084457202"/>
    <x v="6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7084457202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085936556"/>
    <x v="6"/>
    <x v="0"/>
    <x v="90"/>
    <x v="86"/>
    <m/>
    <m/>
    <s v="外部"/>
    <x v="0"/>
    <x v="0"/>
    <s v="C0033-0000"/>
    <n v="600"/>
    <s v="商品"/>
    <n v="2"/>
    <n v="0"/>
    <s v="513300"/>
    <s v="進階版編輯"/>
    <n v="1200"/>
    <s v="Mirafeel"/>
    <s v="BNS"/>
  </r>
  <r>
    <s v="#20260407085936556"/>
    <x v="6"/>
    <x v="0"/>
    <x v="50"/>
    <x v="50"/>
    <m/>
    <m/>
    <s v="外部"/>
    <x v="0"/>
    <x v="0"/>
    <s v="C0033-0000"/>
    <n v="350"/>
    <s v="商品"/>
    <n v="1"/>
    <n v="0"/>
    <s v="513300"/>
    <s v="進階版編輯"/>
    <n v="350"/>
    <s v="Mirafeel"/>
    <s v="BNS"/>
  </r>
  <r>
    <s v="#20260407085936556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07085936556"/>
    <x v="6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BNS"/>
  </r>
  <r>
    <s v="#20260407085936556"/>
    <x v="6"/>
    <x v="0"/>
    <x v="51"/>
    <x v="51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7085936556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7104513597"/>
    <x v="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7104513597"/>
    <x v="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07104513597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21318232"/>
    <x v="6"/>
    <x v="0"/>
    <x v="71"/>
    <x v="70"/>
    <m/>
    <m/>
    <s v="外部"/>
    <x v="0"/>
    <x v="0"/>
    <s v="C0033-0000"/>
    <n v="2100"/>
    <s v="商品"/>
    <n v="1"/>
    <n v="0"/>
    <s v="513300"/>
    <s v="進階版編輯"/>
    <n v="2100"/>
    <s v="Mirafeel"/>
    <s v="AD2"/>
  </r>
  <r>
    <s v="#20260407121324272"/>
    <x v="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7121324272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130031219"/>
    <x v="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7130031219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33030212"/>
    <x v="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7133030212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140904332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07140904332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7141701909"/>
    <x v="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7141701909"/>
    <x v="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7141701909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41701909"/>
    <x v="6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43033235"/>
    <x v="6"/>
    <x v="0"/>
    <x v="32"/>
    <x v="32"/>
    <m/>
    <m/>
    <s v="外部"/>
    <x v="0"/>
    <x v="0"/>
    <s v="C0033-0000"/>
    <n v="750"/>
    <s v="商品"/>
    <n v="1"/>
    <n v="0"/>
    <s v="510002"/>
    <s v="品牌授權"/>
    <n v="750"/>
    <s v="周邊商品"/>
    <s v=""/>
  </r>
  <r>
    <s v="#20260407143033235"/>
    <x v="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"/>
  </r>
  <r>
    <s v="#20260407143033235"/>
    <x v="6"/>
    <x v="0"/>
    <x v="91"/>
    <x v="87"/>
    <m/>
    <m/>
    <s v="外部"/>
    <x v="0"/>
    <x v="0"/>
    <s v="C0033-0000"/>
    <n v="580"/>
    <s v="商品"/>
    <n v="1"/>
    <n v="0"/>
    <s v="510002"/>
    <s v="品牌授權"/>
    <n v="580"/>
    <s v="周邊商品"/>
    <s v=""/>
  </r>
  <r>
    <s v="#20260407143033235"/>
    <x v="6"/>
    <x v="0"/>
    <x v="92"/>
    <x v="88"/>
    <m/>
    <m/>
    <s v="外部"/>
    <x v="0"/>
    <x v="0"/>
    <s v="C0033-0000"/>
    <n v="285"/>
    <s v="商品"/>
    <n v="1"/>
    <n v="0"/>
    <s v="513261"/>
    <s v="團團購"/>
    <n v="285"/>
    <s v="周邊商品"/>
    <s v=""/>
  </r>
  <r>
    <s v="#20260407143033235"/>
    <x v="6"/>
    <x v="0"/>
    <x v="93"/>
    <x v="89"/>
    <m/>
    <m/>
    <s v="外部"/>
    <x v="0"/>
    <x v="0"/>
    <s v="C0033-0000"/>
    <n v="880"/>
    <s v="商品"/>
    <n v="1"/>
    <n v="0"/>
    <s v="510002"/>
    <s v="品牌授權"/>
    <n v="880"/>
    <s v="周邊商品"/>
    <s v=""/>
  </r>
  <r>
    <s v="#20260407143033235"/>
    <x v="6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43033235"/>
    <x v="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43033235"/>
    <x v="6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43033235"/>
    <x v="6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51730116"/>
    <x v="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7151730116"/>
    <x v="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55006046"/>
    <x v="6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BNS"/>
  </r>
  <r>
    <s v="#20260407160639479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7160639479"/>
    <x v="7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07160639479"/>
    <x v="7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07160639479"/>
    <x v="7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07160639479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60639479"/>
    <x v="7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62104734"/>
    <x v="7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407162727095"/>
    <x v="7"/>
    <x v="0"/>
    <x v="94"/>
    <x v="90"/>
    <m/>
    <m/>
    <s v="外部"/>
    <x v="0"/>
    <x v="0"/>
    <s v="C0033-0000"/>
    <n v="1099"/>
    <s v="商品"/>
    <n v="3"/>
    <n v="0"/>
    <s v="510002"/>
    <s v="品牌授權"/>
    <n v="3297"/>
    <s v="周邊商品"/>
    <s v=""/>
  </r>
  <r>
    <s v="#20260407162727095"/>
    <x v="7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"/>
  </r>
  <r>
    <s v="#20260407162727095"/>
    <x v="7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62727095"/>
    <x v="7"/>
    <x v="0"/>
    <x v="24"/>
    <x v="24"/>
    <m/>
    <m/>
    <s v="外部"/>
    <x v="0"/>
    <x v="0"/>
    <s v="C0033-0000"/>
    <n v="0"/>
    <s v="贈品"/>
    <n v="0"/>
    <n v="3"/>
    <s v="513200"/>
    <s v="周邊營業"/>
    <n v="0"/>
    <s v="周邊商品"/>
    <s v=""/>
  </r>
  <r>
    <s v="#20260407162727095"/>
    <x v="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62727095"/>
    <x v="7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62727095"/>
    <x v="7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62727095"/>
    <x v="7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70309168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7170309168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7170517621"/>
    <x v="7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7170517621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7215322256"/>
    <x v="7"/>
    <x v="0"/>
    <x v="27"/>
    <x v="27"/>
    <m/>
    <m/>
    <s v="外部"/>
    <x v="0"/>
    <x v="0"/>
    <s v="C0033-0000"/>
    <n v="299"/>
    <s v="商品"/>
    <n v="1"/>
    <n v="0"/>
    <s v="510002"/>
    <s v="品牌授權"/>
    <n v="299"/>
    <s v="周邊商品"/>
    <s v="AD"/>
  </r>
  <r>
    <s v="#20260407215322256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07215322256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"/>
  </r>
  <r>
    <s v="#20260407215322256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8010558912"/>
    <x v="7"/>
    <x v="0"/>
    <x v="95"/>
    <x v="91"/>
    <m/>
    <m/>
    <s v="外部"/>
    <x v="0"/>
    <x v="0"/>
    <s v="C0033-0000"/>
    <n v="799"/>
    <s v="商品"/>
    <n v="1"/>
    <n v="0"/>
    <s v="510002"/>
    <s v="品牌授權"/>
    <n v="799"/>
    <s v="周邊商品"/>
    <s v="BNS"/>
  </r>
  <r>
    <s v="#20260408010558912"/>
    <x v="7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BNS"/>
  </r>
  <r>
    <s v="#20260408010558912"/>
    <x v="7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8010558912"/>
    <x v="7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8010558912"/>
    <x v="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8010558912"/>
    <x v="7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8014005039"/>
    <x v="7"/>
    <x v="0"/>
    <x v="49"/>
    <x v="49"/>
    <m/>
    <m/>
    <s v="外部"/>
    <x v="0"/>
    <x v="0"/>
    <s v="C0033-0000"/>
    <n v="520"/>
    <s v="商品"/>
    <n v="1"/>
    <n v="0"/>
    <s v="513100"/>
    <s v="周邊編輯"/>
    <n v="520"/>
    <s v="周邊商品"/>
    <s v=""/>
  </r>
  <r>
    <s v="#20260408014005039"/>
    <x v="7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08014005039"/>
    <x v="7"/>
    <x v="0"/>
    <x v="61"/>
    <x v="61"/>
    <m/>
    <m/>
    <s v="外部"/>
    <x v="0"/>
    <x v="0"/>
    <s v="C0033-0000"/>
    <n v="20"/>
    <s v="商品"/>
    <n v="2"/>
    <n v="0"/>
    <s v="513261"/>
    <s v="團團購"/>
    <n v="40"/>
    <s v="周邊商品"/>
    <s v=""/>
  </r>
  <r>
    <s v="#20260408014005039"/>
    <x v="7"/>
    <x v="0"/>
    <x v="62"/>
    <x v="61"/>
    <m/>
    <m/>
    <s v="外部"/>
    <x v="0"/>
    <x v="0"/>
    <s v="C0033-0000"/>
    <n v="20"/>
    <s v="商品"/>
    <n v="3"/>
    <n v="0"/>
    <s v="513261"/>
    <s v="團團購"/>
    <n v="60"/>
    <s v="周邊商品"/>
    <s v=""/>
  </r>
  <r>
    <s v="#20260408014005039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014005039"/>
    <x v="7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020123866"/>
    <x v="7"/>
    <x v="0"/>
    <x v="53"/>
    <x v="53"/>
    <m/>
    <m/>
    <s v="外部"/>
    <x v="0"/>
    <x v="0"/>
    <s v="C0033-0000"/>
    <n v="175"/>
    <s v="商品"/>
    <n v="1"/>
    <n v="0"/>
    <s v="513261"/>
    <s v="團團購"/>
    <n v="175"/>
    <s v="周邊商品"/>
    <s v="KOL"/>
  </r>
  <r>
    <s v="#20260408020123867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20123867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20123867"/>
    <x v="7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123867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123867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123867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123867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619335"/>
    <x v="7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KOL"/>
  </r>
  <r>
    <s v="#20260408020619335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619336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20619336"/>
    <x v="7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802061933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619336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619336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619336"/>
    <x v="7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619336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728104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08020728104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020728104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020733136"/>
    <x v="7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802073313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0733136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1520644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21520644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021520644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1520644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1520644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1520644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1520644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106746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2310674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106746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247731"/>
    <x v="7"/>
    <x v="0"/>
    <x v="13"/>
    <x v="105"/>
    <m/>
    <m/>
    <s v="團購"/>
    <x v="1"/>
    <x v="1"/>
    <s v="C0033-0049"/>
    <n v="4800"/>
    <s v="商品"/>
    <n v="1"/>
    <n v="0"/>
    <s v="512105"/>
    <s v="英語編輯"/>
    <n v="4800"/>
    <s v="學習"/>
    <s v="KOL"/>
  </r>
  <r>
    <s v="#20260408023247731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247731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247731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509565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23509565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23509565"/>
    <x v="7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509565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509565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509565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509565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919437"/>
    <x v="7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8023919437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3919437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4403829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24403829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4403829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4623365"/>
    <x v="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post"/>
  </r>
  <r>
    <s v="#20260408024623365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8024624370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24624370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4624370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5332326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2533232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25332326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0215506"/>
    <x v="7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post"/>
  </r>
  <r>
    <s v="#20260408030215506"/>
    <x v="7"/>
    <x v="0"/>
    <x v="103"/>
    <x v="106"/>
    <m/>
    <m/>
    <s v="外部"/>
    <x v="0"/>
    <x v="0"/>
    <s v="C0033-0000"/>
    <n v="599"/>
    <s v="商品"/>
    <n v="1"/>
    <n v="0"/>
    <s v="510002"/>
    <s v="品牌授權"/>
    <n v="599"/>
    <s v="周邊商品"/>
    <s v="post"/>
  </r>
  <r>
    <s v="#20260408030215506"/>
    <x v="7"/>
    <x v="0"/>
    <x v="104"/>
    <x v="107"/>
    <m/>
    <m/>
    <s v="外部"/>
    <x v="0"/>
    <x v="0"/>
    <s v="C0033-0000"/>
    <n v="199"/>
    <s v="商品"/>
    <n v="1"/>
    <n v="0"/>
    <s v="510002"/>
    <s v="品牌授權"/>
    <n v="199"/>
    <s v="周邊商品"/>
    <s v="post"/>
  </r>
  <r>
    <s v="#20260408030215506"/>
    <x v="7"/>
    <x v="0"/>
    <x v="61"/>
    <x v="61"/>
    <m/>
    <m/>
    <s v="外部"/>
    <x v="0"/>
    <x v="0"/>
    <s v="C0033-0000"/>
    <n v="20"/>
    <s v="商品"/>
    <n v="1"/>
    <n v="0"/>
    <s v="513261"/>
    <s v="團團購"/>
    <n v="20"/>
    <s v="周邊商品"/>
    <s v="post"/>
  </r>
  <r>
    <s v="#20260408030215506"/>
    <x v="7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8030215506"/>
    <x v="7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8030215506"/>
    <x v="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8030215506"/>
    <x v="7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8030332328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30332328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8030332328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0332328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1301109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08031301109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8032101710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32101710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101710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709965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32709965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032709965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709965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709965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709965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709965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854982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32854982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2854982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3006046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3300604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3006046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3006046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3950656"/>
    <x v="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KOL"/>
  </r>
  <r>
    <s v="#20260408033950656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3950657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33950657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3950657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107751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34107751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034107751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107751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107751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107751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107751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314200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34314200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314200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720046"/>
    <x v="7"/>
    <x v="0"/>
    <x v="105"/>
    <x v="108"/>
    <m/>
    <m/>
    <s v="外部"/>
    <x v="0"/>
    <x v="0"/>
    <s v="C0033-0000"/>
    <n v="2800"/>
    <s v="商品"/>
    <n v="2"/>
    <n v="0"/>
    <s v="513300"/>
    <s v="進階版編輯"/>
    <n v="5600"/>
    <s v="Mirafeel"/>
    <s v="BNS"/>
  </r>
  <r>
    <s v="#20260408034850952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34850952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034850952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850952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850952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850952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4850952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5203423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35203423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5203423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5203423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5450152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35450152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5450152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35450152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351463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41351463"/>
    <x v="7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8041351463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351463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351463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351463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405847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41405847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405847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933540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41933540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8041933540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1933540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2504532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42504532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042504532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2504532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2504532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2504532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2504532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4612286"/>
    <x v="7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8044612286"/>
    <x v="7"/>
    <x v="0"/>
    <x v="17"/>
    <x v="17"/>
    <m/>
    <m/>
    <s v="外部"/>
    <x v="0"/>
    <x v="0"/>
    <s v="C0033-0000"/>
    <n v="199"/>
    <s v="加購品"/>
    <n v="2"/>
    <n v="0"/>
    <s v="513100"/>
    <s v="周邊編輯"/>
    <n v="398"/>
    <s v="周邊商品"/>
    <s v="KOL"/>
  </r>
  <r>
    <s v="#2026040804461228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4612286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4612286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45543805"/>
    <x v="7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AD2"/>
  </r>
  <r>
    <s v="#20260408045543805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AD2"/>
  </r>
  <r>
    <s v="#20260408045543805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AD2"/>
  </r>
  <r>
    <s v="#20260408045543805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AD2"/>
  </r>
  <r>
    <s v="#20260408045543805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45543805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45543805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45543805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45543805"/>
    <x v="7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45543805"/>
    <x v="7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45543805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50006049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50006049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50006049"/>
    <x v="7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8050006049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50006049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50006049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50006049"/>
    <x v="7"/>
    <x v="0"/>
    <x v="100"/>
    <x v="98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53815709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53815709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0316214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60316214"/>
    <x v="7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8060316214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60316214"/>
    <x v="7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0316214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0316214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0316214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0316214"/>
    <x v="7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0316214"/>
    <x v="7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61750254"/>
    <x v="7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story"/>
  </r>
  <r>
    <s v="#20260408064100706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64100706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71446124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8071446124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08071446124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073633435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73633435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75616314"/>
    <x v="7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"/>
  </r>
  <r>
    <s v="#20260408090253781"/>
    <x v="7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408090253781"/>
    <x v="7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08091541791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091541791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92243703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092243703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8092243703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92243703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095634440"/>
    <x v="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08095634440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8095832828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095832828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530712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102530712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102530712"/>
    <x v="7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8102530712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530712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530712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530712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744212"/>
    <x v="7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102744212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102744212"/>
    <x v="7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744212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744212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2744212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05058410"/>
    <x v="7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"/>
  </r>
  <r>
    <s v="#20260408105058410"/>
    <x v="7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105058410"/>
    <x v="7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112434044"/>
    <x v="7"/>
    <x v="0"/>
    <x v="14"/>
    <x v="110"/>
    <m/>
    <m/>
    <s v="團購"/>
    <x v="1"/>
    <x v="2"/>
    <s v="C0033-0062"/>
    <n v="2100"/>
    <s v="商品"/>
    <n v="1"/>
    <n v="0"/>
    <s v="513300"/>
    <s v="進階版編輯"/>
    <n v="2100"/>
    <s v="Mirafeel"/>
    <s v="KOC"/>
  </r>
  <r>
    <s v="#20260408113621351"/>
    <x v="7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08113621351"/>
    <x v="7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FBAD"/>
  </r>
  <r>
    <s v="#20260408113621351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08115351465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08115351465"/>
    <x v="7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"/>
  </r>
  <r>
    <s v="#20260408115351465"/>
    <x v="7"/>
    <x v="0"/>
    <x v="47"/>
    <x v="47"/>
    <m/>
    <m/>
    <s v="外部"/>
    <x v="0"/>
    <x v="0"/>
    <s v="C0033-0000"/>
    <n v="399"/>
    <s v="商品"/>
    <n v="1"/>
    <n v="0"/>
    <s v="510002"/>
    <s v="品牌授權"/>
    <n v="399"/>
    <s v="周邊商品"/>
    <s v="AD"/>
  </r>
  <r>
    <s v="#20260408115351465"/>
    <x v="7"/>
    <x v="0"/>
    <x v="107"/>
    <x v="111"/>
    <m/>
    <m/>
    <s v="外部"/>
    <x v="0"/>
    <x v="0"/>
    <s v="C0033-0000"/>
    <n v="462"/>
    <s v="商品"/>
    <n v="1"/>
    <n v="0"/>
    <s v="513261"/>
    <s v="團團購"/>
    <n v="462"/>
    <s v="周邊商品"/>
    <s v="AD"/>
  </r>
  <r>
    <s v="#20260408115351465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08115709971"/>
    <x v="7"/>
    <x v="0"/>
    <x v="90"/>
    <x v="86"/>
    <m/>
    <m/>
    <s v="外部"/>
    <x v="0"/>
    <x v="0"/>
    <s v="C0033-0000"/>
    <n v="600"/>
    <s v="商品"/>
    <n v="2"/>
    <n v="0"/>
    <s v="513300"/>
    <s v="進階版編輯"/>
    <n v="1200"/>
    <s v="Mirafeel"/>
    <s v=""/>
  </r>
  <r>
    <s v="#20260408125656596"/>
    <x v="7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8125656596"/>
    <x v="7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8125656596"/>
    <x v="7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08125656596"/>
    <x v="7"/>
    <x v="0"/>
    <x v="15"/>
    <x v="15"/>
    <m/>
    <m/>
    <s v="外部"/>
    <x v="0"/>
    <x v="0"/>
    <s v="C0033-0000"/>
    <n v="199"/>
    <s v="商品"/>
    <n v="1"/>
    <n v="0"/>
    <s v="513261"/>
    <s v="團團購"/>
    <n v="199"/>
    <s v="周邊商品"/>
    <s v=""/>
  </r>
  <r>
    <s v="#20260408132705937"/>
    <x v="7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08132705937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08132902318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132902318"/>
    <x v="7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08132902318"/>
    <x v="7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8132902318"/>
    <x v="7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32902318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32902318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32902318"/>
    <x v="7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32902318"/>
    <x v="7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32902318"/>
    <x v="7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42111781"/>
    <x v="7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08142111781"/>
    <x v="7"/>
    <x v="0"/>
    <x v="109"/>
    <x v="113"/>
    <m/>
    <m/>
    <s v="外部"/>
    <x v="0"/>
    <x v="0"/>
    <s v="C0033-0000"/>
    <n v="450"/>
    <s v="商品"/>
    <n v="1"/>
    <n v="0"/>
    <s v="510002"/>
    <s v="品牌授權"/>
    <n v="450"/>
    <s v="周邊商品"/>
    <s v=""/>
  </r>
  <r>
    <s v="#20260408142111781"/>
    <x v="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143130912"/>
    <x v="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Email"/>
  </r>
  <r>
    <s v="#20260408143130912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Email"/>
  </r>
  <r>
    <s v="#20260408143130912"/>
    <x v="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08145415911"/>
    <x v="7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8145415911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8145415911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45931523"/>
    <x v="7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145931523"/>
    <x v="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8145931523"/>
    <x v="7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145931523"/>
    <x v="7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45931523"/>
    <x v="7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163939575"/>
    <x v="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8163939575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8163939575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163939575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165056394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816505639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8182339375"/>
    <x v="8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FBAD"/>
  </r>
  <r>
    <s v="#20260408182339375"/>
    <x v="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08200012086"/>
    <x v="8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8200012086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8200012086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8200012086"/>
    <x v="8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8200012086"/>
    <x v="8"/>
    <x v="0"/>
    <x v="13"/>
    <x v="105"/>
    <m/>
    <m/>
    <s v="團購"/>
    <x v="1"/>
    <x v="1"/>
    <s v="C0033-0049"/>
    <n v="4800"/>
    <s v="商品"/>
    <n v="1"/>
    <n v="0"/>
    <s v="512105"/>
    <s v="英語編輯"/>
    <n v="4800"/>
    <s v="學習"/>
    <s v="KOL"/>
  </r>
  <r>
    <s v="#20260408200012086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200012086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200012086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200012086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200012086"/>
    <x v="8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8200012086"/>
    <x v="8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3225581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003225581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8"/>
    <x v="8"/>
    <x v="0"/>
    <x v="79"/>
    <x v="75"/>
    <m/>
    <m/>
    <s v="外部"/>
    <x v="0"/>
    <x v="0"/>
    <s v="C0033-0000"/>
    <n v="4500"/>
    <s v="商品"/>
    <n v="1"/>
    <n v="0"/>
    <s v="512105"/>
    <s v="英語編輯"/>
    <n v="4500"/>
    <s v="學習"/>
    <s v="KOL"/>
  </r>
  <r>
    <s v="#20260409004608258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8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9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004608259"/>
    <x v="8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9004608259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004608259"/>
    <x v="8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9004608259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9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9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9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9"/>
    <x v="8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04608259"/>
    <x v="8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13202418"/>
    <x v="8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BNS"/>
  </r>
  <r>
    <s v="#20260409013202418"/>
    <x v="8"/>
    <x v="0"/>
    <x v="49"/>
    <x v="49"/>
    <m/>
    <m/>
    <s v="外部"/>
    <x v="0"/>
    <x v="0"/>
    <s v="C0033-0000"/>
    <n v="520"/>
    <s v="商品"/>
    <n v="1"/>
    <n v="0"/>
    <s v="513100"/>
    <s v="周邊編輯"/>
    <n v="520"/>
    <s v="周邊商品"/>
    <s v="BNS"/>
  </r>
  <r>
    <s v="#20260409013202418"/>
    <x v="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09013202418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9015020142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09015020142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9015136954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901513695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15730114"/>
    <x v="8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09015730114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901573011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15730114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25130914"/>
    <x v="8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KOL"/>
  </r>
  <r>
    <s v="#2026040902513091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25130914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25336356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025336356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25440084"/>
    <x v="8"/>
    <x v="0"/>
    <x v="18"/>
    <x v="18"/>
    <m/>
    <m/>
    <s v="外部"/>
    <x v="0"/>
    <x v="0"/>
    <s v="C0033-0000"/>
    <n v="399"/>
    <s v="商品"/>
    <n v="1"/>
    <n v="0"/>
    <s v="510002"/>
    <s v="品牌授權"/>
    <n v="399"/>
    <s v="周邊商品"/>
    <s v="BNS"/>
  </r>
  <r>
    <s v="#20260409025440084"/>
    <x v="8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BNS"/>
  </r>
  <r>
    <s v="#20260409025440084"/>
    <x v="8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BNS"/>
  </r>
  <r>
    <s v="#2026040902544008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9031333337"/>
    <x v="8"/>
    <x v="0"/>
    <x v="30"/>
    <x v="30"/>
    <m/>
    <m/>
    <s v="外部"/>
    <x v="0"/>
    <x v="0"/>
    <s v="C0033-0000"/>
    <n v="350"/>
    <s v="商品"/>
    <n v="4"/>
    <n v="0"/>
    <s v="510002"/>
    <s v="品牌授權"/>
    <n v="1400"/>
    <s v="周邊商品"/>
    <s v=""/>
  </r>
  <r>
    <s v="#20260409031333337"/>
    <x v="8"/>
    <x v="0"/>
    <x v="23"/>
    <x v="23"/>
    <m/>
    <m/>
    <s v="外部"/>
    <x v="0"/>
    <x v="0"/>
    <s v="C0033-0000"/>
    <n v="0"/>
    <s v="贈品"/>
    <n v="0"/>
    <n v="4"/>
    <s v="513200"/>
    <s v="周邊營業"/>
    <n v="0"/>
    <s v="周邊商品"/>
    <s v=""/>
  </r>
  <r>
    <s v="#20260409031333337"/>
    <x v="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31605239"/>
    <x v="8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"/>
  </r>
  <r>
    <s v="#20260409031605239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31605239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33211479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033211479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033211479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33211479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33211479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33211479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33913397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KOL"/>
  </r>
  <r>
    <s v="#20260409033913397"/>
    <x v="8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KOL"/>
  </r>
  <r>
    <s v="#20260409033913397"/>
    <x v="8"/>
    <x v="0"/>
    <x v="87"/>
    <x v="83"/>
    <m/>
    <m/>
    <s v="外部"/>
    <x v="0"/>
    <x v="0"/>
    <s v="C0033-0000"/>
    <n v="160"/>
    <s v="加購品"/>
    <n v="1"/>
    <n v="0"/>
    <s v="513261"/>
    <s v="團團購"/>
    <n v="160"/>
    <s v="周邊商品"/>
    <s v="KOL"/>
  </r>
  <r>
    <s v="#20260409033913397"/>
    <x v="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9033913397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41627395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041627395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041627395"/>
    <x v="8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9041627395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41627395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41627395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41627395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44449151"/>
    <x v="8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409044449151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9044449151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9045704934"/>
    <x v="8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0904570493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45704934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50002018"/>
    <x v="8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post"/>
  </r>
  <r>
    <s v="#20260409050002018"/>
    <x v="8"/>
    <x v="0"/>
    <x v="110"/>
    <x v="114"/>
    <m/>
    <m/>
    <s v="外部"/>
    <x v="0"/>
    <x v="0"/>
    <s v="C0033-0000"/>
    <n v="304"/>
    <s v="商品"/>
    <n v="1"/>
    <n v="0"/>
    <s v="510002"/>
    <s v="品牌授權"/>
    <n v="304"/>
    <s v="周邊商品"/>
    <s v="post"/>
  </r>
  <r>
    <s v="#20260409050002018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09050007051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9050007051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53029212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053029212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75757303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075757303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084221552"/>
    <x v="8"/>
    <x v="0"/>
    <x v="22"/>
    <x v="22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09084221552"/>
    <x v="8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84221552"/>
    <x v="8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84221552"/>
    <x v="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084911383"/>
    <x v="8"/>
    <x v="0"/>
    <x v="30"/>
    <x v="30"/>
    <m/>
    <m/>
    <s v="外部"/>
    <x v="0"/>
    <x v="0"/>
    <s v="C0033-0000"/>
    <n v="350"/>
    <s v="商品"/>
    <n v="4"/>
    <n v="0"/>
    <s v="510002"/>
    <s v="品牌授權"/>
    <n v="1400"/>
    <s v="周邊商品"/>
    <s v=""/>
  </r>
  <r>
    <s v="#20260409084911383"/>
    <x v="8"/>
    <x v="0"/>
    <x v="23"/>
    <x v="23"/>
    <m/>
    <m/>
    <s v="外部"/>
    <x v="0"/>
    <x v="0"/>
    <s v="C0033-0000"/>
    <n v="0"/>
    <s v="贈品"/>
    <n v="0"/>
    <n v="4"/>
    <s v="513200"/>
    <s v="周邊營業"/>
    <n v="0"/>
    <s v="周邊商品"/>
    <s v=""/>
  </r>
  <r>
    <s v="#20260409084911383"/>
    <x v="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104715013"/>
    <x v="8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9104715013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112788"/>
    <x v="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KOL"/>
  </r>
  <r>
    <s v="#20260409110112788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209469"/>
    <x v="8"/>
    <x v="0"/>
    <x v="84"/>
    <x v="80"/>
    <m/>
    <m/>
    <s v="外部"/>
    <x v="0"/>
    <x v="0"/>
    <s v="C0033-0000"/>
    <n v="525"/>
    <s v="商品"/>
    <n v="1"/>
    <n v="0"/>
    <s v="513261"/>
    <s v="團團購"/>
    <n v="525"/>
    <s v="周邊商品"/>
    <s v="KOL"/>
  </r>
  <r>
    <s v="#20260409110209470"/>
    <x v="8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KOL"/>
  </r>
  <r>
    <s v="#20260409110209470"/>
    <x v="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9110215507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110215507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110215507"/>
    <x v="8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9110215507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215507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215507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215507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215507"/>
    <x v="8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10611283"/>
    <x v="8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09110611283"/>
    <x v="8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09111623363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Geek"/>
  </r>
  <r>
    <s v="#20260409111623363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09123236656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123236656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25900302"/>
    <x v="8"/>
    <x v="0"/>
    <x v="71"/>
    <x v="70"/>
    <m/>
    <m/>
    <s v="外部"/>
    <x v="0"/>
    <x v="0"/>
    <s v="C0033-0000"/>
    <n v="2100"/>
    <s v="商品"/>
    <n v="3"/>
    <n v="0"/>
    <s v="513300"/>
    <s v="進階版編輯"/>
    <n v="6300"/>
    <s v="Mirafeel"/>
    <s v=""/>
  </r>
  <r>
    <s v="#20260409131642505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131642505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131642505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31642505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31642505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31642505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32500502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09132500502"/>
    <x v="8"/>
    <x v="0"/>
    <x v="111"/>
    <x v="116"/>
    <m/>
    <m/>
    <s v="外部"/>
    <x v="0"/>
    <x v="0"/>
    <s v="C0033-0000"/>
    <n v="699"/>
    <s v="商品"/>
    <n v="1"/>
    <n v="0"/>
    <s v="510002"/>
    <s v="品牌授權"/>
    <n v="699"/>
    <s v="周邊商品"/>
    <s v=""/>
  </r>
  <r>
    <s v="#20260409132500502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134347433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9134347433"/>
    <x v="8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9134347433"/>
    <x v="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09134347433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134347433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135704930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09135704930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09143513593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KOL"/>
  </r>
  <r>
    <s v="#20260409143513593"/>
    <x v="8"/>
    <x v="0"/>
    <x v="32"/>
    <x v="32"/>
    <m/>
    <m/>
    <s v="外部"/>
    <x v="0"/>
    <x v="0"/>
    <s v="C0033-0000"/>
    <n v="750"/>
    <s v="商品"/>
    <n v="1"/>
    <n v="0"/>
    <s v="510002"/>
    <s v="品牌授權"/>
    <n v="750"/>
    <s v="周邊商品"/>
    <s v="KOL"/>
  </r>
  <r>
    <s v="#20260409143513593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1140984"/>
    <x v="8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09151140984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09153105737"/>
    <x v="8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KOL"/>
  </r>
  <r>
    <s v="#20260409153105737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KOL"/>
  </r>
  <r>
    <s v="#20260409153105737"/>
    <x v="8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KOL"/>
  </r>
  <r>
    <s v="#20260409153105737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3105738"/>
    <x v="8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9153105738"/>
    <x v="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09153105738"/>
    <x v="8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KOL"/>
  </r>
  <r>
    <s v="#20260409153105738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3517627"/>
    <x v="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9153517627"/>
    <x v="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09153517627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153549845"/>
    <x v="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09153549845"/>
    <x v="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09153549845"/>
    <x v="8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BNS"/>
  </r>
  <r>
    <s v="#20260409153549845"/>
    <x v="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9153549845"/>
    <x v="8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09154424974"/>
    <x v="8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154424974"/>
    <x v="8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09154424974"/>
    <x v="8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4424974"/>
    <x v="8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4424974"/>
    <x v="8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4424974"/>
    <x v="8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54628406"/>
    <x v="8"/>
    <x v="0"/>
    <x v="105"/>
    <x v="117"/>
    <m/>
    <m/>
    <s v="團購"/>
    <x v="1"/>
    <x v="2"/>
    <s v="C0033-0062"/>
    <n v="2800"/>
    <s v="商品"/>
    <n v="3"/>
    <n v="0"/>
    <s v="513300"/>
    <s v="進階版編輯"/>
    <n v="8400"/>
    <s v="Mirafeel"/>
    <s v="KOC"/>
  </r>
  <r>
    <s v="#20260409160600204"/>
    <x v="9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09160600204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63155091"/>
    <x v="9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09163155091"/>
    <x v="9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9163155091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63155091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63155091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65608260"/>
    <x v="9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09165608260"/>
    <x v="9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09165608260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65608260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165608260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09225217523"/>
    <x v="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09225217523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09235526684"/>
    <x v="9"/>
    <x v="0"/>
    <x v="105"/>
    <x v="108"/>
    <m/>
    <m/>
    <s v="外部"/>
    <x v="0"/>
    <x v="0"/>
    <s v="C0033-0000"/>
    <n v="2800"/>
    <s v="商品"/>
    <n v="2"/>
    <n v="0"/>
    <s v="513300"/>
    <s v="進階版編輯"/>
    <n v="5600"/>
    <s v="Mirafeel"/>
    <s v=""/>
  </r>
  <r>
    <s v="#20260410011535747"/>
    <x v="9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0011535747"/>
    <x v="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0011535747"/>
    <x v="9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0011535747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11535747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11535747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15506544"/>
    <x v="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0015506544"/>
    <x v="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0015506544"/>
    <x v="9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10015506544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21733133"/>
    <x v="9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0021733133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31311179"/>
    <x v="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0031311179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31440085"/>
    <x v="9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10031440085"/>
    <x v="9"/>
    <x v="0"/>
    <x v="22"/>
    <x v="22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10031440085"/>
    <x v="9"/>
    <x v="0"/>
    <x v="23"/>
    <x v="23"/>
    <m/>
    <m/>
    <s v="外部"/>
    <x v="0"/>
    <x v="0"/>
    <s v="C0033-0000"/>
    <n v="0"/>
    <s v="贈品"/>
    <n v="0"/>
    <n v="2"/>
    <s v="513200"/>
    <s v="周邊營業"/>
    <n v="0"/>
    <s v="周邊商品"/>
    <s v=""/>
  </r>
  <r>
    <s v="#20260410031440085"/>
    <x v="9"/>
    <x v="0"/>
    <x v="24"/>
    <x v="24"/>
    <m/>
    <m/>
    <s v="外部"/>
    <x v="0"/>
    <x v="0"/>
    <s v="C0033-0000"/>
    <n v="0"/>
    <s v="贈品"/>
    <n v="0"/>
    <n v="2"/>
    <s v="513200"/>
    <s v="周邊營業"/>
    <n v="0"/>
    <s v="周邊商品"/>
    <s v=""/>
  </r>
  <r>
    <s v="#20260410031440085"/>
    <x v="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31440085"/>
    <x v="9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31440085"/>
    <x v="9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33137967"/>
    <x v="9"/>
    <x v="0"/>
    <x v="112"/>
    <x v="118"/>
    <m/>
    <m/>
    <s v="外部"/>
    <x v="0"/>
    <x v="0"/>
    <s v="C0033-0000"/>
    <n v="499"/>
    <s v="商品"/>
    <n v="1"/>
    <n v="0"/>
    <s v="510002"/>
    <s v="品牌授權"/>
    <n v="499"/>
    <s v="周邊商品"/>
    <s v=""/>
  </r>
  <r>
    <s v="#20260410040826784"/>
    <x v="9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410040826784"/>
    <x v="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Geek"/>
  </r>
  <r>
    <s v="#20260410040826784"/>
    <x v="9"/>
    <x v="0"/>
    <x v="113"/>
    <x v="119"/>
    <m/>
    <m/>
    <s v="外部"/>
    <x v="0"/>
    <x v="0"/>
    <s v="C0033-0000"/>
    <n v="299"/>
    <s v="加購品"/>
    <n v="1"/>
    <n v="0"/>
    <s v="513100"/>
    <s v="周邊編輯"/>
    <n v="299"/>
    <s v="周邊商品"/>
    <s v="AdGeek"/>
  </r>
  <r>
    <s v="#20260410040826784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040826784"/>
    <x v="9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041547831"/>
    <x v="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0041547831"/>
    <x v="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10041547831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0045600204"/>
    <x v="9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10045600204"/>
    <x v="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FBAD"/>
  </r>
  <r>
    <s v="#20260410045600204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0045827793"/>
    <x v="9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AdGeek"/>
  </r>
  <r>
    <s v="#20260410045827793"/>
    <x v="9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AdGeek"/>
  </r>
  <r>
    <s v="#20260410045827793"/>
    <x v="9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045827793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045827793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045827793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052238670"/>
    <x v="9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0052238670"/>
    <x v="9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0052238670"/>
    <x v="9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0052238670"/>
    <x v="9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0052238670"/>
    <x v="9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52238670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52238670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52238670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52238670"/>
    <x v="9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52238670"/>
    <x v="9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060841891"/>
    <x v="9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10060841891"/>
    <x v="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0060841891"/>
    <x v="9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10060841891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60841891"/>
    <x v="9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62431021"/>
    <x v="9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AD2"/>
  </r>
  <r>
    <s v="#20260410062431021"/>
    <x v="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0082338374"/>
    <x v="9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0082338374"/>
    <x v="9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"/>
  </r>
  <r>
    <s v="#20260410082338374"/>
    <x v="9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10082338374"/>
    <x v="9"/>
    <x v="0"/>
    <x v="18"/>
    <x v="18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0082338374"/>
    <x v="9"/>
    <x v="0"/>
    <x v="61"/>
    <x v="61"/>
    <m/>
    <m/>
    <s v="外部"/>
    <x v="0"/>
    <x v="0"/>
    <s v="C0033-0000"/>
    <n v="20"/>
    <s v="商品"/>
    <n v="1"/>
    <n v="0"/>
    <s v="513261"/>
    <s v="團團購"/>
    <n v="20"/>
    <s v="周邊商品"/>
    <s v=""/>
  </r>
  <r>
    <s v="#20260410082338374"/>
    <x v="9"/>
    <x v="0"/>
    <x v="62"/>
    <x v="61"/>
    <m/>
    <m/>
    <s v="外部"/>
    <x v="0"/>
    <x v="0"/>
    <s v="C0033-0000"/>
    <n v="20"/>
    <s v="商品"/>
    <n v="1"/>
    <n v="0"/>
    <s v="513261"/>
    <s v="團團購"/>
    <n v="20"/>
    <s v="周邊商品"/>
    <s v=""/>
  </r>
  <r>
    <s v="#20260410082338374"/>
    <x v="9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10082338374"/>
    <x v="9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10082338374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83824772"/>
    <x v="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0083824772"/>
    <x v="9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10083824772"/>
    <x v="9"/>
    <x v="0"/>
    <x v="49"/>
    <x v="49"/>
    <m/>
    <m/>
    <s v="外部"/>
    <x v="0"/>
    <x v="0"/>
    <s v="C0033-0000"/>
    <n v="520"/>
    <s v="商品"/>
    <n v="1"/>
    <n v="0"/>
    <s v="513100"/>
    <s v="周邊編輯"/>
    <n v="520"/>
    <s v="周邊商品"/>
    <s v=""/>
  </r>
  <r>
    <s v="#20260410083824772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83824772"/>
    <x v="9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85531727"/>
    <x v="9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10085531727"/>
    <x v="9"/>
    <x v="0"/>
    <x v="86"/>
    <x v="82"/>
    <m/>
    <m/>
    <s v="外部"/>
    <x v="0"/>
    <x v="0"/>
    <s v="C0033-0000"/>
    <n v="399"/>
    <s v="加購品"/>
    <n v="1"/>
    <n v="0"/>
    <s v="510002"/>
    <s v="品牌授權"/>
    <n v="399"/>
    <s v="周邊商品"/>
    <s v=""/>
  </r>
  <r>
    <s v="#20260410085531727"/>
    <x v="9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10085531727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085531727"/>
    <x v="9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110557903"/>
    <x v="9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0110557903"/>
    <x v="9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0110557903"/>
    <x v="9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10557903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10557903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10557903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41945617"/>
    <x v="9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0141945617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41945617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45736160"/>
    <x v="9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0145736160"/>
    <x v="9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0145736160"/>
    <x v="9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0145736160"/>
    <x v="9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45736160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45736160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45736160"/>
    <x v="9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50718030"/>
    <x v="9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0150718030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52703923"/>
    <x v="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0152703923"/>
    <x v="9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"/>
  </r>
  <r>
    <s v="#20260410152703923"/>
    <x v="9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"/>
  </r>
  <r>
    <s v="#20260410152703923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0153104730"/>
    <x v="9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0153104730"/>
    <x v="9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0153104730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53104730"/>
    <x v="9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53939578"/>
    <x v="9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AdGeek"/>
  </r>
  <r>
    <s v="#20260410153939578"/>
    <x v="9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0154845917"/>
    <x v="9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410154845917"/>
    <x v="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0154845917"/>
    <x v="9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0160119834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IG"/>
  </r>
  <r>
    <s v="#20260410160119834"/>
    <x v="1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10160119834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10160839875"/>
    <x v="10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0160839875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63141991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0163141991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64814700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0164814700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0180412886"/>
    <x v="10"/>
    <x v="0"/>
    <x v="111"/>
    <x v="120"/>
    <m/>
    <m/>
    <s v="團購"/>
    <x v="1"/>
    <x v="1"/>
    <s v="C0033-0049"/>
    <n v="699"/>
    <s v="商品"/>
    <n v="1"/>
    <n v="0"/>
    <s v="510002"/>
    <s v="品牌授權"/>
    <n v="699"/>
    <s v="周邊商品"/>
    <s v="KOL"/>
  </r>
  <r>
    <s v="#20260410183552868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0183552868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1001246726"/>
    <x v="10"/>
    <x v="0"/>
    <x v="14"/>
    <x v="110"/>
    <m/>
    <m/>
    <s v="團購"/>
    <x v="1"/>
    <x v="2"/>
    <s v="C0033-0062"/>
    <n v="2100"/>
    <s v="商品"/>
    <n v="1"/>
    <n v="0"/>
    <s v="513300"/>
    <s v="進階版編輯"/>
    <n v="2100"/>
    <s v="Mirafeel"/>
    <s v="KOC"/>
  </r>
  <r>
    <s v="#20260411001906344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1001906344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002445117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1002445117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011139975"/>
    <x v="10"/>
    <x v="0"/>
    <x v="13"/>
    <x v="13"/>
    <m/>
    <m/>
    <s v="外部"/>
    <x v="0"/>
    <x v="0"/>
    <s v="C0033-0000"/>
    <n v="4800"/>
    <s v="商品"/>
    <n v="2"/>
    <n v="0"/>
    <s v="512105"/>
    <s v="英語編輯"/>
    <n v="9600"/>
    <s v="學習"/>
    <s v=""/>
  </r>
  <r>
    <s v="#20260411011139975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11139975"/>
    <x v="1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12910374"/>
    <x v="10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1012910374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015410874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1015410874"/>
    <x v="1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1015410874"/>
    <x v="10"/>
    <x v="0"/>
    <x v="52"/>
    <x v="52"/>
    <m/>
    <m/>
    <s v="外部"/>
    <x v="0"/>
    <x v="0"/>
    <s v="C0033-0000"/>
    <n v="252"/>
    <s v="商品"/>
    <n v="1"/>
    <n v="0"/>
    <s v="513261"/>
    <s v="團團購"/>
    <n v="252"/>
    <s v="周邊商品"/>
    <s v=""/>
  </r>
  <r>
    <s v="#20260411015410874"/>
    <x v="10"/>
    <x v="0"/>
    <x v="77"/>
    <x v="73"/>
    <m/>
    <m/>
    <s v="外部"/>
    <x v="0"/>
    <x v="0"/>
    <s v="C0033-0000"/>
    <n v="799"/>
    <s v="商品"/>
    <n v="1"/>
    <n v="0"/>
    <s v="510015"/>
    <s v="舞台劇"/>
    <n v="799"/>
    <s v="周邊商品"/>
    <s v=""/>
  </r>
  <r>
    <s v="#20260411015410874"/>
    <x v="10"/>
    <x v="0"/>
    <x v="114"/>
    <x v="121"/>
    <m/>
    <m/>
    <s v="外部"/>
    <x v="0"/>
    <x v="0"/>
    <s v="C0033-0000"/>
    <n v="850"/>
    <s v="商品"/>
    <n v="1"/>
    <n v="0"/>
    <s v="510002"/>
    <s v="品牌授權"/>
    <n v="850"/>
    <s v="周邊商品"/>
    <s v=""/>
  </r>
  <r>
    <s v="#20260411015410874"/>
    <x v="10"/>
    <x v="0"/>
    <x v="63"/>
    <x v="62"/>
    <m/>
    <m/>
    <s v="外部"/>
    <x v="0"/>
    <x v="0"/>
    <s v="C0033-0000"/>
    <n v="145"/>
    <s v="商品"/>
    <n v="1"/>
    <n v="0"/>
    <s v="513261"/>
    <s v="團團購"/>
    <n v="145"/>
    <s v="周邊商品"/>
    <s v=""/>
  </r>
  <r>
    <s v="#20260411015410874"/>
    <x v="10"/>
    <x v="0"/>
    <x v="53"/>
    <x v="53"/>
    <m/>
    <m/>
    <s v="外部"/>
    <x v="0"/>
    <x v="0"/>
    <s v="C0033-0000"/>
    <n v="175"/>
    <s v="商品"/>
    <n v="2"/>
    <n v="0"/>
    <s v="513261"/>
    <s v="團團購"/>
    <n v="350"/>
    <s v="周邊商品"/>
    <s v=""/>
  </r>
  <r>
    <s v="#20260411015410874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15410874"/>
    <x v="1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15410874"/>
    <x v="1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21201409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1021201409"/>
    <x v="1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11021201409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043326288"/>
    <x v="1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1043326288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45239679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1045239679"/>
    <x v="10"/>
    <x v="0"/>
    <x v="17"/>
    <x v="17"/>
    <m/>
    <m/>
    <s v="外部"/>
    <x v="0"/>
    <x v="0"/>
    <s v="C0033-0000"/>
    <n v="199"/>
    <s v="加購品"/>
    <n v="2"/>
    <n v="0"/>
    <s v="513100"/>
    <s v="周邊編輯"/>
    <n v="398"/>
    <s v="周邊商品"/>
    <s v="BNS"/>
  </r>
  <r>
    <s v="#20260411045239679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1050546830"/>
    <x v="10"/>
    <x v="0"/>
    <x v="38"/>
    <x v="38"/>
    <m/>
    <m/>
    <s v="外部"/>
    <x v="0"/>
    <x v="0"/>
    <s v="C0033-0000"/>
    <n v="899"/>
    <s v="商品"/>
    <n v="2"/>
    <n v="0"/>
    <s v="510002"/>
    <s v="品牌授權"/>
    <n v="1798"/>
    <s v="周邊商品"/>
    <s v=""/>
  </r>
  <r>
    <s v="#20260411050546830"/>
    <x v="10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11050546830"/>
    <x v="10"/>
    <x v="0"/>
    <x v="45"/>
    <x v="45"/>
    <m/>
    <m/>
    <s v="外部"/>
    <x v="0"/>
    <x v="0"/>
    <s v="C0033-0000"/>
    <n v="357"/>
    <s v="商品"/>
    <n v="1"/>
    <n v="0"/>
    <s v="513261"/>
    <s v="團團購"/>
    <n v="357"/>
    <s v="周邊商品"/>
    <s v=""/>
  </r>
  <r>
    <s v="#20260411050546830"/>
    <x v="10"/>
    <x v="0"/>
    <x v="86"/>
    <x v="82"/>
    <m/>
    <m/>
    <s v="外部"/>
    <x v="0"/>
    <x v="0"/>
    <s v="C0033-0000"/>
    <n v="499"/>
    <s v="商品"/>
    <n v="1"/>
    <n v="0"/>
    <s v="510002"/>
    <s v="品牌授權"/>
    <n v="499"/>
    <s v="周邊商品"/>
    <s v=""/>
  </r>
  <r>
    <s v="#20260411050546830"/>
    <x v="10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"/>
  </r>
  <r>
    <s v="#20260411050546830"/>
    <x v="10"/>
    <x v="0"/>
    <x v="89"/>
    <x v="85"/>
    <m/>
    <m/>
    <s v="外部"/>
    <x v="0"/>
    <x v="0"/>
    <s v="C0033-0000"/>
    <n v="640"/>
    <s v="商品"/>
    <n v="1"/>
    <n v="0"/>
    <s v="510002"/>
    <s v="品牌授權"/>
    <n v="640"/>
    <s v="周邊商品"/>
    <s v=""/>
  </r>
  <r>
    <s v="#20260411050546830"/>
    <x v="10"/>
    <x v="0"/>
    <x v="115"/>
    <x v="122"/>
    <m/>
    <m/>
    <s v="外部"/>
    <x v="0"/>
    <x v="0"/>
    <s v="C0033-0000"/>
    <n v="699"/>
    <s v="商品"/>
    <n v="1"/>
    <n v="0"/>
    <s v="510015"/>
    <s v="舞台劇"/>
    <n v="699"/>
    <s v="周邊商品"/>
    <s v=""/>
  </r>
  <r>
    <s v="#20260411050546830"/>
    <x v="10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11050546830"/>
    <x v="10"/>
    <x v="0"/>
    <x v="42"/>
    <x v="42"/>
    <m/>
    <m/>
    <s v="外部"/>
    <x v="0"/>
    <x v="0"/>
    <s v="C0033-0000"/>
    <n v="899"/>
    <s v="商品"/>
    <n v="2"/>
    <n v="0"/>
    <s v="510002"/>
    <s v="品牌授權"/>
    <n v="1798"/>
    <s v="周邊商品"/>
    <s v=""/>
  </r>
  <r>
    <s v="#20260411050546830"/>
    <x v="10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11050546830"/>
    <x v="10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0546830"/>
    <x v="10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0546830"/>
    <x v="1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0546830"/>
    <x v="1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0546830"/>
    <x v="10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0546830"/>
    <x v="10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1850954"/>
    <x v="10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1051850954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1051850954"/>
    <x v="10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1850954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1850954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1850954"/>
    <x v="10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52807651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1052807651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1062147031"/>
    <x v="1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BNS"/>
  </r>
  <r>
    <s v="#20260411062147031"/>
    <x v="10"/>
    <x v="0"/>
    <x v="116"/>
    <x v="123"/>
    <m/>
    <m/>
    <s v="外部"/>
    <x v="0"/>
    <x v="0"/>
    <s v="C0033-0000"/>
    <n v="600"/>
    <s v="商品"/>
    <n v="1"/>
    <n v="0"/>
    <s v="510002"/>
    <s v="品牌授權"/>
    <n v="600"/>
    <s v="周邊商品"/>
    <s v="BNS"/>
  </r>
  <r>
    <s v="#20260411062147031"/>
    <x v="10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BNS"/>
  </r>
  <r>
    <s v="#20260411062147031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1064703927"/>
    <x v="10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11064703927"/>
    <x v="10"/>
    <x v="0"/>
    <x v="103"/>
    <x v="106"/>
    <m/>
    <m/>
    <s v="外部"/>
    <x v="0"/>
    <x v="0"/>
    <s v="C0033-0000"/>
    <n v="599"/>
    <s v="商品"/>
    <n v="1"/>
    <n v="0"/>
    <s v="510002"/>
    <s v="品牌授權"/>
    <n v="599"/>
    <s v="周邊商品"/>
    <s v=""/>
  </r>
  <r>
    <s v="#20260411064703927"/>
    <x v="10"/>
    <x v="0"/>
    <x v="43"/>
    <x v="43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411064703927"/>
    <x v="10"/>
    <x v="0"/>
    <x v="6"/>
    <x v="6"/>
    <m/>
    <m/>
    <s v="外部"/>
    <x v="0"/>
    <x v="0"/>
    <s v="C0033-0000"/>
    <n v="290"/>
    <s v="商品"/>
    <n v="1"/>
    <n v="0"/>
    <s v="510002"/>
    <s v="品牌授權"/>
    <n v="290"/>
    <s v="周邊商品"/>
    <s v=""/>
  </r>
  <r>
    <s v="#20260411064703927"/>
    <x v="10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1064703927"/>
    <x v="1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64703927"/>
    <x v="1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73307161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1073307161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074416913"/>
    <x v="10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KOL"/>
  </r>
  <r>
    <s v="#20260411074416913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KOL"/>
  </r>
  <r>
    <s v="#20260411074416913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074416913"/>
    <x v="1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082337369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1082337369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83331323"/>
    <x v="10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11083331323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83331323"/>
    <x v="1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093910384"/>
    <x v="10"/>
    <x v="0"/>
    <x v="119"/>
    <x v="126"/>
    <m/>
    <m/>
    <s v="外部"/>
    <x v="0"/>
    <x v="0"/>
    <s v="C0033-0000"/>
    <n v="990"/>
    <s v="商品"/>
    <n v="1"/>
    <n v="0"/>
    <s v="513261"/>
    <s v="團團購"/>
    <n v="990"/>
    <s v="周邊商品"/>
    <s v="AD2"/>
  </r>
  <r>
    <s v="#20260411093910384"/>
    <x v="10"/>
    <x v="0"/>
    <x v="109"/>
    <x v="113"/>
    <m/>
    <m/>
    <s v="外部"/>
    <x v="0"/>
    <x v="0"/>
    <s v="C0033-0000"/>
    <n v="450"/>
    <s v="商品"/>
    <n v="1"/>
    <n v="0"/>
    <s v="510002"/>
    <s v="品牌授權"/>
    <n v="450"/>
    <s v="周邊商品"/>
    <s v="AD2"/>
  </r>
  <r>
    <s v="#20260411093910384"/>
    <x v="10"/>
    <x v="0"/>
    <x v="120"/>
    <x v="127"/>
    <m/>
    <m/>
    <s v="外部"/>
    <x v="0"/>
    <x v="0"/>
    <s v="C0033-0000"/>
    <n v="1560"/>
    <s v="商品"/>
    <n v="1"/>
    <n v="0"/>
    <s v="513261"/>
    <s v="團團購"/>
    <n v="1560"/>
    <s v="周邊商品"/>
    <s v="AD2"/>
  </r>
  <r>
    <s v="#20260411093910384"/>
    <x v="1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093910384"/>
    <x v="1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093910384"/>
    <x v="10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100330312"/>
    <x v="10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1100330312"/>
    <x v="10"/>
    <x v="0"/>
    <x v="86"/>
    <x v="82"/>
    <m/>
    <m/>
    <s v="外部"/>
    <x v="0"/>
    <x v="0"/>
    <s v="C0033-0000"/>
    <n v="399"/>
    <s v="加購品"/>
    <n v="1"/>
    <n v="0"/>
    <s v="510002"/>
    <s v="品牌授權"/>
    <n v="399"/>
    <s v="周邊商品"/>
    <s v=""/>
  </r>
  <r>
    <s v="#20260411100330312"/>
    <x v="10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11100330312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103504538"/>
    <x v="10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11103504538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111037267"/>
    <x v="10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AD2"/>
  </r>
  <r>
    <s v="#20260411111037267"/>
    <x v="10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AD2"/>
  </r>
  <r>
    <s v="#20260411111037267"/>
    <x v="10"/>
    <x v="0"/>
    <x v="23"/>
    <x v="23"/>
    <m/>
    <m/>
    <s v="外部"/>
    <x v="0"/>
    <x v="0"/>
    <s v="C0033-0000"/>
    <n v="0"/>
    <s v="贈品"/>
    <n v="0"/>
    <n v="2"/>
    <s v="513200"/>
    <s v="周邊營業"/>
    <n v="0"/>
    <s v="周邊商品"/>
    <s v="AD2"/>
  </r>
  <r>
    <s v="#20260411111037267"/>
    <x v="10"/>
    <x v="0"/>
    <x v="24"/>
    <x v="24"/>
    <m/>
    <m/>
    <s v="外部"/>
    <x v="0"/>
    <x v="0"/>
    <s v="C0033-0000"/>
    <n v="0"/>
    <s v="贈品"/>
    <n v="0"/>
    <n v="2"/>
    <s v="513200"/>
    <s v="周邊營業"/>
    <n v="0"/>
    <s v="周邊商品"/>
    <s v="AD2"/>
  </r>
  <r>
    <s v="#20260411111037267"/>
    <x v="1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111037267"/>
    <x v="1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111037267"/>
    <x v="10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1114849945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1114849945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115643503"/>
    <x v="10"/>
    <x v="0"/>
    <x v="47"/>
    <x v="47"/>
    <m/>
    <m/>
    <s v="外部"/>
    <x v="0"/>
    <x v="0"/>
    <s v="C0033-0000"/>
    <n v="399"/>
    <s v="商品"/>
    <n v="1"/>
    <n v="0"/>
    <s v="510002"/>
    <s v="品牌授權"/>
    <n v="399"/>
    <s v="周邊商品"/>
    <s v="AD2"/>
  </r>
  <r>
    <s v="#20260411115643503"/>
    <x v="10"/>
    <x v="0"/>
    <x v="37"/>
    <x v="37"/>
    <m/>
    <m/>
    <s v="外部"/>
    <x v="0"/>
    <x v="0"/>
    <s v="C0033-0000"/>
    <n v="2800"/>
    <s v="商品"/>
    <n v="1"/>
    <n v="0"/>
    <s v="513300"/>
    <s v="進階版編輯"/>
    <n v="2800"/>
    <s v="Mirafeel"/>
    <s v="AD2"/>
  </r>
  <r>
    <s v="#20260411132546824"/>
    <x v="10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1132546824"/>
    <x v="10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1132546824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1132546824"/>
    <x v="10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1132546824"/>
    <x v="10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2546824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2546824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2546824"/>
    <x v="10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2546824"/>
    <x v="10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2546824"/>
    <x v="10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3551859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1133551859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1133916414"/>
    <x v="10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1133916414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1133916414"/>
    <x v="10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3916414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3916414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3916414"/>
    <x v="10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0882"/>
    <x v="10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1134840882"/>
    <x v="10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1134840882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0882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0882"/>
    <x v="10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1891"/>
    <x v="10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1134841891"/>
    <x v="10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1134841891"/>
    <x v="10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1891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1891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4841891"/>
    <x v="10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35442102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1135442102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1140146026"/>
    <x v="10"/>
    <x v="0"/>
    <x v="105"/>
    <x v="108"/>
    <m/>
    <m/>
    <s v="外部"/>
    <x v="0"/>
    <x v="0"/>
    <s v="C0033-0000"/>
    <n v="2800"/>
    <s v="商品"/>
    <n v="1"/>
    <n v="0"/>
    <s v="513300"/>
    <s v="進階版編輯"/>
    <n v="2800"/>
    <s v="Mirafeel"/>
    <s v=""/>
  </r>
  <r>
    <s v="#20260411140750254"/>
    <x v="1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KOL"/>
  </r>
  <r>
    <s v="#20260411140750254"/>
    <x v="10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KOL"/>
  </r>
  <r>
    <s v="#20260411140750254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40750254"/>
    <x v="1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40750255"/>
    <x v="10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1140750255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40750255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41644510"/>
    <x v="1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KOL"/>
  </r>
  <r>
    <s v="#20260411141644510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45235649"/>
    <x v="10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1145235649"/>
    <x v="10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KOL"/>
  </r>
  <r>
    <s v="#20260411145235649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45235649"/>
    <x v="1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52000001"/>
    <x v="10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FBAD"/>
  </r>
  <r>
    <s v="#20260411152000001"/>
    <x v="10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FBAD"/>
  </r>
  <r>
    <s v="#20260411152000001"/>
    <x v="1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1152000001"/>
    <x v="10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1154349445"/>
    <x v="10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1154349445"/>
    <x v="10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60600202"/>
    <x v="1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1160600202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1161244712"/>
    <x v="11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1161244712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61244712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64419939"/>
    <x v="11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1164419939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64419939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83325277"/>
    <x v="11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1183325277"/>
    <x v="11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1183325277"/>
    <x v="11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1183325277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83325277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83325277"/>
    <x v="11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183325277"/>
    <x v="11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1223958708"/>
    <x v="11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AD"/>
  </r>
  <r>
    <s v="#20260411223958708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1224653573"/>
    <x v="11"/>
    <x v="0"/>
    <x v="8"/>
    <x v="8"/>
    <m/>
    <m/>
    <s v="外部"/>
    <x v="0"/>
    <x v="0"/>
    <s v="C0033-0000"/>
    <n v="5199"/>
    <s v="商品"/>
    <n v="1"/>
    <n v="0"/>
    <s v="513100"/>
    <s v="周邊編輯"/>
    <n v="5199"/>
    <s v="周邊商品"/>
    <s v="BNS"/>
  </r>
  <r>
    <s v="#20260411224653573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1224653573"/>
    <x v="11"/>
    <x v="0"/>
    <x v="3"/>
    <x v="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2041807651"/>
    <x v="11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2041807651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41807651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43101711"/>
    <x v="11"/>
    <x v="0"/>
    <x v="80"/>
    <x v="128"/>
    <m/>
    <m/>
    <s v="團購"/>
    <x v="1"/>
    <x v="2"/>
    <s v="C0033-0062"/>
    <n v="600"/>
    <s v="商品"/>
    <n v="2"/>
    <n v="0"/>
    <s v="513300"/>
    <s v="進階版編輯"/>
    <n v="1200"/>
    <s v="Mirafeel"/>
    <s v="KOC"/>
  </r>
  <r>
    <s v="#20260412043524670"/>
    <x v="11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post"/>
  </r>
  <r>
    <s v="#20260412043524670"/>
    <x v="11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post"/>
  </r>
  <r>
    <s v="#20260412043524670"/>
    <x v="11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2043524670"/>
    <x v="11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2043524670"/>
    <x v="1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2060217528"/>
    <x v="11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2060217528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1008058"/>
    <x v="11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2061008058"/>
    <x v="11"/>
    <x v="0"/>
    <x v="39"/>
    <x v="102"/>
    <m/>
    <m/>
    <s v="團購"/>
    <x v="1"/>
    <x v="1"/>
    <s v="C0033-0049"/>
    <n v="2199"/>
    <s v="商品"/>
    <n v="2"/>
    <n v="0"/>
    <s v="513100"/>
    <s v="周邊編輯"/>
    <n v="4398"/>
    <s v="學習"/>
    <s v="KOL"/>
  </r>
  <r>
    <s v="#20260412061008058"/>
    <x v="11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2061008058"/>
    <x v="11"/>
    <x v="0"/>
    <x v="49"/>
    <x v="129"/>
    <m/>
    <m/>
    <s v="團購"/>
    <x v="1"/>
    <x v="1"/>
    <s v="C0033-0049"/>
    <n v="520"/>
    <s v="商品"/>
    <n v="1"/>
    <n v="0"/>
    <s v="513100"/>
    <s v="周邊編輯"/>
    <n v="520"/>
    <s v="周邊商品"/>
    <s v="KOL"/>
  </r>
  <r>
    <s v="#20260412061008058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1008058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1008058"/>
    <x v="11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1008058"/>
    <x v="11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1008058"/>
    <x v="11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4920446"/>
    <x v="11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2064920446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64920446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075250760"/>
    <x v="1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2075250760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2090008064"/>
    <x v="11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12090008064"/>
    <x v="11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12090008064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2095509565"/>
    <x v="11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12095509565"/>
    <x v="11"/>
    <x v="0"/>
    <x v="89"/>
    <x v="85"/>
    <m/>
    <m/>
    <s v="外部"/>
    <x v="0"/>
    <x v="0"/>
    <s v="C0033-0000"/>
    <n v="640"/>
    <s v="商品"/>
    <n v="1"/>
    <n v="0"/>
    <s v="510002"/>
    <s v="品牌授權"/>
    <n v="640"/>
    <s v="周邊商品"/>
    <s v=""/>
  </r>
  <r>
    <s v="#20260412095509565"/>
    <x v="1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2101620350"/>
    <x v="11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2101620350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2103823763"/>
    <x v="1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2103823763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2104602219"/>
    <x v="11"/>
    <x v="0"/>
    <x v="30"/>
    <x v="30"/>
    <m/>
    <m/>
    <s v="外部"/>
    <x v="0"/>
    <x v="0"/>
    <s v="C0033-0000"/>
    <n v="350"/>
    <s v="商品"/>
    <n v="4"/>
    <n v="0"/>
    <s v="510002"/>
    <s v="品牌授權"/>
    <n v="1400"/>
    <s v="周邊商品"/>
    <s v="AD2"/>
  </r>
  <r>
    <s v="#20260412104602219"/>
    <x v="11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AD2"/>
  </r>
  <r>
    <s v="#20260412104602219"/>
    <x v="11"/>
    <x v="0"/>
    <x v="23"/>
    <x v="23"/>
    <m/>
    <m/>
    <s v="外部"/>
    <x v="0"/>
    <x v="0"/>
    <s v="C0033-0000"/>
    <n v="0"/>
    <s v="贈品"/>
    <n v="0"/>
    <n v="5"/>
    <s v="513200"/>
    <s v="周邊營業"/>
    <n v="0"/>
    <s v="周邊商品"/>
    <s v="AD2"/>
  </r>
  <r>
    <s v="#20260412104602219"/>
    <x v="11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2104602219"/>
    <x v="1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2104602219"/>
    <x v="11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2104914404"/>
    <x v="11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2104914404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121346426"/>
    <x v="11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12121346426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2123449145"/>
    <x v="11"/>
    <x v="0"/>
    <x v="47"/>
    <x v="47"/>
    <m/>
    <m/>
    <s v="外部"/>
    <x v="0"/>
    <x v="0"/>
    <s v="C0033-0000"/>
    <n v="399"/>
    <s v="商品"/>
    <n v="1"/>
    <n v="0"/>
    <s v="510002"/>
    <s v="品牌授權"/>
    <n v="399"/>
    <s v="周邊商品"/>
    <s v="BNS"/>
  </r>
  <r>
    <s v="#20260412123449145"/>
    <x v="11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BNS"/>
  </r>
  <r>
    <s v="#20260412123449145"/>
    <x v="11"/>
    <x v="0"/>
    <x v="48"/>
    <x v="48"/>
    <m/>
    <m/>
    <s v="外部"/>
    <x v="0"/>
    <x v="0"/>
    <s v="C0033-0000"/>
    <n v="399"/>
    <s v="商品"/>
    <n v="1"/>
    <n v="0"/>
    <s v="510002"/>
    <s v="品牌授權"/>
    <n v="399"/>
    <s v="周邊商品"/>
    <s v="BNS"/>
  </r>
  <r>
    <s v="#20260412123449145"/>
    <x v="11"/>
    <x v="0"/>
    <x v="121"/>
    <x v="130"/>
    <m/>
    <m/>
    <s v="外部"/>
    <x v="0"/>
    <x v="0"/>
    <s v="C0033-0000"/>
    <n v="399"/>
    <s v="商品"/>
    <n v="1"/>
    <n v="0"/>
    <s v="510002"/>
    <s v="品牌授權"/>
    <n v="399"/>
    <s v="周邊商品"/>
    <s v="BNS"/>
  </r>
  <r>
    <s v="#20260412123449145"/>
    <x v="11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12123449145"/>
    <x v="11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12123449145"/>
    <x v="11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12123449145"/>
    <x v="11"/>
    <x v="0"/>
    <x v="122"/>
    <x v="131"/>
    <m/>
    <m/>
    <s v="外部"/>
    <x v="0"/>
    <x v="0"/>
    <s v="C0033-0000"/>
    <n v="899"/>
    <s v="商品"/>
    <n v="1"/>
    <n v="0"/>
    <s v="510002"/>
    <s v="品牌授權"/>
    <n v="899"/>
    <s v="周邊商品"/>
    <s v="BNS"/>
  </r>
  <r>
    <s v="#20260412123449145"/>
    <x v="11"/>
    <x v="0"/>
    <x v="123"/>
    <x v="132"/>
    <m/>
    <m/>
    <s v="外部"/>
    <x v="0"/>
    <x v="0"/>
    <s v="C0033-0000"/>
    <n v="358"/>
    <s v="商品"/>
    <n v="1"/>
    <n v="0"/>
    <s v="513261"/>
    <s v="團團購"/>
    <n v="358"/>
    <s v="周邊商品"/>
    <s v="BNS"/>
  </r>
  <r>
    <s v="#20260412123449145"/>
    <x v="1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2123449145"/>
    <x v="11"/>
    <x v="0"/>
    <x v="17"/>
    <x v="17"/>
    <m/>
    <m/>
    <s v="外部"/>
    <x v="0"/>
    <x v="0"/>
    <s v="C0033-0000"/>
    <n v="199"/>
    <s v="加購品"/>
    <n v="5"/>
    <n v="0"/>
    <s v="513100"/>
    <s v="周邊編輯"/>
    <n v="995"/>
    <s v="周邊商品"/>
    <s v="BNS"/>
  </r>
  <r>
    <s v="#20260412123449145"/>
    <x v="11"/>
    <x v="0"/>
    <x v="62"/>
    <x v="61"/>
    <m/>
    <m/>
    <s v="外部"/>
    <x v="0"/>
    <x v="0"/>
    <s v="C0033-0000"/>
    <n v="20"/>
    <s v="商品"/>
    <n v="2"/>
    <n v="0"/>
    <s v="513261"/>
    <s v="團團購"/>
    <n v="40"/>
    <s v="周邊商品"/>
    <s v="BNS"/>
  </r>
  <r>
    <s v="#20260412123449145"/>
    <x v="11"/>
    <x v="0"/>
    <x v="61"/>
    <x v="61"/>
    <m/>
    <m/>
    <s v="外部"/>
    <x v="0"/>
    <x v="0"/>
    <s v="C0033-0000"/>
    <n v="20"/>
    <s v="商品"/>
    <n v="2"/>
    <n v="0"/>
    <s v="513261"/>
    <s v="團團購"/>
    <n v="40"/>
    <s v="周邊商品"/>
    <s v="BNS"/>
  </r>
  <r>
    <s v="#20260412123449145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2123449145"/>
    <x v="1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2123449145"/>
    <x v="11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2123449145"/>
    <x v="11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2123449145"/>
    <x v="11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2152909365"/>
    <x v="11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2152909365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2153743205"/>
    <x v="1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2153743205"/>
    <x v="1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2155431019"/>
    <x v="11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2155431019"/>
    <x v="11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2155431019"/>
    <x v="11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155431019"/>
    <x v="11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155431019"/>
    <x v="11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2155431019"/>
    <x v="11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11156098"/>
    <x v="12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Email"/>
  </r>
  <r>
    <s v="#20260413011156098"/>
    <x v="12"/>
    <x v="0"/>
    <x v="124"/>
    <x v="133"/>
    <m/>
    <m/>
    <s v="外部"/>
    <x v="0"/>
    <x v="0"/>
    <s v="C0033-0000"/>
    <n v="200"/>
    <s v="商品"/>
    <n v="1"/>
    <n v="0"/>
    <s v="510002"/>
    <s v="品牌授權"/>
    <n v="200"/>
    <s v="周邊商品"/>
    <s v="Email"/>
  </r>
  <r>
    <s v="#20260413011156098"/>
    <x v="12"/>
    <x v="0"/>
    <x v="110"/>
    <x v="114"/>
    <m/>
    <m/>
    <s v="外部"/>
    <x v="0"/>
    <x v="0"/>
    <s v="C0033-0000"/>
    <n v="304"/>
    <s v="商品"/>
    <n v="1"/>
    <n v="0"/>
    <s v="510002"/>
    <s v="品牌授權"/>
    <n v="304"/>
    <s v="周邊商品"/>
    <s v="Email"/>
  </r>
  <r>
    <s v="#20260413011156098"/>
    <x v="12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Email"/>
  </r>
  <r>
    <s v="#20260413011156098"/>
    <x v="12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Email"/>
  </r>
  <r>
    <s v="#20260413011156098"/>
    <x v="12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13011156098"/>
    <x v="1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13012201411"/>
    <x v="12"/>
    <x v="0"/>
    <x v="67"/>
    <x v="66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413012201411"/>
    <x v="12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"/>
  </r>
  <r>
    <s v="#20260413012201411"/>
    <x v="12"/>
    <x v="0"/>
    <x v="104"/>
    <x v="107"/>
    <m/>
    <m/>
    <s v="外部"/>
    <x v="0"/>
    <x v="0"/>
    <s v="C0033-0000"/>
    <n v="199"/>
    <s v="商品"/>
    <n v="1"/>
    <n v="0"/>
    <s v="510002"/>
    <s v="品牌授權"/>
    <n v="199"/>
    <s v="周邊商品"/>
    <s v=""/>
  </r>
  <r>
    <s v="#20260413012201411"/>
    <x v="12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12201411"/>
    <x v="12"/>
    <x v="0"/>
    <x v="69"/>
    <x v="68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12201411"/>
    <x v="12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79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3020139979"/>
    <x v="12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13020139979"/>
    <x v="12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3020139979"/>
    <x v="12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"/>
  </r>
  <r>
    <s v="#20260413020139979"/>
    <x v="12"/>
    <x v="0"/>
    <x v="125"/>
    <x v="134"/>
    <m/>
    <m/>
    <s v="外部"/>
    <x v="0"/>
    <x v="0"/>
    <s v="C0033-0000"/>
    <n v="273"/>
    <s v="商品"/>
    <n v="1"/>
    <n v="0"/>
    <s v="513261"/>
    <s v="團團購"/>
    <n v="273"/>
    <s v="周邊商品"/>
    <s v=""/>
  </r>
  <r>
    <s v="#20260413020139979"/>
    <x v="12"/>
    <x v="0"/>
    <x v="92"/>
    <x v="88"/>
    <m/>
    <m/>
    <s v="外部"/>
    <x v="0"/>
    <x v="0"/>
    <s v="C0033-0000"/>
    <n v="285"/>
    <s v="商品"/>
    <n v="1"/>
    <n v="0"/>
    <s v="513261"/>
    <s v="團團購"/>
    <n v="285"/>
    <s v="周邊商品"/>
    <s v=""/>
  </r>
  <r>
    <s v="#20260413020139979"/>
    <x v="12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79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79"/>
    <x v="1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79"/>
    <x v="12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79"/>
    <x v="12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79"/>
    <x v="12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20139980"/>
    <x v="12"/>
    <x v="0"/>
    <x v="126"/>
    <x v="135"/>
    <m/>
    <m/>
    <s v="外部"/>
    <x v="0"/>
    <x v="0"/>
    <s v="C0033-0000"/>
    <n v="1140"/>
    <s v="商品"/>
    <n v="1"/>
    <n v="0"/>
    <s v="510002"/>
    <s v="品牌授權"/>
    <n v="1140"/>
    <s v="周邊商品"/>
    <s v=""/>
  </r>
  <r>
    <s v="#20260413020139980"/>
    <x v="12"/>
    <x v="0"/>
    <x v="127"/>
    <x v="13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030448138"/>
    <x v="12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13032042304"/>
    <x v="12"/>
    <x v="0"/>
    <x v="105"/>
    <x v="117"/>
    <m/>
    <m/>
    <s v="團購"/>
    <x v="1"/>
    <x v="3"/>
    <s v="C0033-0042"/>
    <n v="2800"/>
    <s v="商品"/>
    <n v="3"/>
    <n v="0"/>
    <s v="513300"/>
    <s v="進階版編輯"/>
    <n v="8400"/>
    <s v="Mirafeel"/>
    <s v="KOC"/>
  </r>
  <r>
    <s v="#20260413032253773"/>
    <x v="1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3032253773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3032351461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032351461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040726085"/>
    <x v="1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3040726085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040726085"/>
    <x v="12"/>
    <x v="0"/>
    <x v="94"/>
    <x v="90"/>
    <m/>
    <m/>
    <s v="外部"/>
    <x v="0"/>
    <x v="0"/>
    <s v="C0033-0000"/>
    <n v="1099"/>
    <s v="商品"/>
    <n v="1"/>
    <n v="0"/>
    <s v="510002"/>
    <s v="品牌授權"/>
    <n v="1099"/>
    <s v="周邊商品"/>
    <s v="BNS"/>
  </r>
  <r>
    <s v="#20260413040726085"/>
    <x v="12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040726085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041454182"/>
    <x v="12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BNS"/>
  </r>
  <r>
    <s v="#20260413041454182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043220552"/>
    <x v="12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3043220552"/>
    <x v="12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3043220552"/>
    <x v="12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43220552"/>
    <x v="12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43220552"/>
    <x v="12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43220552"/>
    <x v="12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50239681"/>
    <x v="12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BNS"/>
  </r>
  <r>
    <s v="#20260413050239681"/>
    <x v="12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050419935"/>
    <x v="12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13061159115"/>
    <x v="12"/>
    <x v="0"/>
    <x v="60"/>
    <x v="60"/>
    <m/>
    <m/>
    <s v="外部"/>
    <x v="0"/>
    <x v="0"/>
    <s v="C0033-0000"/>
    <n v="525"/>
    <s v="商品"/>
    <n v="2"/>
    <n v="0"/>
    <s v="513261"/>
    <s v="團團購"/>
    <n v="1050"/>
    <s v="周邊商品"/>
    <s v="AD2"/>
  </r>
  <r>
    <s v="#20260413061159115"/>
    <x v="12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13064740186"/>
    <x v="12"/>
    <x v="0"/>
    <x v="71"/>
    <x v="70"/>
    <m/>
    <m/>
    <s v="外部"/>
    <x v="0"/>
    <x v="0"/>
    <s v="C0033-0000"/>
    <n v="2100"/>
    <s v="商品"/>
    <n v="1"/>
    <n v="0"/>
    <s v="513300"/>
    <s v="進階版編輯"/>
    <n v="2100"/>
    <s v="Mirafeel"/>
    <s v="AD2"/>
  </r>
  <r>
    <s v="#20260413070013093"/>
    <x v="12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3070013093"/>
    <x v="12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72350454"/>
    <x v="12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3072350454"/>
    <x v="12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073307154"/>
    <x v="12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13080723063"/>
    <x v="12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13080723063"/>
    <x v="12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3080723063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114840884"/>
    <x v="1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3114840884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131257805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31257805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42817725"/>
    <x v="12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BNS"/>
  </r>
  <r>
    <s v="#20260413142817725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43348438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43348438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43440086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43440086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44545819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3144545819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150743203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50743203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51738168"/>
    <x v="1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3151738168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3152824770"/>
    <x v="12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3152824770"/>
    <x v="12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52824770"/>
    <x v="12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54415909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54415909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55646524"/>
    <x v="12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55646524"/>
    <x v="1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60423963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3160423963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65537762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3165537762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3173718028"/>
    <x v="13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3173718028"/>
    <x v="1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3173718028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3173718028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3718028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3718028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529707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3175529707"/>
    <x v="13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3175529707"/>
    <x v="13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529707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529707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529707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715007"/>
    <x v="1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KOL"/>
  </r>
  <r>
    <s v="#20260413175715007"/>
    <x v="13"/>
    <x v="0"/>
    <x v="88"/>
    <x v="84"/>
    <m/>
    <m/>
    <s v="外部"/>
    <x v="0"/>
    <x v="0"/>
    <s v="C0033-0000"/>
    <n v="1599"/>
    <s v="商品"/>
    <n v="1"/>
    <n v="0"/>
    <s v="510002"/>
    <s v="品牌授權"/>
    <n v="1599"/>
    <s v="周邊商品"/>
    <s v="KOL"/>
  </r>
  <r>
    <s v="#20260413175715007"/>
    <x v="13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715007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175715007"/>
    <x v="13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3225506544"/>
    <x v="1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3225506544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3230531721"/>
    <x v="13"/>
    <x v="0"/>
    <x v="49"/>
    <x v="49"/>
    <m/>
    <m/>
    <s v="外部"/>
    <x v="0"/>
    <x v="0"/>
    <s v="C0033-0000"/>
    <n v="399"/>
    <s v="商品"/>
    <n v="3"/>
    <n v="0"/>
    <s v="513100"/>
    <s v="周邊編輯"/>
    <n v="1197"/>
    <s v="周邊商品"/>
    <s v=""/>
  </r>
  <r>
    <s v="#20260413230531721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3230925477"/>
    <x v="13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13230925477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4003857001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4003857001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05804630"/>
    <x v="13"/>
    <x v="0"/>
    <x v="14"/>
    <x v="110"/>
    <m/>
    <m/>
    <s v="團購"/>
    <x v="1"/>
    <x v="3"/>
    <s v="C0033-0042"/>
    <n v="2100"/>
    <s v="商品"/>
    <n v="2"/>
    <n v="0"/>
    <s v="513300"/>
    <s v="進階版編輯"/>
    <n v="4200"/>
    <s v="Mirafeel"/>
    <s v="AD2"/>
  </r>
  <r>
    <s v="#20260414005804630"/>
    <x v="13"/>
    <x v="0"/>
    <x v="71"/>
    <x v="137"/>
    <m/>
    <m/>
    <s v="團購"/>
    <x v="1"/>
    <x v="3"/>
    <s v="C0033-0042"/>
    <n v="2100"/>
    <s v="商品"/>
    <n v="1"/>
    <n v="0"/>
    <s v="513300"/>
    <s v="進階版編輯"/>
    <n v="2100"/>
    <s v="Mirafeel"/>
    <s v="AD2"/>
  </r>
  <r>
    <s v="#20260414021543803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BNS"/>
  </r>
  <r>
    <s v="#20260414021543803"/>
    <x v="1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14021543803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23543803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23543803"/>
    <x v="13"/>
    <x v="0"/>
    <x v="32"/>
    <x v="32"/>
    <m/>
    <m/>
    <s v="外部"/>
    <x v="0"/>
    <x v="0"/>
    <s v="C0033-0000"/>
    <n v="750"/>
    <s v="商品"/>
    <n v="1"/>
    <n v="0"/>
    <s v="510002"/>
    <s v="品牌授權"/>
    <n v="750"/>
    <s v="周邊商品"/>
    <s v="BNS"/>
  </r>
  <r>
    <s v="#20260414023543803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25137963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25137963"/>
    <x v="13"/>
    <x v="0"/>
    <x v="50"/>
    <x v="50"/>
    <m/>
    <m/>
    <s v="外部"/>
    <x v="0"/>
    <x v="0"/>
    <s v="C0033-0000"/>
    <n v="350"/>
    <s v="商品"/>
    <n v="1"/>
    <n v="0"/>
    <s v="513300"/>
    <s v="進階版編輯"/>
    <n v="350"/>
    <s v="Mirafeel"/>
    <s v="BNS"/>
  </r>
  <r>
    <s v="#20260414025137963"/>
    <x v="13"/>
    <x v="0"/>
    <x v="128"/>
    <x v="138"/>
    <m/>
    <m/>
    <s v="外部"/>
    <x v="0"/>
    <x v="0"/>
    <s v="C0033-0000"/>
    <n v="600"/>
    <s v="商品"/>
    <n v="1"/>
    <n v="0"/>
    <s v="513300"/>
    <s v="進階版編輯"/>
    <n v="600"/>
    <s v="Mirafeel"/>
    <s v="BNS"/>
  </r>
  <r>
    <s v="#20260414025137963"/>
    <x v="13"/>
    <x v="0"/>
    <x v="50"/>
    <x v="50"/>
    <m/>
    <m/>
    <s v="外部"/>
    <x v="0"/>
    <x v="0"/>
    <s v="C0033-0000"/>
    <n v="350"/>
    <s v="商品"/>
    <n v="1"/>
    <n v="0"/>
    <s v="513300"/>
    <s v="進階版編輯"/>
    <n v="350"/>
    <s v="Mirafeel"/>
    <s v="BNS"/>
  </r>
  <r>
    <s v="#20260414025137963"/>
    <x v="13"/>
    <x v="0"/>
    <x v="51"/>
    <x v="51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25137963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31904332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31904332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33759315"/>
    <x v="13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14033759315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4034249747"/>
    <x v="13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AD2"/>
  </r>
  <r>
    <s v="#20260414034249747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4035719039"/>
    <x v="13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4035719039"/>
    <x v="13"/>
    <x v="0"/>
    <x v="13"/>
    <x v="105"/>
    <m/>
    <m/>
    <s v="團購"/>
    <x v="1"/>
    <x v="1"/>
    <s v="C0033-0049"/>
    <n v="4800"/>
    <s v="商品"/>
    <n v="1"/>
    <n v="0"/>
    <s v="512105"/>
    <s v="英語編輯"/>
    <n v="4800"/>
    <s v="學習"/>
    <s v="KOL"/>
  </r>
  <r>
    <s v="#20260414035719039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35719039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35719039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40336359"/>
    <x v="13"/>
    <x v="0"/>
    <x v="21"/>
    <x v="21"/>
    <m/>
    <m/>
    <s v="外部"/>
    <x v="0"/>
    <x v="0"/>
    <s v="C0033-0000"/>
    <n v="84"/>
    <s v="商品"/>
    <n v="2"/>
    <n v="0"/>
    <s v="513261"/>
    <s v="團團購"/>
    <n v="168"/>
    <s v="周邊商品"/>
    <s v="post"/>
  </r>
  <r>
    <s v="#20260414040336359"/>
    <x v="13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post"/>
  </r>
  <r>
    <s v="#20260414040336359"/>
    <x v="13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post"/>
  </r>
  <r>
    <s v="#20260414040336359"/>
    <x v="13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post"/>
  </r>
  <r>
    <s v="#20260414041722056"/>
    <x v="13"/>
    <x v="0"/>
    <x v="22"/>
    <x v="139"/>
    <m/>
    <m/>
    <s v="外部"/>
    <x v="0"/>
    <x v="0"/>
    <s v="C0033-0000"/>
    <n v="1500"/>
    <s v="商品"/>
    <n v="1"/>
    <n v="0"/>
    <s v="510002"/>
    <s v="品牌授權"/>
    <n v="1500"/>
    <s v="周邊商品"/>
    <s v="post"/>
  </r>
  <r>
    <s v="#20260414041722056"/>
    <x v="13"/>
    <x v="0"/>
    <x v="104"/>
    <x v="107"/>
    <m/>
    <m/>
    <s v="外部"/>
    <x v="0"/>
    <x v="0"/>
    <s v="C0033-0000"/>
    <n v="199"/>
    <s v="商品"/>
    <n v="2"/>
    <n v="0"/>
    <s v="510002"/>
    <s v="品牌授權"/>
    <n v="398"/>
    <s v="周邊商品"/>
    <s v="post"/>
  </r>
  <r>
    <s v="#20260414041722056"/>
    <x v="13"/>
    <x v="0"/>
    <x v="110"/>
    <x v="114"/>
    <m/>
    <m/>
    <s v="外部"/>
    <x v="0"/>
    <x v="0"/>
    <s v="C0033-0000"/>
    <n v="304"/>
    <s v="商品"/>
    <n v="3"/>
    <n v="0"/>
    <s v="510002"/>
    <s v="品牌授權"/>
    <n v="912"/>
    <s v="周邊商品"/>
    <s v="post"/>
  </r>
  <r>
    <s v="#20260414041722056"/>
    <x v="13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4041722056"/>
    <x v="13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4041722056"/>
    <x v="13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4041722056"/>
    <x v="13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4041722056"/>
    <x v="13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4051923469"/>
    <x v="13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KOL"/>
  </r>
  <r>
    <s v="#20260414051923469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52350456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52350456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52515615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post"/>
  </r>
  <r>
    <s v="#20260414052515615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4060635453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60635453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62707951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62707951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65645519"/>
    <x v="13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4065645519"/>
    <x v="13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KOL"/>
  </r>
  <r>
    <s v="#20260414065645519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70037261"/>
    <x v="13"/>
    <x v="0"/>
    <x v="65"/>
    <x v="64"/>
    <m/>
    <m/>
    <s v="外部"/>
    <x v="0"/>
    <x v="0"/>
    <s v="C0033-0000"/>
    <n v="699"/>
    <s v="商品"/>
    <n v="1"/>
    <n v="0"/>
    <s v="510002"/>
    <s v="品牌授權"/>
    <n v="699"/>
    <s v="周邊商品"/>
    <s v=""/>
  </r>
  <r>
    <s v="#20260414070258816"/>
    <x v="13"/>
    <x v="0"/>
    <x v="103"/>
    <x v="106"/>
    <m/>
    <m/>
    <s v="外部"/>
    <x v="0"/>
    <x v="0"/>
    <s v="C0033-0000"/>
    <n v="599"/>
    <s v="商品"/>
    <n v="1"/>
    <n v="0"/>
    <s v="510002"/>
    <s v="品牌授權"/>
    <n v="599"/>
    <s v="周邊商品"/>
    <s v=""/>
  </r>
  <r>
    <s v="#20260414070258816"/>
    <x v="13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14070258816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4071417923"/>
    <x v="13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14071417923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4072608266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4072608266"/>
    <x v="13"/>
    <x v="0"/>
    <x v="31"/>
    <x v="31"/>
    <m/>
    <m/>
    <s v="外部"/>
    <x v="0"/>
    <x v="0"/>
    <s v="C0033-0000"/>
    <n v="750"/>
    <s v="商品"/>
    <n v="1"/>
    <n v="0"/>
    <s v="510002"/>
    <s v="品牌授權"/>
    <n v="750"/>
    <s v="周邊商品"/>
    <s v=""/>
  </r>
  <r>
    <s v="#20260414072608266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4074428998"/>
    <x v="13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BNS"/>
  </r>
  <r>
    <s v="#20260414074428998"/>
    <x v="13"/>
    <x v="0"/>
    <x v="129"/>
    <x v="55"/>
    <m/>
    <m/>
    <s v="外部"/>
    <x v="0"/>
    <x v="0"/>
    <s v="C0033-0000"/>
    <n v="399"/>
    <s v="商品"/>
    <n v="1"/>
    <n v="0"/>
    <s v="510015"/>
    <s v="舞台劇"/>
    <n v="399"/>
    <s v="周邊商品"/>
    <s v="BNS"/>
  </r>
  <r>
    <s v="#20260414074428998"/>
    <x v="13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74428998"/>
    <x v="13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82214500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82214500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83646528"/>
    <x v="13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4083646528"/>
    <x v="13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4083646528"/>
    <x v="13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4083646528"/>
    <x v="13"/>
    <x v="0"/>
    <x v="49"/>
    <x v="129"/>
    <m/>
    <m/>
    <s v="團購"/>
    <x v="1"/>
    <x v="1"/>
    <s v="C0033-0049"/>
    <n v="520"/>
    <s v="商品"/>
    <n v="1"/>
    <n v="0"/>
    <s v="513100"/>
    <s v="周邊編輯"/>
    <n v="520"/>
    <s v="周邊商品"/>
    <s v="KOL"/>
  </r>
  <r>
    <s v="#20260414083646528"/>
    <x v="13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3646528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3646528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3646528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3646528"/>
    <x v="13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5118827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4085118827"/>
    <x v="13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4085118827"/>
    <x v="13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5118827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5118827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85118827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90126886"/>
    <x v="13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4090126886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090617323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090617323"/>
    <x v="13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BNS"/>
  </r>
  <r>
    <s v="#20260414090617323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095239683"/>
    <x v="13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4095239683"/>
    <x v="13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4095239683"/>
    <x v="13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4095239683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4111423963"/>
    <x v="13"/>
    <x v="0"/>
    <x v="14"/>
    <x v="110"/>
    <m/>
    <m/>
    <s v="團購"/>
    <x v="1"/>
    <x v="3"/>
    <s v="C0033-0042"/>
    <n v="2100"/>
    <s v="商品"/>
    <n v="3"/>
    <n v="0"/>
    <s v="513300"/>
    <s v="進階版編輯"/>
    <n v="6300"/>
    <s v="Mirafeel"/>
    <s v="KOC"/>
  </r>
  <r>
    <s v="#20260414111423963"/>
    <x v="13"/>
    <x v="0"/>
    <x v="71"/>
    <x v="137"/>
    <m/>
    <m/>
    <s v="團購"/>
    <x v="1"/>
    <x v="3"/>
    <s v="C0033-0042"/>
    <n v="2100"/>
    <s v="商品"/>
    <n v="1"/>
    <n v="0"/>
    <s v="513300"/>
    <s v="進階版編輯"/>
    <n v="2100"/>
    <s v="Mirafeel"/>
    <s v="KOC"/>
  </r>
  <r>
    <s v="#20260414114940584"/>
    <x v="1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4114940584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4120437063"/>
    <x v="13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4120437063"/>
    <x v="13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4120437063"/>
    <x v="13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4120437063"/>
    <x v="13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20437063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20437063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20437063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33638472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4133638472"/>
    <x v="1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4133638472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35009069"/>
    <x v="1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FBAD"/>
  </r>
  <r>
    <s v="#20260414135009069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4135451159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AD2"/>
  </r>
  <r>
    <s v="#20260414135451159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4142402822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BNS"/>
  </r>
  <r>
    <s v="#20260414142402822"/>
    <x v="1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14142402822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142804634"/>
    <x v="13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4142804634"/>
    <x v="13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4142804634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42804634"/>
    <x v="13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42804634"/>
    <x v="13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42804634"/>
    <x v="13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50012086"/>
    <x v="1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4150012086"/>
    <x v="13"/>
    <x v="0"/>
    <x v="95"/>
    <x v="91"/>
    <m/>
    <m/>
    <s v="外部"/>
    <x v="0"/>
    <x v="0"/>
    <s v="C0033-0000"/>
    <n v="799"/>
    <s v="商品"/>
    <n v="1"/>
    <n v="0"/>
    <s v="510002"/>
    <s v="品牌授權"/>
    <n v="799"/>
    <s v="周邊商品"/>
    <s v="AD2"/>
  </r>
  <r>
    <s v="#20260414150012086"/>
    <x v="13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14150012086"/>
    <x v="13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14150012086"/>
    <x v="1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4155120844"/>
    <x v="13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4155120844"/>
    <x v="13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2125877"/>
    <x v="14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4162125877"/>
    <x v="14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4162125877"/>
    <x v="14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4162125877"/>
    <x v="14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2125877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2125877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2125877"/>
    <x v="14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2125877"/>
    <x v="14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2125877"/>
    <x v="14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4163503525"/>
    <x v="14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163503525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173501509"/>
    <x v="14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ads"/>
  </r>
  <r>
    <s v="#20260414173501509"/>
    <x v="14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ads"/>
  </r>
  <r>
    <s v="#20260414173501509"/>
    <x v="14"/>
    <x v="0"/>
    <x v="74"/>
    <x v="72"/>
    <m/>
    <m/>
    <s v="外部"/>
    <x v="0"/>
    <x v="0"/>
    <s v="C0033-0000"/>
    <n v="30"/>
    <s v="商品"/>
    <n v="2"/>
    <n v="0"/>
    <s v="513300"/>
    <s v="進階版編輯"/>
    <n v="60"/>
    <s v="Mirafeel"/>
    <s v="ads"/>
  </r>
  <r>
    <s v="#20260414173501509"/>
    <x v="14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ads"/>
  </r>
  <r>
    <s v="#20260414173501509"/>
    <x v="14"/>
    <x v="0"/>
    <x v="104"/>
    <x v="107"/>
    <m/>
    <m/>
    <s v="外部"/>
    <x v="0"/>
    <x v="0"/>
    <s v="C0033-0000"/>
    <n v="199"/>
    <s v="商品"/>
    <n v="1"/>
    <n v="0"/>
    <s v="510002"/>
    <s v="品牌授權"/>
    <n v="199"/>
    <s v="周邊商品"/>
    <s v="ads"/>
  </r>
  <r>
    <s v="#20260414173501509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s"/>
  </r>
  <r>
    <s v="#20260414175522656"/>
    <x v="14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14175522656"/>
    <x v="14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175522656"/>
    <x v="14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BNS"/>
  </r>
  <r>
    <s v="#20260414175522656"/>
    <x v="14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14175522656"/>
    <x v="14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14175522656"/>
    <x v="14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BNS"/>
  </r>
  <r>
    <s v="#20260414175522656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175522656"/>
    <x v="14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4194833833"/>
    <x v="14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4194833833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5004955687"/>
    <x v="14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5004955687"/>
    <x v="14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5004955687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011513597"/>
    <x v="14"/>
    <x v="0"/>
    <x v="49"/>
    <x v="49"/>
    <m/>
    <m/>
    <s v="外部"/>
    <x v="0"/>
    <x v="0"/>
    <s v="C0033-0000"/>
    <n v="399"/>
    <s v="商品"/>
    <n v="2"/>
    <n v="0"/>
    <s v="513100"/>
    <s v="周邊編輯"/>
    <n v="798"/>
    <s v="周邊商品"/>
    <s v="BNS"/>
  </r>
  <r>
    <s v="#20260415011513597"/>
    <x v="14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BNS"/>
  </r>
  <r>
    <s v="#20260415011513597"/>
    <x v="14"/>
    <x v="0"/>
    <x v="62"/>
    <x v="61"/>
    <m/>
    <m/>
    <s v="外部"/>
    <x v="0"/>
    <x v="0"/>
    <s v="C0033-0000"/>
    <n v="20"/>
    <s v="商品"/>
    <n v="1"/>
    <n v="0"/>
    <s v="513261"/>
    <s v="團團購"/>
    <n v="20"/>
    <s v="周邊商品"/>
    <s v="BNS"/>
  </r>
  <r>
    <s v="#20260415011513597"/>
    <x v="14"/>
    <x v="0"/>
    <x v="61"/>
    <x v="61"/>
    <m/>
    <m/>
    <s v="外部"/>
    <x v="0"/>
    <x v="0"/>
    <s v="C0033-0000"/>
    <n v="20"/>
    <s v="商品"/>
    <n v="1"/>
    <n v="0"/>
    <s v="513261"/>
    <s v="團團購"/>
    <n v="20"/>
    <s v="周邊商品"/>
    <s v="BNS"/>
  </r>
  <r>
    <s v="#20260415011513597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5011620342"/>
    <x v="1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5011620342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22645521"/>
    <x v="14"/>
    <x v="0"/>
    <x v="130"/>
    <x v="140"/>
    <m/>
    <m/>
    <s v="外部"/>
    <x v="0"/>
    <x v="0"/>
    <s v="C0033-0000"/>
    <n v="1250"/>
    <s v="商品"/>
    <n v="1"/>
    <n v="0"/>
    <s v="513100"/>
    <s v="周邊編輯"/>
    <n v="1250"/>
    <s v="學習"/>
    <s v=""/>
  </r>
  <r>
    <s v="#20260415022645521"/>
    <x v="14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15023849945"/>
    <x v="14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5023849945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35526686"/>
    <x v="14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15035526686"/>
    <x v="14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5035526686"/>
    <x v="14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5035526686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40425991"/>
    <x v="1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5040425991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41414904"/>
    <x v="1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5041414904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41501512"/>
    <x v="14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5041501512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044601209"/>
    <x v="14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5044601209"/>
    <x v="14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BNS"/>
  </r>
  <r>
    <s v="#20260415044601209"/>
    <x v="14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BNS"/>
  </r>
  <r>
    <s v="#20260415044601209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5044654584"/>
    <x v="14"/>
    <x v="0"/>
    <x v="79"/>
    <x v="75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415044654584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54910376"/>
    <x v="14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5054910376"/>
    <x v="14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5054910376"/>
    <x v="14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KOL"/>
  </r>
  <r>
    <s v="#20260415054910376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054910376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064122856"/>
    <x v="1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FBAD"/>
  </r>
  <r>
    <s v="#20260415064122856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5064830814"/>
    <x v="14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15064830814"/>
    <x v="14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5064830814"/>
    <x v="14"/>
    <x v="0"/>
    <x v="131"/>
    <x v="141"/>
    <m/>
    <m/>
    <s v="外部"/>
    <x v="0"/>
    <x v="0"/>
    <s v="C0033-0000"/>
    <n v="1199"/>
    <s v="商品"/>
    <n v="1"/>
    <n v="0"/>
    <s v="510002"/>
    <s v="品牌授權"/>
    <n v="1199"/>
    <s v="周邊商品"/>
    <s v=""/>
  </r>
  <r>
    <s v="#20260415064830814"/>
    <x v="14"/>
    <x v="0"/>
    <x v="124"/>
    <x v="133"/>
    <m/>
    <m/>
    <s v="外部"/>
    <x v="0"/>
    <x v="0"/>
    <s v="C0033-0000"/>
    <n v="200"/>
    <s v="商品"/>
    <n v="1"/>
    <n v="0"/>
    <s v="510002"/>
    <s v="品牌授權"/>
    <n v="200"/>
    <s v="周邊商品"/>
    <s v=""/>
  </r>
  <r>
    <s v="#20260415064830814"/>
    <x v="14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5064830814"/>
    <x v="14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64830814"/>
    <x v="14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64830814"/>
    <x v="14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70402816"/>
    <x v="14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5070402816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070402816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074923467"/>
    <x v="14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15074923467"/>
    <x v="14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15074923467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082323275"/>
    <x v="14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15082323275"/>
    <x v="14"/>
    <x v="0"/>
    <x v="72"/>
    <x v="71"/>
    <m/>
    <m/>
    <s v="外部"/>
    <x v="0"/>
    <x v="0"/>
    <s v="C0033-0000"/>
    <n v="239"/>
    <s v="商品"/>
    <n v="1"/>
    <n v="0"/>
    <s v="513261"/>
    <s v="團團購"/>
    <n v="239"/>
    <s v="周邊商品"/>
    <s v=""/>
  </r>
  <r>
    <s v="#20260415083951661"/>
    <x v="14"/>
    <x v="0"/>
    <x v="52"/>
    <x v="52"/>
    <m/>
    <m/>
    <s v="外部"/>
    <x v="0"/>
    <x v="0"/>
    <s v="C0033-0000"/>
    <n v="252"/>
    <s v="商品"/>
    <n v="1"/>
    <n v="0"/>
    <s v="513261"/>
    <s v="團團購"/>
    <n v="252"/>
    <s v="周邊商品"/>
    <s v="BNS"/>
  </r>
  <r>
    <s v="#20260415083951661"/>
    <x v="14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BNS"/>
  </r>
  <r>
    <s v="#20260415083951661"/>
    <x v="14"/>
    <x v="0"/>
    <x v="53"/>
    <x v="53"/>
    <m/>
    <m/>
    <s v="外部"/>
    <x v="0"/>
    <x v="0"/>
    <s v="C0033-0000"/>
    <n v="175"/>
    <s v="商品"/>
    <n v="1"/>
    <n v="0"/>
    <s v="513261"/>
    <s v="團團購"/>
    <n v="175"/>
    <s v="周邊商品"/>
    <s v="BNS"/>
  </r>
  <r>
    <s v="#20260415083951661"/>
    <x v="14"/>
    <x v="0"/>
    <x v="47"/>
    <x v="47"/>
    <m/>
    <m/>
    <s v="外部"/>
    <x v="0"/>
    <x v="0"/>
    <s v="C0033-0000"/>
    <n v="399"/>
    <s v="商品"/>
    <n v="1"/>
    <n v="0"/>
    <s v="510002"/>
    <s v="品牌授權"/>
    <n v="399"/>
    <s v="周邊商品"/>
    <s v="BNS"/>
  </r>
  <r>
    <s v="#20260415083951661"/>
    <x v="14"/>
    <x v="0"/>
    <x v="125"/>
    <x v="134"/>
    <m/>
    <m/>
    <s v="外部"/>
    <x v="0"/>
    <x v="0"/>
    <s v="C0033-0000"/>
    <n v="273"/>
    <s v="商品"/>
    <n v="1"/>
    <n v="0"/>
    <s v="513261"/>
    <s v="團團購"/>
    <n v="273"/>
    <s v="周邊商品"/>
    <s v="BNS"/>
  </r>
  <r>
    <s v="#20260415094533733"/>
    <x v="1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5094533733"/>
    <x v="14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5094533733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00911383"/>
    <x v="1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5100911383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01959717"/>
    <x v="14"/>
    <x v="0"/>
    <x v="31"/>
    <x v="31"/>
    <m/>
    <m/>
    <s v="外部"/>
    <x v="0"/>
    <x v="0"/>
    <s v="C0033-0000"/>
    <n v="750"/>
    <s v="商品"/>
    <n v="1"/>
    <n v="0"/>
    <s v="510002"/>
    <s v="品牌授權"/>
    <n v="750"/>
    <s v="周邊商品"/>
    <s v="BNS"/>
  </r>
  <r>
    <s v="#20260415103403831"/>
    <x v="14"/>
    <x v="0"/>
    <x v="88"/>
    <x v="84"/>
    <m/>
    <m/>
    <s v="外部"/>
    <x v="0"/>
    <x v="0"/>
    <s v="C0033-0000"/>
    <n v="1599"/>
    <s v="商品"/>
    <n v="1"/>
    <n v="0"/>
    <s v="510002"/>
    <s v="品牌授權"/>
    <n v="1599"/>
    <s v="周邊商品"/>
    <s v="BNS"/>
  </r>
  <r>
    <s v="#20260415103403831"/>
    <x v="14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5103403831"/>
    <x v="14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5113417923"/>
    <x v="14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5113417923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13821753"/>
    <x v="14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15113821753"/>
    <x v="14"/>
    <x v="0"/>
    <x v="87"/>
    <x v="83"/>
    <m/>
    <m/>
    <s v="外部"/>
    <x v="0"/>
    <x v="0"/>
    <s v="C0033-0000"/>
    <n v="160"/>
    <s v="加購品"/>
    <n v="1"/>
    <n v="0"/>
    <s v="513261"/>
    <s v="團團購"/>
    <n v="160"/>
    <s v="周邊商品"/>
    <s v="AD2"/>
  </r>
  <r>
    <s v="#20260415113821753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5115004031"/>
    <x v="14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5115004031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22000006"/>
    <x v="14"/>
    <x v="0"/>
    <x v="105"/>
    <x v="117"/>
    <m/>
    <m/>
    <s v="團購"/>
    <x v="1"/>
    <x v="3"/>
    <s v="C0033-0042"/>
    <n v="2800"/>
    <s v="商品"/>
    <n v="3"/>
    <n v="0"/>
    <s v="513300"/>
    <s v="進階版編輯"/>
    <n v="8400"/>
    <s v="Mirafeel"/>
    <s v="KOC"/>
  </r>
  <r>
    <s v="#20260415124217525"/>
    <x v="14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5124217525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24350452"/>
    <x v="14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5124350452"/>
    <x v="14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5124350452"/>
    <x v="14"/>
    <x v="0"/>
    <x v="46"/>
    <x v="142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5124350452"/>
    <x v="14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4350452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4350452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4350452"/>
    <x v="14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4350452"/>
    <x v="14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5112786"/>
    <x v="14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5125112786"/>
    <x v="14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"/>
  </r>
  <r>
    <s v="#20260415125112786"/>
    <x v="14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5125112786"/>
    <x v="14"/>
    <x v="0"/>
    <x v="49"/>
    <x v="129"/>
    <m/>
    <m/>
    <s v="團購"/>
    <x v="1"/>
    <x v="1"/>
    <s v="C0033-0049"/>
    <n v="520"/>
    <s v="商品"/>
    <n v="1"/>
    <n v="0"/>
    <s v="513100"/>
    <s v="周邊編輯"/>
    <n v="520"/>
    <s v="周邊商品"/>
    <s v=""/>
  </r>
  <r>
    <s v="#20260415125112786"/>
    <x v="14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5112786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5112786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5112786"/>
    <x v="14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25112786"/>
    <x v="14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31218527"/>
    <x v="14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AD2"/>
  </r>
  <r>
    <s v="#20260415140734140"/>
    <x v="14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5140734140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0734140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0858010"/>
    <x v="14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5140858010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2147031"/>
    <x v="14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15142147031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5144210476"/>
    <x v="1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5144210476"/>
    <x v="1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5144411879"/>
    <x v="14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5144411879"/>
    <x v="14"/>
    <x v="0"/>
    <x v="111"/>
    <x v="120"/>
    <m/>
    <m/>
    <s v="團購"/>
    <x v="1"/>
    <x v="1"/>
    <s v="C0033-0049"/>
    <n v="699"/>
    <s v="商品"/>
    <n v="1"/>
    <n v="0"/>
    <s v="510002"/>
    <s v="品牌授權"/>
    <n v="699"/>
    <s v="周邊商品"/>
    <s v="KOL"/>
  </r>
  <r>
    <s v="#20260415144411879"/>
    <x v="14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5144411879"/>
    <x v="14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5144411879"/>
    <x v="14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4411879"/>
    <x v="14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4411879"/>
    <x v="14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4411879"/>
    <x v="14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4411879"/>
    <x v="14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44411879"/>
    <x v="14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54812686"/>
    <x v="14"/>
    <x v="0"/>
    <x v="14"/>
    <x v="14"/>
    <m/>
    <m/>
    <s v="外部"/>
    <x v="0"/>
    <x v="0"/>
    <s v="C0033-0000"/>
    <n v="2100"/>
    <s v="商品"/>
    <n v="3"/>
    <n v="0"/>
    <s v="513300"/>
    <s v="進階版編輯"/>
    <n v="6300"/>
    <s v="Mirafeel"/>
    <s v=""/>
  </r>
  <r>
    <s v="#20260415160444112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516044411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63258814"/>
    <x v="1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5163258814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1516325881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5171939575"/>
    <x v="15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15171939575"/>
    <x v="15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15180757301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5180757301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5180757301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5180757301"/>
    <x v="15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KOL"/>
  </r>
  <r>
    <s v="#20260415180757301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80757301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80757301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80757301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180757301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5211652566"/>
    <x v="15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5211652566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00740182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"/>
  </r>
  <r>
    <s v="#20260416000740182"/>
    <x v="15"/>
    <x v="0"/>
    <x v="13"/>
    <x v="105"/>
    <m/>
    <m/>
    <s v="團購"/>
    <x v="1"/>
    <x v="1"/>
    <s v="C0033-0049"/>
    <n v="4800"/>
    <s v="商品"/>
    <n v="1"/>
    <n v="0"/>
    <s v="512105"/>
    <s v="英語編輯"/>
    <n v="4800"/>
    <s v="學習"/>
    <s v=""/>
  </r>
  <r>
    <s v="#20260416000740182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"/>
  </r>
  <r>
    <s v="#2026041600074018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00740182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00740182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00740182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00740182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12637465"/>
    <x v="15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6012637465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14906344"/>
    <x v="1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"/>
  </r>
  <r>
    <s v="#2026041601490634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6015959715"/>
    <x v="15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16015959715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020733134"/>
    <x v="15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system"/>
  </r>
  <r>
    <s v="#2026041602073313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system"/>
  </r>
  <r>
    <s v="#20260416023510574"/>
    <x v="1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6023510574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6023510574"/>
    <x v="15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1602351057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30024170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BNS"/>
  </r>
  <r>
    <s v="#20260416030024170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32841891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"/>
  </r>
  <r>
    <s v="#20260416032841891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6032841891"/>
    <x v="15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32841891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32841891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32841891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40606244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"/>
  </r>
  <r>
    <s v="#2026041604060624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40606244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41839883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"/>
  </r>
  <r>
    <s v="#20260416041839883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"/>
  </r>
  <r>
    <s v="#20260416041839883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41839883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41839883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54124874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605412487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054531721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BNS"/>
  </r>
  <r>
    <s v="#20260416054531721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62439074"/>
    <x v="15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1606243907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6062843911"/>
    <x v="1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6062843911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63708962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606370896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071756296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6071756296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6071756296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072920442"/>
    <x v="15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BNS"/>
  </r>
  <r>
    <s v="#20260416072920442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75558911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6075558911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6075558911"/>
    <x v="15"/>
    <x v="0"/>
    <x v="13"/>
    <x v="105"/>
    <m/>
    <m/>
    <s v="團購"/>
    <x v="1"/>
    <x v="1"/>
    <s v="C0033-0049"/>
    <n v="4800"/>
    <s v="商品"/>
    <n v="1"/>
    <n v="0"/>
    <s v="512105"/>
    <s v="英語編輯"/>
    <n v="4800"/>
    <s v="學習"/>
    <s v=""/>
  </r>
  <r>
    <s v="#20260416075558911"/>
    <x v="15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"/>
  </r>
  <r>
    <s v="#20260416075558911"/>
    <x v="15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75558911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75558911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75558911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75558911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75558911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85229605"/>
    <x v="15"/>
    <x v="0"/>
    <x v="43"/>
    <x v="43"/>
    <m/>
    <m/>
    <s v="外部"/>
    <x v="0"/>
    <x v="0"/>
    <s v="C0033-0000"/>
    <n v="299"/>
    <s v="商品"/>
    <n v="2"/>
    <n v="0"/>
    <s v="513261"/>
    <s v="團團購"/>
    <n v="598"/>
    <s v="周邊商品"/>
    <s v="BNS"/>
  </r>
  <r>
    <s v="#20260416085229605"/>
    <x v="15"/>
    <x v="0"/>
    <x v="122"/>
    <x v="131"/>
    <m/>
    <m/>
    <s v="外部"/>
    <x v="0"/>
    <x v="0"/>
    <s v="C0033-0000"/>
    <n v="899"/>
    <s v="商品"/>
    <n v="1"/>
    <n v="0"/>
    <s v="510002"/>
    <s v="品牌授權"/>
    <n v="899"/>
    <s v="周邊商品"/>
    <s v="BNS"/>
  </r>
  <r>
    <s v="#20260416085229605"/>
    <x v="15"/>
    <x v="0"/>
    <x v="110"/>
    <x v="114"/>
    <m/>
    <m/>
    <s v="外部"/>
    <x v="0"/>
    <x v="0"/>
    <s v="C0033-0000"/>
    <n v="304"/>
    <s v="商品"/>
    <n v="1"/>
    <n v="0"/>
    <s v="510002"/>
    <s v="品牌授權"/>
    <n v="304"/>
    <s v="周邊商品"/>
    <s v="BNS"/>
  </r>
  <r>
    <s v="#20260416085229605"/>
    <x v="15"/>
    <x v="0"/>
    <x v="15"/>
    <x v="15"/>
    <m/>
    <m/>
    <s v="外部"/>
    <x v="0"/>
    <x v="0"/>
    <s v="C0033-0000"/>
    <n v="199"/>
    <s v="商品"/>
    <n v="1"/>
    <n v="0"/>
    <s v="513261"/>
    <s v="團團購"/>
    <n v="199"/>
    <s v="周邊商品"/>
    <s v="BNS"/>
  </r>
  <r>
    <s v="#20260416085229605"/>
    <x v="15"/>
    <x v="0"/>
    <x v="121"/>
    <x v="130"/>
    <m/>
    <m/>
    <s v="外部"/>
    <x v="0"/>
    <x v="0"/>
    <s v="C0033-0000"/>
    <n v="399"/>
    <s v="商品"/>
    <n v="1"/>
    <n v="0"/>
    <s v="510002"/>
    <s v="品牌授權"/>
    <n v="399"/>
    <s v="周邊商品"/>
    <s v="BNS"/>
  </r>
  <r>
    <s v="#20260416085229605"/>
    <x v="15"/>
    <x v="0"/>
    <x v="123"/>
    <x v="132"/>
    <m/>
    <m/>
    <s v="外部"/>
    <x v="0"/>
    <x v="0"/>
    <s v="C0033-0000"/>
    <n v="358"/>
    <s v="商品"/>
    <n v="1"/>
    <n v="0"/>
    <s v="513261"/>
    <s v="團團購"/>
    <n v="358"/>
    <s v="周邊商品"/>
    <s v="BNS"/>
  </r>
  <r>
    <s v="#20260416085229605"/>
    <x v="15"/>
    <x v="0"/>
    <x v="132"/>
    <x v="143"/>
    <m/>
    <m/>
    <s v="外部"/>
    <x v="0"/>
    <x v="0"/>
    <s v="C0033-0000"/>
    <n v="252"/>
    <s v="商品"/>
    <n v="1"/>
    <n v="0"/>
    <s v="513261"/>
    <s v="團團購"/>
    <n v="252"/>
    <s v="周邊商品"/>
    <s v="BNS"/>
  </r>
  <r>
    <s v="#20260416085229605"/>
    <x v="15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BNS"/>
  </r>
  <r>
    <s v="#20260416085229605"/>
    <x v="15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BNS"/>
  </r>
  <r>
    <s v="#20260416085229605"/>
    <x v="15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BNS"/>
  </r>
  <r>
    <s v="#20260416085229605"/>
    <x v="1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85229605"/>
    <x v="15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85229605"/>
    <x v="15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85229605"/>
    <x v="15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0026194"/>
    <x v="15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609002619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2910374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609291037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094238674"/>
    <x v="1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6094238674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4530714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BNS"/>
  </r>
  <r>
    <s v="#20260416094530714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BNS"/>
  </r>
  <r>
    <s v="#20260416094530714"/>
    <x v="15"/>
    <x v="0"/>
    <x v="113"/>
    <x v="119"/>
    <m/>
    <m/>
    <s v="外部"/>
    <x v="0"/>
    <x v="0"/>
    <s v="C0033-0000"/>
    <n v="299"/>
    <s v="加購品"/>
    <n v="1"/>
    <n v="0"/>
    <s v="513100"/>
    <s v="周邊編輯"/>
    <n v="299"/>
    <s v="周邊商品"/>
    <s v="BNS"/>
  </r>
  <r>
    <s v="#20260416094530714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BNS"/>
  </r>
  <r>
    <s v="#2026041609453071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4530714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4530714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4530714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4530714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095028208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6095028208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02318232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"/>
  </r>
  <r>
    <s v="#2026041610231823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02318232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04404830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6104404830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04711979"/>
    <x v="15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KOL"/>
  </r>
  <r>
    <s v="#20260416104711980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6104711980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10829805"/>
    <x v="1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6110829805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15237665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6115237665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"/>
  </r>
  <r>
    <s v="#20260416115237665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15237665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15237665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23914402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612391440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25414900"/>
    <x v="1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Email"/>
  </r>
  <r>
    <s v="#20260416125414900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16125746224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BNS"/>
  </r>
  <r>
    <s v="#2026041612574622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31439077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6131439077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6131439077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32741189"/>
    <x v="15"/>
    <x v="0"/>
    <x v="111"/>
    <x v="120"/>
    <m/>
    <m/>
    <s v="團購"/>
    <x v="1"/>
    <x v="1"/>
    <s v="C0033-0049"/>
    <n v="699"/>
    <s v="商品"/>
    <n v="1"/>
    <n v="0"/>
    <s v="510002"/>
    <s v="品牌授權"/>
    <n v="699"/>
    <s v="周邊商品"/>
    <s v="KOL"/>
  </r>
  <r>
    <s v="#20260416132741189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6132741189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32741189"/>
    <x v="15"/>
    <x v="0"/>
    <x v="5"/>
    <x v="144"/>
    <m/>
    <m/>
    <s v="團購"/>
    <x v="1"/>
    <x v="1"/>
    <s v="C0033-0049"/>
    <n v="999"/>
    <s v="商品"/>
    <n v="1"/>
    <n v="0"/>
    <s v="513100"/>
    <s v="周邊編輯"/>
    <n v="999"/>
    <s v="周邊商品"/>
    <s v="KOL"/>
  </r>
  <r>
    <s v="#20260416132741189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2741189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2741189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2741189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2741189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2808658"/>
    <x v="15"/>
    <x v="0"/>
    <x v="5"/>
    <x v="144"/>
    <m/>
    <m/>
    <s v="團購"/>
    <x v="1"/>
    <x v="1"/>
    <s v="C0033-0049"/>
    <n v="999"/>
    <s v="商品"/>
    <n v="1"/>
    <n v="0"/>
    <s v="513100"/>
    <s v="周邊編輯"/>
    <n v="999"/>
    <s v="周邊商品"/>
    <s v=""/>
  </r>
  <r>
    <s v="#20260416132808658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6132808658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35522656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6135522656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6135522656"/>
    <x v="15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5522656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5522656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35522656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0553873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6140553873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1226588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6141226588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"/>
  </r>
  <r>
    <s v="#20260416141226588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1226588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1415907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6141415907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1442098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6141442098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2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6142010072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6142010072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6142010072"/>
    <x v="15"/>
    <x v="0"/>
    <x v="8"/>
    <x v="145"/>
    <m/>
    <m/>
    <s v="團購"/>
    <x v="1"/>
    <x v="1"/>
    <s v="C0033-0049"/>
    <n v="5199"/>
    <s v="商品"/>
    <n v="1"/>
    <n v="0"/>
    <s v="513100"/>
    <s v="周邊編輯"/>
    <n v="5199"/>
    <s v="周邊商品"/>
    <s v="KOL"/>
  </r>
  <r>
    <s v="#20260416142010072"/>
    <x v="15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2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2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2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2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2010074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"/>
  </r>
  <r>
    <s v="#2026041614201007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2010074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2808660"/>
    <x v="1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6142808660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3012090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43012090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6143012090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3012090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3130914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6143130914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6143130914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43130914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3130914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3130914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4539779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44539779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6144539779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4539779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5241689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6145241689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6145241689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416145241689"/>
    <x v="15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5241689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5241689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5241689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45422958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6145422958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6145422958"/>
    <x v="15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5422958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5422958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45422958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210472"/>
    <x v="15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Geek"/>
  </r>
  <r>
    <s v="#20260416150210472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16150322256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6150322256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6150322256"/>
    <x v="15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0322256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0322256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0322256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0618328"/>
    <x v="15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6150618328"/>
    <x v="15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16150618328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618329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"/>
  </r>
  <r>
    <s v="#20260416150618329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"/>
  </r>
  <r>
    <s v="#20260416150618329"/>
    <x v="15"/>
    <x v="0"/>
    <x v="5"/>
    <x v="144"/>
    <m/>
    <m/>
    <s v="團購"/>
    <x v="1"/>
    <x v="1"/>
    <s v="C0033-0049"/>
    <n v="999"/>
    <s v="商品"/>
    <n v="1"/>
    <n v="0"/>
    <s v="513100"/>
    <s v="周邊編輯"/>
    <n v="999"/>
    <s v="周邊商品"/>
    <s v=""/>
  </r>
  <r>
    <s v="#20260416150618329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"/>
  </r>
  <r>
    <s v="#20260416150618329"/>
    <x v="15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618329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618329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618329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618329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618329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0843907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50843907"/>
    <x v="15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KOL"/>
  </r>
  <r>
    <s v="#20260416150843907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KOL"/>
  </r>
  <r>
    <s v="#20260416150843907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0843907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0843907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1327291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BNS"/>
  </r>
  <r>
    <s v="#20260416151327291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16151327291"/>
    <x v="15"/>
    <x v="0"/>
    <x v="113"/>
    <x v="119"/>
    <m/>
    <m/>
    <s v="外部"/>
    <x v="0"/>
    <x v="0"/>
    <s v="C0033-0000"/>
    <n v="299"/>
    <s v="加購品"/>
    <n v="1"/>
    <n v="0"/>
    <s v="513100"/>
    <s v="周邊編輯"/>
    <n v="299"/>
    <s v="周邊商品"/>
    <s v="BNS"/>
  </r>
  <r>
    <s v="#20260416151327291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BNS"/>
  </r>
  <r>
    <s v="#20260416151327291"/>
    <x v="15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BNS"/>
  </r>
  <r>
    <s v="#20260416151327291"/>
    <x v="15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BNS"/>
  </r>
  <r>
    <s v="#20260416151327291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1327291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1327291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1327291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1327291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1715009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BNS"/>
  </r>
  <r>
    <s v="#20260416151715009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2030214"/>
    <x v="15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"/>
  </r>
  <r>
    <s v="#20260416152045317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"/>
  </r>
  <r>
    <s v="#20260416152045317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6152045317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2045317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2137961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52137961"/>
    <x v="15"/>
    <x v="0"/>
    <x v="111"/>
    <x v="120"/>
    <m/>
    <m/>
    <s v="團購"/>
    <x v="1"/>
    <x v="1"/>
    <s v="C0033-0049"/>
    <n v="699"/>
    <s v="商品"/>
    <n v="1"/>
    <n v="0"/>
    <s v="510002"/>
    <s v="品牌授權"/>
    <n v="699"/>
    <s v="周邊商品"/>
    <s v="KOL"/>
  </r>
  <r>
    <s v="#20260416152137961"/>
    <x v="15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KOL"/>
  </r>
  <r>
    <s v="#20260416152137961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2137961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2137961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229607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6153229607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316216"/>
    <x v="15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KOL"/>
  </r>
  <r>
    <s v="#20260416153316216"/>
    <x v="15"/>
    <x v="0"/>
    <x v="5"/>
    <x v="144"/>
    <m/>
    <m/>
    <s v="團購"/>
    <x v="1"/>
    <x v="1"/>
    <s v="C0033-0049"/>
    <n v="999"/>
    <s v="商品"/>
    <n v="1"/>
    <n v="0"/>
    <s v="513100"/>
    <s v="周邊編輯"/>
    <n v="999"/>
    <s v="周邊商品"/>
    <s v="KOL"/>
  </r>
  <r>
    <s v="#20260416153316216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6153316216"/>
    <x v="15"/>
    <x v="0"/>
    <x v="59"/>
    <x v="99"/>
    <m/>
    <m/>
    <s v="團購"/>
    <x v="1"/>
    <x v="1"/>
    <s v="C0033-0049"/>
    <n v="4299"/>
    <s v="商品"/>
    <n v="1"/>
    <n v="0"/>
    <s v="513100"/>
    <s v="周邊編輯"/>
    <n v="4299"/>
    <s v="學習"/>
    <s v="KOL"/>
  </r>
  <r>
    <s v="#20260416153316216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316216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316216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316216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316216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638470"/>
    <x v="15"/>
    <x v="0"/>
    <x v="4"/>
    <x v="101"/>
    <m/>
    <m/>
    <s v="團購"/>
    <x v="1"/>
    <x v="1"/>
    <s v="C0033-0049"/>
    <n v="2999"/>
    <s v="商品"/>
    <n v="2"/>
    <n v="0"/>
    <s v="513100"/>
    <s v="周邊編輯"/>
    <n v="5998"/>
    <s v="學習"/>
    <s v="KOL"/>
  </r>
  <r>
    <s v="#20260416153638470"/>
    <x v="15"/>
    <x v="0"/>
    <x v="7"/>
    <x v="103"/>
    <m/>
    <m/>
    <s v="團購"/>
    <x v="1"/>
    <x v="1"/>
    <s v="C0033-0049"/>
    <n v="3200"/>
    <s v="商品"/>
    <n v="2"/>
    <n v="0"/>
    <s v="513100"/>
    <s v="周邊編輯"/>
    <n v="6400"/>
    <s v="學習"/>
    <s v="KOL"/>
  </r>
  <r>
    <s v="#20260416153638470"/>
    <x v="15"/>
    <x v="0"/>
    <x v="102"/>
    <x v="104"/>
    <m/>
    <m/>
    <s v="外部"/>
    <x v="0"/>
    <x v="0"/>
    <s v="C0033-0000"/>
    <n v="0"/>
    <s v="贈品"/>
    <n v="0"/>
    <n v="2"/>
    <s v="513200"/>
    <s v="周邊營業"/>
    <n v="0"/>
    <s v="周邊商品"/>
    <s v="KOL"/>
  </r>
  <r>
    <s v="#20260416153638470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638470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638470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638470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638470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3803625"/>
    <x v="15"/>
    <x v="0"/>
    <x v="39"/>
    <x v="102"/>
    <m/>
    <m/>
    <s v="團購"/>
    <x v="1"/>
    <x v="1"/>
    <s v="C0033-0049"/>
    <n v="2199"/>
    <s v="商品"/>
    <n v="1"/>
    <n v="0"/>
    <s v="513100"/>
    <s v="周邊編輯"/>
    <n v="2199"/>
    <s v="學習"/>
    <s v=""/>
  </r>
  <r>
    <s v="#20260416153803625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"/>
  </r>
  <r>
    <s v="#20260416153803625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"/>
  </r>
  <r>
    <s v="#20260416153803625"/>
    <x v="15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3803625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3803625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3803625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54127897"/>
    <x v="15"/>
    <x v="0"/>
    <x v="27"/>
    <x v="27"/>
    <m/>
    <m/>
    <s v="外部"/>
    <x v="0"/>
    <x v="0"/>
    <s v="C0033-0000"/>
    <n v="299"/>
    <s v="商品"/>
    <n v="1"/>
    <n v="0"/>
    <s v="510002"/>
    <s v="品牌授權"/>
    <n v="299"/>
    <s v="周邊商品"/>
    <s v="AD2"/>
  </r>
  <r>
    <s v="#20260416154127898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AD2"/>
  </r>
  <r>
    <s v="#20260416154127898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16154127898"/>
    <x v="15"/>
    <x v="0"/>
    <x v="13"/>
    <x v="105"/>
    <m/>
    <m/>
    <s v="團購"/>
    <x v="1"/>
    <x v="1"/>
    <s v="C0033-0049"/>
    <n v="4800"/>
    <s v="商品"/>
    <n v="1"/>
    <n v="0"/>
    <s v="512105"/>
    <s v="英語編輯"/>
    <n v="4800"/>
    <s v="學習"/>
    <s v="AD2"/>
  </r>
  <r>
    <s v="#20260416154127898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AD2"/>
  </r>
  <r>
    <s v="#20260416154127898"/>
    <x v="15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154127898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154127898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154127898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154127898"/>
    <x v="15"/>
    <x v="0"/>
    <x v="101"/>
    <x v="10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154127898"/>
    <x v="15"/>
    <x v="0"/>
    <x v="106"/>
    <x v="109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6155013101"/>
    <x v="15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BNS"/>
  </r>
  <r>
    <s v="#20260416155013101"/>
    <x v="1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16155013101"/>
    <x v="1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5235647"/>
    <x v="15"/>
    <x v="0"/>
    <x v="5"/>
    <x v="144"/>
    <m/>
    <m/>
    <s v="團購"/>
    <x v="1"/>
    <x v="1"/>
    <s v="C0033-0049"/>
    <n v="999"/>
    <s v="商品"/>
    <n v="1"/>
    <n v="0"/>
    <s v="513100"/>
    <s v="周邊編輯"/>
    <n v="999"/>
    <s v="周邊商品"/>
    <s v="BNS"/>
  </r>
  <r>
    <s v="#20260416155235647"/>
    <x v="15"/>
    <x v="0"/>
    <x v="111"/>
    <x v="120"/>
    <m/>
    <m/>
    <s v="團購"/>
    <x v="1"/>
    <x v="1"/>
    <s v="C0033-0049"/>
    <n v="699"/>
    <s v="商品"/>
    <n v="1"/>
    <n v="0"/>
    <s v="510002"/>
    <s v="品牌授權"/>
    <n v="699"/>
    <s v="周邊商品"/>
    <s v="BNS"/>
  </r>
  <r>
    <s v="#20260416155235647"/>
    <x v="15"/>
    <x v="0"/>
    <x v="70"/>
    <x v="115"/>
    <m/>
    <m/>
    <s v="團購"/>
    <x v="1"/>
    <x v="1"/>
    <s v="C0033-0049"/>
    <n v="1099"/>
    <s v="商品"/>
    <n v="1"/>
    <n v="0"/>
    <s v="510002"/>
    <s v="品牌授權"/>
    <n v="1099"/>
    <s v="周邊商品"/>
    <s v="BNS"/>
  </r>
  <r>
    <s v="#20260416155235647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155236656"/>
    <x v="15"/>
    <x v="0"/>
    <x v="0"/>
    <x v="92"/>
    <m/>
    <m/>
    <s v="團購"/>
    <x v="1"/>
    <x v="1"/>
    <s v="C0033-0049"/>
    <n v="2399"/>
    <s v="商品"/>
    <n v="1"/>
    <n v="0"/>
    <s v="513100"/>
    <s v="周邊編輯"/>
    <n v="2399"/>
    <s v="學習"/>
    <s v="KOL"/>
  </r>
  <r>
    <s v="#20260416155236656"/>
    <x v="15"/>
    <x v="0"/>
    <x v="1"/>
    <x v="93"/>
    <m/>
    <m/>
    <s v="團購"/>
    <x v="1"/>
    <x v="1"/>
    <s v="C0033-0049"/>
    <n v="4900"/>
    <s v="商品"/>
    <n v="1"/>
    <n v="0"/>
    <s v="513100"/>
    <s v="周邊編輯"/>
    <n v="4900"/>
    <s v="學習"/>
    <s v="KOL"/>
  </r>
  <r>
    <s v="#20260416155236656"/>
    <x v="15"/>
    <x v="0"/>
    <x v="113"/>
    <x v="119"/>
    <m/>
    <m/>
    <s v="外部"/>
    <x v="0"/>
    <x v="0"/>
    <s v="C0033-0000"/>
    <n v="299"/>
    <s v="加購品"/>
    <n v="1"/>
    <n v="0"/>
    <s v="513100"/>
    <s v="周邊編輯"/>
    <n v="299"/>
    <s v="周邊商品"/>
    <s v="KOL"/>
  </r>
  <r>
    <s v="#20260416155236656"/>
    <x v="15"/>
    <x v="0"/>
    <x v="96"/>
    <x v="9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236656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236656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236656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920442"/>
    <x v="15"/>
    <x v="0"/>
    <x v="4"/>
    <x v="101"/>
    <m/>
    <m/>
    <s v="團購"/>
    <x v="1"/>
    <x v="1"/>
    <s v="C0033-0049"/>
    <n v="2999"/>
    <s v="商品"/>
    <n v="1"/>
    <n v="0"/>
    <s v="513100"/>
    <s v="周邊編輯"/>
    <n v="2999"/>
    <s v="學習"/>
    <s v="KOL"/>
  </r>
  <r>
    <s v="#20260416155920442"/>
    <x v="15"/>
    <x v="0"/>
    <x v="7"/>
    <x v="103"/>
    <m/>
    <m/>
    <s v="團購"/>
    <x v="1"/>
    <x v="1"/>
    <s v="C0033-0049"/>
    <n v="3200"/>
    <s v="商品"/>
    <n v="1"/>
    <n v="0"/>
    <s v="513100"/>
    <s v="周邊編輯"/>
    <n v="3200"/>
    <s v="學習"/>
    <s v="KOL"/>
  </r>
  <r>
    <s v="#20260416155920442"/>
    <x v="15"/>
    <x v="0"/>
    <x v="102"/>
    <x v="10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920442"/>
    <x v="15"/>
    <x v="0"/>
    <x v="97"/>
    <x v="95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920442"/>
    <x v="15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55920442"/>
    <x v="15"/>
    <x v="0"/>
    <x v="99"/>
    <x v="97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16162541789"/>
    <x v="16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16162541789"/>
    <x v="16"/>
    <x v="0"/>
    <x v="79"/>
    <x v="75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416162541789"/>
    <x v="16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16162541789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6182342395"/>
    <x v="16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6182342395"/>
    <x v="1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BNS"/>
  </r>
  <r>
    <s v="#20260416182342395"/>
    <x v="16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BNS"/>
  </r>
  <r>
    <s v="#20260416182342395"/>
    <x v="16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BNS"/>
  </r>
  <r>
    <s v="#20260416182342395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6205541789"/>
    <x v="16"/>
    <x v="0"/>
    <x v="77"/>
    <x v="73"/>
    <m/>
    <m/>
    <s v="外部"/>
    <x v="0"/>
    <x v="0"/>
    <s v="C0033-0000"/>
    <n v="799"/>
    <s v="商品"/>
    <n v="1"/>
    <n v="0"/>
    <s v="510015"/>
    <s v="舞台劇"/>
    <n v="799"/>
    <s v="周邊商品"/>
    <s v="post"/>
  </r>
  <r>
    <s v="#20260417001038268"/>
    <x v="16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post"/>
  </r>
  <r>
    <s v="#20260417001038268"/>
    <x v="1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post"/>
  </r>
  <r>
    <s v="#20260417001038268"/>
    <x v="16"/>
    <x v="0"/>
    <x v="119"/>
    <x v="126"/>
    <m/>
    <m/>
    <s v="外部"/>
    <x v="0"/>
    <x v="0"/>
    <s v="C0033-0000"/>
    <n v="990"/>
    <s v="商品"/>
    <n v="1"/>
    <n v="0"/>
    <s v="513261"/>
    <s v="團團購"/>
    <n v="990"/>
    <s v="周邊商品"/>
    <s v="post"/>
  </r>
  <r>
    <s v="#20260417001038268"/>
    <x v="16"/>
    <x v="0"/>
    <x v="133"/>
    <x v="146"/>
    <m/>
    <m/>
    <s v="外部"/>
    <x v="0"/>
    <x v="0"/>
    <s v="C0033-0000"/>
    <n v="690"/>
    <s v="商品"/>
    <n v="1"/>
    <n v="0"/>
    <s v="510002"/>
    <s v="品牌授權"/>
    <n v="690"/>
    <s v="周邊商品"/>
    <s v="post"/>
  </r>
  <r>
    <s v="#20260417001038268"/>
    <x v="16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post"/>
  </r>
  <r>
    <s v="#20260417001038268"/>
    <x v="16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post"/>
  </r>
  <r>
    <s v="#20260417001038268"/>
    <x v="16"/>
    <x v="0"/>
    <x v="42"/>
    <x v="42"/>
    <m/>
    <m/>
    <s v="外部"/>
    <x v="0"/>
    <x v="0"/>
    <s v="C0033-0000"/>
    <n v="899"/>
    <s v="商品"/>
    <n v="1"/>
    <n v="0"/>
    <s v="510002"/>
    <s v="品牌授權"/>
    <n v="899"/>
    <s v="周邊商品"/>
    <s v="post"/>
  </r>
  <r>
    <s v="#20260417001038268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7001038268"/>
    <x v="1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7001038268"/>
    <x v="16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7001038268"/>
    <x v="16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17013441089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7013441089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21139982"/>
    <x v="16"/>
    <x v="0"/>
    <x v="134"/>
    <x v="147"/>
    <m/>
    <m/>
    <s v="外部"/>
    <x v="0"/>
    <x v="0"/>
    <s v="C0033-0000"/>
    <n v="2590"/>
    <s v="商品"/>
    <n v="1"/>
    <n v="0"/>
    <s v="513261"/>
    <s v="團團購"/>
    <n v="2590"/>
    <s v="周邊商品"/>
    <s v=""/>
  </r>
  <r>
    <s v="#20260417021139982"/>
    <x v="16"/>
    <x v="0"/>
    <x v="135"/>
    <x v="148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21139982"/>
    <x v="16"/>
    <x v="0"/>
    <x v="136"/>
    <x v="14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21139982"/>
    <x v="1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21139982"/>
    <x v="16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24418930"/>
    <x v="16"/>
    <x v="0"/>
    <x v="90"/>
    <x v="86"/>
    <m/>
    <m/>
    <s v="外部"/>
    <x v="0"/>
    <x v="0"/>
    <s v="C0033-0000"/>
    <n v="600"/>
    <s v="商品"/>
    <n v="1"/>
    <n v="0"/>
    <s v="513300"/>
    <s v="進階版編輯"/>
    <n v="600"/>
    <s v="Mirafeel"/>
    <s v="BNS"/>
  </r>
  <r>
    <s v="#20260417024418930"/>
    <x v="16"/>
    <x v="0"/>
    <x v="90"/>
    <x v="86"/>
    <m/>
    <m/>
    <s v="外部"/>
    <x v="0"/>
    <x v="0"/>
    <s v="C0033-0000"/>
    <n v="600"/>
    <s v="商品"/>
    <n v="2"/>
    <n v="0"/>
    <s v="513300"/>
    <s v="進階版編輯"/>
    <n v="1200"/>
    <s v="Mirafeel"/>
    <s v="BNS"/>
  </r>
  <r>
    <s v="#20260417024418930"/>
    <x v="16"/>
    <x v="0"/>
    <x v="51"/>
    <x v="51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031348438"/>
    <x v="1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BNS"/>
  </r>
  <r>
    <s v="#20260417031348438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032126886"/>
    <x v="16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17032126886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7041135951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FBAD"/>
  </r>
  <r>
    <s v="#20260417041135951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7055234648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7055234648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7062015107"/>
    <x v="16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17062015107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64811683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7064811683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7065355487"/>
    <x v="16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17071030220"/>
    <x v="16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7071030220"/>
    <x v="16"/>
    <x v="0"/>
    <x v="89"/>
    <x v="85"/>
    <m/>
    <m/>
    <s v="外部"/>
    <x v="0"/>
    <x v="0"/>
    <s v="C0033-0000"/>
    <n v="640"/>
    <s v="商品"/>
    <n v="1"/>
    <n v="0"/>
    <s v="510002"/>
    <s v="品牌授權"/>
    <n v="640"/>
    <s v="周邊商品"/>
    <s v=""/>
  </r>
  <r>
    <s v="#20260417071030220"/>
    <x v="16"/>
    <x v="0"/>
    <x v="137"/>
    <x v="150"/>
    <m/>
    <m/>
    <s v="外部"/>
    <x v="0"/>
    <x v="0"/>
    <s v="C0033-0000"/>
    <n v="168"/>
    <s v="商品"/>
    <n v="1"/>
    <n v="0"/>
    <s v="513261"/>
    <s v="團團購"/>
    <n v="168"/>
    <s v="周邊商品"/>
    <s v=""/>
  </r>
  <r>
    <s v="#20260417071030220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73351461"/>
    <x v="16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17082004030"/>
    <x v="16"/>
    <x v="0"/>
    <x v="120"/>
    <x v="127"/>
    <m/>
    <m/>
    <s v="外部"/>
    <x v="0"/>
    <x v="0"/>
    <s v="C0033-0000"/>
    <n v="1560"/>
    <s v="商品"/>
    <n v="1"/>
    <n v="0"/>
    <s v="513261"/>
    <s v="團團購"/>
    <n v="1560"/>
    <s v="周邊商品"/>
    <s v=""/>
  </r>
  <r>
    <s v="#20260417082004030"/>
    <x v="1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090026188"/>
    <x v="16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post"/>
  </r>
  <r>
    <s v="#20260417092957706"/>
    <x v="1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7092957706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113518628"/>
    <x v="1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17113518628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131959715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7131959715"/>
    <x v="16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BNS"/>
  </r>
  <r>
    <s v="#20260417131959715"/>
    <x v="1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17131959715"/>
    <x v="16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BNS"/>
  </r>
  <r>
    <s v="#20260417131959715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132703927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7132703927"/>
    <x v="16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AD"/>
  </r>
  <r>
    <s v="#20260417132703927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7133645517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7133645517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135202416"/>
    <x v="1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7135202416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7140117821"/>
    <x v="16"/>
    <x v="0"/>
    <x v="111"/>
    <x v="116"/>
    <m/>
    <m/>
    <s v="外部"/>
    <x v="0"/>
    <x v="0"/>
    <s v="C0033-0000"/>
    <n v="699"/>
    <s v="商品"/>
    <n v="1"/>
    <n v="0"/>
    <s v="510002"/>
    <s v="品牌授權"/>
    <n v="699"/>
    <s v="周邊商品"/>
    <s v="BNS"/>
  </r>
  <r>
    <s v="#20260417140117821"/>
    <x v="16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BNS"/>
  </r>
  <r>
    <s v="#20260417140117821"/>
    <x v="16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BNS"/>
  </r>
  <r>
    <s v="#20260417140117821"/>
    <x v="16"/>
    <x v="0"/>
    <x v="137"/>
    <x v="150"/>
    <m/>
    <m/>
    <s v="外部"/>
    <x v="0"/>
    <x v="0"/>
    <s v="C0033-0000"/>
    <n v="168"/>
    <s v="商品"/>
    <n v="1"/>
    <n v="0"/>
    <s v="513261"/>
    <s v="團團購"/>
    <n v="168"/>
    <s v="周邊商品"/>
    <s v="BNS"/>
  </r>
  <r>
    <s v="#20260417140117821"/>
    <x v="16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BNS"/>
  </r>
  <r>
    <s v="#20260417140117821"/>
    <x v="16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140117821"/>
    <x v="16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140117821"/>
    <x v="1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140117821"/>
    <x v="1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7162817721"/>
    <x v="17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417162817721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7172422956"/>
    <x v="17"/>
    <x v="0"/>
    <x v="12"/>
    <x v="12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17172422956"/>
    <x v="17"/>
    <x v="0"/>
    <x v="68"/>
    <x v="67"/>
    <m/>
    <m/>
    <s v="外部"/>
    <x v="0"/>
    <x v="0"/>
    <s v="C0033-0000"/>
    <n v="84"/>
    <s v="商品"/>
    <n v="2"/>
    <n v="0"/>
    <s v="513261"/>
    <s v="團團購"/>
    <n v="168"/>
    <s v="周邊商品"/>
    <s v=""/>
  </r>
  <r>
    <s v="#20260417172422956"/>
    <x v="17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17174727091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7174727091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7194711979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17194711979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18012705937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8012705937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014834840"/>
    <x v="17"/>
    <x v="0"/>
    <x v="138"/>
    <x v="151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8014834840"/>
    <x v="17"/>
    <x v="0"/>
    <x v="57"/>
    <x v="57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18014834840"/>
    <x v="17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18014834840"/>
    <x v="17"/>
    <x v="0"/>
    <x v="129"/>
    <x v="55"/>
    <m/>
    <m/>
    <s v="外部"/>
    <x v="0"/>
    <x v="0"/>
    <s v="C0033-0000"/>
    <n v="399"/>
    <s v="商品"/>
    <n v="1"/>
    <n v="0"/>
    <s v="510015"/>
    <s v="舞台劇"/>
    <n v="399"/>
    <s v="周邊商品"/>
    <s v=""/>
  </r>
  <r>
    <s v="#20260418014834840"/>
    <x v="1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070205439"/>
    <x v="17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18070205439"/>
    <x v="17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18070205439"/>
    <x v="17"/>
    <x v="0"/>
    <x v="60"/>
    <x v="60"/>
    <m/>
    <m/>
    <s v="外部"/>
    <x v="0"/>
    <x v="0"/>
    <s v="C0033-0000"/>
    <n v="525"/>
    <s v="商品"/>
    <n v="1"/>
    <n v="0"/>
    <s v="513261"/>
    <s v="團團購"/>
    <n v="525"/>
    <s v="周邊商品"/>
    <s v=""/>
  </r>
  <r>
    <s v="#20260418070205439"/>
    <x v="17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18075153075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8075153075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8111822760"/>
    <x v="17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ads"/>
  </r>
  <r>
    <s v="#20260418111822760"/>
    <x v="17"/>
    <x v="0"/>
    <x v="28"/>
    <x v="28"/>
    <m/>
    <m/>
    <s v="外部"/>
    <x v="0"/>
    <x v="0"/>
    <s v="C0033-0000"/>
    <n v="220"/>
    <s v="商品"/>
    <n v="1"/>
    <n v="0"/>
    <s v="510002"/>
    <s v="品牌授權"/>
    <n v="220"/>
    <s v="周邊商品"/>
    <s v="ads"/>
  </r>
  <r>
    <s v="#20260418111822760"/>
    <x v="17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s"/>
  </r>
  <r>
    <s v="#20260418125749245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8125749245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131023165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18131023165"/>
    <x v="17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BNS"/>
  </r>
  <r>
    <s v="#20260418131023165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8133401809"/>
    <x v="17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8133401809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8133401809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141945619"/>
    <x v="1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18141945619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8150519635"/>
    <x v="17"/>
    <x v="0"/>
    <x v="17"/>
    <x v="17"/>
    <m/>
    <m/>
    <s v="外部"/>
    <x v="0"/>
    <x v="0"/>
    <s v="C0033-0000"/>
    <n v="299"/>
    <s v="商品"/>
    <n v="2"/>
    <n v="0"/>
    <s v="513100"/>
    <s v="周邊編輯"/>
    <n v="598"/>
    <s v="周邊商品"/>
    <s v=""/>
  </r>
  <r>
    <s v="#20260418151015107"/>
    <x v="17"/>
    <x v="0"/>
    <x v="49"/>
    <x v="49"/>
    <m/>
    <m/>
    <s v="外部"/>
    <x v="0"/>
    <x v="0"/>
    <s v="C0033-0000"/>
    <n v="399"/>
    <s v="商品"/>
    <n v="2"/>
    <n v="0"/>
    <s v="513100"/>
    <s v="周邊編輯"/>
    <n v="798"/>
    <s v="周邊商品"/>
    <s v=""/>
  </r>
  <r>
    <s v="#20260418151015107"/>
    <x v="17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"/>
  </r>
  <r>
    <s v="#20260418151015107"/>
    <x v="17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"/>
  </r>
  <r>
    <s v="#20260418151015107"/>
    <x v="17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151015107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152339375"/>
    <x v="17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"/>
  </r>
  <r>
    <s v="#20260418152339375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153212486"/>
    <x v="17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18153212486"/>
    <x v="1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8232714000"/>
    <x v="18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18232714000"/>
    <x v="18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FBAD"/>
  </r>
  <r>
    <s v="#20260418232714000"/>
    <x v="18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FBAD"/>
  </r>
  <r>
    <s v="#20260418232714000"/>
    <x v="18"/>
    <x v="0"/>
    <x v="107"/>
    <x v="111"/>
    <m/>
    <m/>
    <s v="外部"/>
    <x v="0"/>
    <x v="0"/>
    <s v="C0033-0000"/>
    <n v="462"/>
    <s v="商品"/>
    <n v="1"/>
    <n v="0"/>
    <s v="513261"/>
    <s v="團團購"/>
    <n v="462"/>
    <s v="周邊商品"/>
    <s v="FBAD"/>
  </r>
  <r>
    <s v="#20260418232714000"/>
    <x v="18"/>
    <x v="0"/>
    <x v="92"/>
    <x v="88"/>
    <m/>
    <m/>
    <s v="外部"/>
    <x v="0"/>
    <x v="0"/>
    <s v="C0033-0000"/>
    <n v="285"/>
    <s v="商品"/>
    <n v="1"/>
    <n v="0"/>
    <s v="513261"/>
    <s v="團團購"/>
    <n v="285"/>
    <s v="周邊商品"/>
    <s v="FBAD"/>
  </r>
  <r>
    <s v="#20260418232714000"/>
    <x v="18"/>
    <x v="0"/>
    <x v="139"/>
    <x v="152"/>
    <m/>
    <m/>
    <s v="外部"/>
    <x v="0"/>
    <x v="0"/>
    <s v="C0033-0000"/>
    <n v="299"/>
    <s v="商品"/>
    <n v="1"/>
    <n v="0"/>
    <s v="513261"/>
    <s v="團團購"/>
    <n v="299"/>
    <s v="周邊商品"/>
    <s v="FBAD"/>
  </r>
  <r>
    <s v="#20260418232714000"/>
    <x v="18"/>
    <x v="0"/>
    <x v="74"/>
    <x v="72"/>
    <m/>
    <m/>
    <s v="外部"/>
    <x v="0"/>
    <x v="0"/>
    <s v="C0033-0000"/>
    <n v="30"/>
    <s v="商品"/>
    <n v="1"/>
    <n v="0"/>
    <s v="513300"/>
    <s v="進階版編輯"/>
    <n v="30"/>
    <s v="Mirafeel"/>
    <s v="FBAD"/>
  </r>
  <r>
    <s v="#20260418232714000"/>
    <x v="1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FBAD"/>
  </r>
  <r>
    <s v="#20260418232714000"/>
    <x v="18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FBAD"/>
  </r>
  <r>
    <s v="#20260418232714000"/>
    <x v="1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FBAD"/>
  </r>
  <r>
    <s v="#20260418232714000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8232714000"/>
    <x v="1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8232714000"/>
    <x v="18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19024301109"/>
    <x v="1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9024301109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9031034250"/>
    <x v="18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AD2"/>
  </r>
  <r>
    <s v="#20260419031034250"/>
    <x v="18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AD2"/>
  </r>
  <r>
    <s v="#20260419031034250"/>
    <x v="18"/>
    <x v="0"/>
    <x v="63"/>
    <x v="62"/>
    <m/>
    <m/>
    <s v="外部"/>
    <x v="0"/>
    <x v="0"/>
    <s v="C0033-0000"/>
    <n v="145"/>
    <s v="商品"/>
    <n v="1"/>
    <n v="0"/>
    <s v="513261"/>
    <s v="團團購"/>
    <n v="145"/>
    <s v="周邊商品"/>
    <s v="AD2"/>
  </r>
  <r>
    <s v="#20260419031034250"/>
    <x v="18"/>
    <x v="0"/>
    <x v="112"/>
    <x v="118"/>
    <m/>
    <m/>
    <s v="外部"/>
    <x v="0"/>
    <x v="0"/>
    <s v="C0033-0000"/>
    <n v="499"/>
    <s v="商品"/>
    <n v="1"/>
    <n v="0"/>
    <s v="510002"/>
    <s v="品牌授權"/>
    <n v="499"/>
    <s v="周邊商品"/>
    <s v="AD2"/>
  </r>
  <r>
    <s v="#20260419031034250"/>
    <x v="18"/>
    <x v="0"/>
    <x v="76"/>
    <x v="72"/>
    <m/>
    <m/>
    <s v="外部"/>
    <x v="0"/>
    <x v="0"/>
    <s v="C0033-0000"/>
    <n v="30"/>
    <s v="商品"/>
    <n v="1"/>
    <n v="0"/>
    <s v="513300"/>
    <s v="進階版編輯"/>
    <n v="30"/>
    <s v="Mirafeel"/>
    <s v="AD2"/>
  </r>
  <r>
    <s v="#20260419031034250"/>
    <x v="18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19031034250"/>
    <x v="18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19031034250"/>
    <x v="18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19031034250"/>
    <x v="18"/>
    <x v="0"/>
    <x v="140"/>
    <x v="153"/>
    <m/>
    <m/>
    <s v="外部"/>
    <x v="0"/>
    <x v="0"/>
    <s v="C0033-0000"/>
    <n v="399"/>
    <s v="商品"/>
    <n v="1"/>
    <n v="0"/>
    <s v="513261"/>
    <s v="團團購"/>
    <n v="399"/>
    <s v="周邊商品"/>
    <s v="AD2"/>
  </r>
  <r>
    <s v="#20260419031034250"/>
    <x v="18"/>
    <x v="0"/>
    <x v="141"/>
    <x v="62"/>
    <m/>
    <m/>
    <s v="外部"/>
    <x v="0"/>
    <x v="0"/>
    <s v="C0033-0000"/>
    <n v="145"/>
    <s v="商品"/>
    <n v="1"/>
    <n v="0"/>
    <s v="513261"/>
    <s v="團團購"/>
    <n v="145"/>
    <s v="周邊商品"/>
    <s v="AD2"/>
  </r>
  <r>
    <s v="#20260419031034250"/>
    <x v="1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9031034250"/>
    <x v="18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9071322256"/>
    <x v="18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19071322256"/>
    <x v="1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19071322256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9074703927"/>
    <x v="1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9074703927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9135258814"/>
    <x v="1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19135258814"/>
    <x v="1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19135258814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19150043305"/>
    <x v="18"/>
    <x v="0"/>
    <x v="111"/>
    <x v="116"/>
    <m/>
    <m/>
    <s v="外部"/>
    <x v="0"/>
    <x v="0"/>
    <s v="C0033-0000"/>
    <n v="699"/>
    <s v="商品"/>
    <n v="1"/>
    <n v="0"/>
    <s v="510002"/>
    <s v="品牌授權"/>
    <n v="699"/>
    <s v="周邊商品"/>
    <s v="BNS"/>
  </r>
  <r>
    <s v="#20260419150043305"/>
    <x v="1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19150043305"/>
    <x v="18"/>
    <x v="0"/>
    <x v="63"/>
    <x v="62"/>
    <m/>
    <m/>
    <s v="外部"/>
    <x v="0"/>
    <x v="0"/>
    <s v="C0033-0000"/>
    <n v="145"/>
    <s v="商品"/>
    <n v="1"/>
    <n v="0"/>
    <s v="513261"/>
    <s v="團團購"/>
    <n v="145"/>
    <s v="周邊商品"/>
    <s v="BNS"/>
  </r>
  <r>
    <s v="#20260419150043305"/>
    <x v="18"/>
    <x v="0"/>
    <x v="62"/>
    <x v="61"/>
    <m/>
    <m/>
    <s v="外部"/>
    <x v="0"/>
    <x v="0"/>
    <s v="C0033-0000"/>
    <n v="20"/>
    <s v="商品"/>
    <n v="1"/>
    <n v="0"/>
    <s v="513261"/>
    <s v="團團購"/>
    <n v="20"/>
    <s v="周邊商品"/>
    <s v="BNS"/>
  </r>
  <r>
    <s v="#20260419150043305"/>
    <x v="18"/>
    <x v="0"/>
    <x v="74"/>
    <x v="72"/>
    <m/>
    <m/>
    <s v="外部"/>
    <x v="0"/>
    <x v="0"/>
    <s v="C0033-0000"/>
    <n v="30"/>
    <s v="商品"/>
    <n v="3"/>
    <n v="0"/>
    <s v="513300"/>
    <s v="進階版編輯"/>
    <n v="90"/>
    <s v="Mirafeel"/>
    <s v="BNS"/>
  </r>
  <r>
    <s v="#20260419150043305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9154405837"/>
    <x v="18"/>
    <x v="0"/>
    <x v="49"/>
    <x v="49"/>
    <m/>
    <m/>
    <s v="外部"/>
    <x v="0"/>
    <x v="0"/>
    <s v="C0033-0000"/>
    <n v="399"/>
    <s v="商品"/>
    <n v="1"/>
    <n v="0"/>
    <s v="513100"/>
    <s v="周邊編輯"/>
    <n v="399"/>
    <s v="周邊商品"/>
    <s v="BNS"/>
  </r>
  <r>
    <s v="#20260419154405837"/>
    <x v="18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BNS"/>
  </r>
  <r>
    <s v="#20260419154405837"/>
    <x v="18"/>
    <x v="0"/>
    <x v="104"/>
    <x v="107"/>
    <m/>
    <m/>
    <s v="外部"/>
    <x v="0"/>
    <x v="0"/>
    <s v="C0033-0000"/>
    <n v="199"/>
    <s v="商品"/>
    <n v="1"/>
    <n v="0"/>
    <s v="510002"/>
    <s v="品牌授權"/>
    <n v="199"/>
    <s v="周邊商品"/>
    <s v="BNS"/>
  </r>
  <r>
    <s v="#20260419154405837"/>
    <x v="18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9154405837"/>
    <x v="18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9154405837"/>
    <x v="1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19165555887"/>
    <x v="1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19165555887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19174326284"/>
    <x v="1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KOL"/>
  </r>
  <r>
    <s v="#20260419174326284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420014612286"/>
    <x v="1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Email"/>
  </r>
  <r>
    <s v="#20260420014612286"/>
    <x v="19"/>
    <x v="0"/>
    <x v="65"/>
    <x v="64"/>
    <m/>
    <m/>
    <s v="外部"/>
    <x v="0"/>
    <x v="0"/>
    <s v="C0033-0000"/>
    <n v="699"/>
    <s v="商品"/>
    <n v="1"/>
    <n v="0"/>
    <s v="510002"/>
    <s v="品牌授權"/>
    <n v="699"/>
    <s v="周邊商品"/>
    <s v="Email"/>
  </r>
  <r>
    <s v="#20260420014612286"/>
    <x v="19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Email"/>
  </r>
  <r>
    <s v="#20260420014612286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20023836858"/>
    <x v="1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0023836858"/>
    <x v="1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0023836858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031151065"/>
    <x v="19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0031151065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0040759315"/>
    <x v="19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0040759315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0045024174"/>
    <x v="19"/>
    <x v="0"/>
    <x v="55"/>
    <x v="55"/>
    <m/>
    <m/>
    <s v="外部"/>
    <x v="0"/>
    <x v="0"/>
    <s v="C0033-0000"/>
    <n v="399"/>
    <s v="商品"/>
    <n v="1"/>
    <n v="0"/>
    <s v="510015"/>
    <s v="舞台劇"/>
    <n v="399"/>
    <s v="周邊商品"/>
    <s v="AD2"/>
  </r>
  <r>
    <s v="#20260420045024174"/>
    <x v="19"/>
    <x v="0"/>
    <x v="57"/>
    <x v="57"/>
    <m/>
    <m/>
    <s v="外部"/>
    <x v="0"/>
    <x v="0"/>
    <s v="C0033-0000"/>
    <n v="399"/>
    <s v="商品"/>
    <n v="1"/>
    <n v="0"/>
    <s v="510002"/>
    <s v="品牌授權"/>
    <n v="399"/>
    <s v="周邊商品"/>
    <s v="AD2"/>
  </r>
  <r>
    <s v="#20260420045024174"/>
    <x v="19"/>
    <x v="0"/>
    <x v="142"/>
    <x v="154"/>
    <m/>
    <m/>
    <s v="外部"/>
    <x v="0"/>
    <x v="0"/>
    <s v="C0033-0000"/>
    <n v="550"/>
    <s v="商品"/>
    <n v="1"/>
    <n v="0"/>
    <s v="510002"/>
    <s v="品牌授權"/>
    <n v="550"/>
    <s v="周邊商品"/>
    <s v="AD2"/>
  </r>
  <r>
    <s v="#20260420045024174"/>
    <x v="19"/>
    <x v="0"/>
    <x v="18"/>
    <x v="18"/>
    <m/>
    <m/>
    <s v="外部"/>
    <x v="0"/>
    <x v="0"/>
    <s v="C0033-0000"/>
    <n v="399"/>
    <s v="商品"/>
    <n v="1"/>
    <n v="0"/>
    <s v="510002"/>
    <s v="品牌授權"/>
    <n v="399"/>
    <s v="周邊商品"/>
    <s v="AD2"/>
  </r>
  <r>
    <s v="#20260420045024174"/>
    <x v="1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045500506"/>
    <x v="19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AD2"/>
  </r>
  <r>
    <s v="#20260420045500506"/>
    <x v="19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20045500506"/>
    <x v="19"/>
    <x v="0"/>
    <x v="17"/>
    <x v="17"/>
    <m/>
    <m/>
    <s v="外部"/>
    <x v="0"/>
    <x v="0"/>
    <s v="C0033-0000"/>
    <n v="199"/>
    <s v="加購品"/>
    <n v="2"/>
    <n v="0"/>
    <s v="513100"/>
    <s v="周邊編輯"/>
    <n v="398"/>
    <s v="周邊商品"/>
    <s v="AD2"/>
  </r>
  <r>
    <s v="#20260420045500506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045500506"/>
    <x v="1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055243707"/>
    <x v="1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0055243707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062023167"/>
    <x v="19"/>
    <x v="0"/>
    <x v="12"/>
    <x v="12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20062023167"/>
    <x v="19"/>
    <x v="0"/>
    <x v="125"/>
    <x v="134"/>
    <m/>
    <m/>
    <s v="外部"/>
    <x v="0"/>
    <x v="0"/>
    <s v="C0033-0000"/>
    <n v="273"/>
    <s v="商品"/>
    <n v="1"/>
    <n v="0"/>
    <s v="513261"/>
    <s v="團團購"/>
    <n v="273"/>
    <s v="周邊商品"/>
    <s v=""/>
  </r>
  <r>
    <s v="#20260420062023167"/>
    <x v="19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20062023167"/>
    <x v="19"/>
    <x v="0"/>
    <x v="143"/>
    <x v="155"/>
    <m/>
    <m/>
    <s v="外部"/>
    <x v="0"/>
    <x v="0"/>
    <s v="C0033-0000"/>
    <n v="252"/>
    <s v="商品"/>
    <n v="1"/>
    <n v="0"/>
    <s v="513261"/>
    <s v="團團購"/>
    <n v="252"/>
    <s v="周邊商品"/>
    <s v=""/>
  </r>
  <r>
    <s v="#20260420062023167"/>
    <x v="19"/>
    <x v="0"/>
    <x v="144"/>
    <x v="15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062023167"/>
    <x v="1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063628398"/>
    <x v="1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Geek"/>
  </r>
  <r>
    <s v="#20260420063628398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0091826788"/>
    <x v="19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20091826788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092135956"/>
    <x v="1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0092135956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101235648"/>
    <x v="19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0101235648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0103259815"/>
    <x v="1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0103259815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04849952"/>
    <x v="19"/>
    <x v="0"/>
    <x v="124"/>
    <x v="133"/>
    <m/>
    <m/>
    <s v="外部"/>
    <x v="0"/>
    <x v="0"/>
    <s v="C0033-0000"/>
    <n v="200"/>
    <s v="商品"/>
    <n v="1"/>
    <n v="0"/>
    <s v="510002"/>
    <s v="品牌授權"/>
    <n v="200"/>
    <s v="周邊商品"/>
    <s v=""/>
  </r>
  <r>
    <s v="#20260420104849952"/>
    <x v="19"/>
    <x v="0"/>
    <x v="86"/>
    <x v="82"/>
    <m/>
    <m/>
    <s v="外部"/>
    <x v="0"/>
    <x v="0"/>
    <s v="C0033-0000"/>
    <n v="499"/>
    <s v="商品"/>
    <n v="1"/>
    <n v="0"/>
    <s v="510002"/>
    <s v="品牌授權"/>
    <n v="499"/>
    <s v="周邊商品"/>
    <s v=""/>
  </r>
  <r>
    <s v="#20260420104849952"/>
    <x v="19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0104849952"/>
    <x v="19"/>
    <x v="0"/>
    <x v="145"/>
    <x v="157"/>
    <m/>
    <m/>
    <s v="外部"/>
    <x v="0"/>
    <x v="0"/>
    <s v="C0033-0000"/>
    <n v="216"/>
    <s v="商品"/>
    <n v="1"/>
    <n v="0"/>
    <s v="510002"/>
    <s v="品牌授權"/>
    <n v="216"/>
    <s v="周邊商品"/>
    <s v=""/>
  </r>
  <r>
    <s v="#20260420104849952"/>
    <x v="19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"/>
  </r>
  <r>
    <s v="#20260420104849952"/>
    <x v="19"/>
    <x v="0"/>
    <x v="110"/>
    <x v="114"/>
    <m/>
    <m/>
    <s v="外部"/>
    <x v="0"/>
    <x v="0"/>
    <s v="C0033-0000"/>
    <n v="304"/>
    <s v="商品"/>
    <n v="1"/>
    <n v="0"/>
    <s v="510002"/>
    <s v="品牌授權"/>
    <n v="304"/>
    <s v="周邊商品"/>
    <s v=""/>
  </r>
  <r>
    <s v="#20260420104849952"/>
    <x v="1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40132930"/>
    <x v="19"/>
    <x v="0"/>
    <x v="93"/>
    <x v="89"/>
    <m/>
    <m/>
    <s v="外部"/>
    <x v="0"/>
    <x v="0"/>
    <s v="C0033-0000"/>
    <n v="880"/>
    <s v="商品"/>
    <n v="1"/>
    <n v="0"/>
    <s v="510002"/>
    <s v="品牌授權"/>
    <n v="880"/>
    <s v="周邊商品"/>
    <s v=""/>
  </r>
  <r>
    <s v="#20260420140132930"/>
    <x v="19"/>
    <x v="0"/>
    <x v="140"/>
    <x v="153"/>
    <m/>
    <m/>
    <s v="外部"/>
    <x v="0"/>
    <x v="0"/>
    <s v="C0033-0000"/>
    <n v="399"/>
    <s v="商品"/>
    <n v="1"/>
    <n v="0"/>
    <s v="513261"/>
    <s v="團團購"/>
    <n v="399"/>
    <s v="周邊商品"/>
    <s v=""/>
  </r>
  <r>
    <s v="#20260420140132930"/>
    <x v="19"/>
    <x v="0"/>
    <x v="119"/>
    <x v="126"/>
    <m/>
    <m/>
    <s v="外部"/>
    <x v="0"/>
    <x v="0"/>
    <s v="C0033-0000"/>
    <n v="990"/>
    <s v="商品"/>
    <n v="1"/>
    <n v="0"/>
    <s v="513261"/>
    <s v="團團購"/>
    <n v="990"/>
    <s v="周邊商品"/>
    <s v=""/>
  </r>
  <r>
    <s v="#20260420140132930"/>
    <x v="1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40132930"/>
    <x v="19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44339377"/>
    <x v="19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20150813697"/>
    <x v="19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"/>
  </r>
  <r>
    <s v="#20260420150813697"/>
    <x v="1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0150813697"/>
    <x v="1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0150813697"/>
    <x v="19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"/>
  </r>
  <r>
    <s v="#20260420150813697"/>
    <x v="19"/>
    <x v="0"/>
    <x v="107"/>
    <x v="111"/>
    <m/>
    <m/>
    <s v="外部"/>
    <x v="0"/>
    <x v="0"/>
    <s v="C0033-0000"/>
    <n v="462"/>
    <s v="商品"/>
    <n v="1"/>
    <n v="0"/>
    <s v="513261"/>
    <s v="團團購"/>
    <n v="462"/>
    <s v="周邊商品"/>
    <s v=""/>
  </r>
  <r>
    <s v="#20260420150813697"/>
    <x v="19"/>
    <x v="0"/>
    <x v="144"/>
    <x v="15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50813697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50813697"/>
    <x v="1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0152252766"/>
    <x v="19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Email"/>
  </r>
  <r>
    <s v="#20260420152252766"/>
    <x v="19"/>
    <x v="0"/>
    <x v="146"/>
    <x v="158"/>
    <m/>
    <m/>
    <s v="外部"/>
    <x v="0"/>
    <x v="0"/>
    <s v="C0033-0000"/>
    <n v="399"/>
    <s v="商品"/>
    <n v="1"/>
    <n v="0"/>
    <s v="510002"/>
    <s v="品牌授權"/>
    <n v="399"/>
    <s v="周邊商品"/>
    <s v="Email"/>
  </r>
  <r>
    <s v="#20260420153840884"/>
    <x v="19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AD2"/>
  </r>
  <r>
    <s v="#20260420153840884"/>
    <x v="19"/>
    <x v="0"/>
    <x v="29"/>
    <x v="29"/>
    <m/>
    <m/>
    <s v="外部"/>
    <x v="0"/>
    <x v="0"/>
    <s v="C0033-0000"/>
    <n v="700"/>
    <s v="商品"/>
    <n v="1"/>
    <n v="0"/>
    <s v="510002"/>
    <s v="品牌授權"/>
    <n v="700"/>
    <s v="周邊商品"/>
    <s v="AD2"/>
  </r>
  <r>
    <s v="#20260420153840884"/>
    <x v="19"/>
    <x v="0"/>
    <x v="23"/>
    <x v="23"/>
    <m/>
    <m/>
    <s v="外部"/>
    <x v="0"/>
    <x v="0"/>
    <s v="C0033-0000"/>
    <n v="0"/>
    <s v="贈品"/>
    <n v="0"/>
    <n v="2"/>
    <s v="513200"/>
    <s v="周邊營業"/>
    <n v="0"/>
    <s v="周邊商品"/>
    <s v="AD2"/>
  </r>
  <r>
    <s v="#20260420153840884"/>
    <x v="19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153840884"/>
    <x v="19"/>
    <x v="0"/>
    <x v="144"/>
    <x v="156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154359517"/>
    <x v="19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20154359517"/>
    <x v="1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0154359517"/>
    <x v="19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420154359517"/>
    <x v="19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20154359517"/>
    <x v="19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AD2"/>
  </r>
  <r>
    <s v="#20260420154359517"/>
    <x v="19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AD2"/>
  </r>
  <r>
    <s v="#20260420154359517"/>
    <x v="1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0172352466"/>
    <x v="2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0172352466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14046325"/>
    <x v="20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1014046325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14046325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14046325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146027"/>
    <x v="20"/>
    <x v="0"/>
    <x v="22"/>
    <x v="139"/>
    <m/>
    <m/>
    <s v="外部"/>
    <x v="0"/>
    <x v="0"/>
    <s v="C0033-0000"/>
    <n v="1500"/>
    <s v="商品"/>
    <n v="1"/>
    <n v="0"/>
    <s v="510002"/>
    <s v="品牌授權"/>
    <n v="1500"/>
    <s v="周邊商品"/>
    <s v="IG"/>
  </r>
  <r>
    <s v="#20260421020146027"/>
    <x v="20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146027"/>
    <x v="20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146027"/>
    <x v="2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146028"/>
    <x v="20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020146028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146028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146028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205442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020205442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205442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815707"/>
    <x v="20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1020815707"/>
    <x v="2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1020815707"/>
    <x v="20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1020815707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815707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815707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0815707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2011081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022011081"/>
    <x v="20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022011081"/>
    <x v="20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2011081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2011081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2011081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2011081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3145023"/>
    <x v="20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023145023"/>
    <x v="20"/>
    <x v="0"/>
    <x v="79"/>
    <x v="163"/>
    <m/>
    <m/>
    <s v="團購"/>
    <x v="1"/>
    <x v="4"/>
    <s v="C0033-0006"/>
    <n v="4500"/>
    <s v="商品"/>
    <n v="1"/>
    <n v="0"/>
    <s v="512105"/>
    <s v="英語編輯"/>
    <n v="4500"/>
    <s v="學習"/>
    <s v="IG"/>
  </r>
  <r>
    <s v="#20260421023145023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3145023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3145023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3145023"/>
    <x v="20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3145023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4124872"/>
    <x v="20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1024124872"/>
    <x v="20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024124872"/>
    <x v="20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1024124872"/>
    <x v="20"/>
    <x v="0"/>
    <x v="70"/>
    <x v="115"/>
    <m/>
    <m/>
    <s v="團購"/>
    <x v="1"/>
    <x v="4"/>
    <s v="C0033-0006"/>
    <n v="1099"/>
    <s v="商品"/>
    <n v="1"/>
    <n v="0"/>
    <s v="510002"/>
    <s v="品牌授權"/>
    <n v="1099"/>
    <s v="周邊商品"/>
    <s v="IG"/>
  </r>
  <r>
    <s v="#20260421024124872"/>
    <x v="20"/>
    <x v="0"/>
    <x v="111"/>
    <x v="120"/>
    <m/>
    <m/>
    <s v="團購"/>
    <x v="1"/>
    <x v="4"/>
    <s v="C0033-0006"/>
    <n v="699"/>
    <s v="商品"/>
    <n v="1"/>
    <n v="0"/>
    <s v="510002"/>
    <s v="品牌授權"/>
    <n v="699"/>
    <s v="周邊商品"/>
    <s v="IG"/>
  </r>
  <r>
    <s v="#20260421024124872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4124872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4124872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4124872"/>
    <x v="20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4124872"/>
    <x v="20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24124872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159115"/>
    <x v="20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033159115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033159115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159115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159115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159115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334340"/>
    <x v="20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033334340"/>
    <x v="2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1033334340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033334340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334340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334340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3334340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34433035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"/>
  </r>
  <r>
    <s v="#20260421034433035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34433035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43221549"/>
    <x v="20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post"/>
  </r>
  <r>
    <s v="#20260421043221549"/>
    <x v="2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post"/>
  </r>
  <r>
    <s v="#20260421043221549"/>
    <x v="20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post"/>
  </r>
  <r>
    <s v="#20260421043221549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21043221549"/>
    <x v="2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21050132934"/>
    <x v="20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1050132934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50132934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50132934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51540784"/>
    <x v="2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1051540784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55154080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AD2"/>
  </r>
  <r>
    <s v="#20260421055154080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1055154080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1060438068"/>
    <x v="20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1060438068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0438068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0438068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0555889"/>
    <x v="20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060555889"/>
    <x v="20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1060555889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0555889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0555889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3003025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063003025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3003025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64613297"/>
    <x v="2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1064613297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1070837861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1070837861"/>
    <x v="2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1070837861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1074140984"/>
    <x v="20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1074140984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84406848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1084406848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84545816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084545816"/>
    <x v="2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1084545816"/>
    <x v="20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1084545816"/>
    <x v="20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084545816"/>
    <x v="20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84545816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84545816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84545816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84545816"/>
    <x v="20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84545816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1236658"/>
    <x v="20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"/>
  </r>
  <r>
    <s v="#20260421091236658"/>
    <x v="20"/>
    <x v="0"/>
    <x v="5"/>
    <x v="144"/>
    <m/>
    <m/>
    <s v="團購"/>
    <x v="1"/>
    <x v="4"/>
    <s v="C0033-0006"/>
    <n v="999"/>
    <s v="商品"/>
    <n v="1"/>
    <n v="0"/>
    <s v="513100"/>
    <s v="周邊編輯"/>
    <n v="999"/>
    <s v="周邊商品"/>
    <s v=""/>
  </r>
  <r>
    <s v="#20260421091236658"/>
    <x v="20"/>
    <x v="0"/>
    <x v="70"/>
    <x v="115"/>
    <m/>
    <m/>
    <s v="團購"/>
    <x v="1"/>
    <x v="4"/>
    <s v="C0033-0006"/>
    <n v="1099"/>
    <s v="商品"/>
    <n v="1"/>
    <n v="0"/>
    <s v="510002"/>
    <s v="品牌授權"/>
    <n v="1099"/>
    <s v="周邊商品"/>
    <s v=""/>
  </r>
  <r>
    <s v="#20260421091236658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91236658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91236658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91236658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91549847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1091549847"/>
    <x v="20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"/>
  </r>
  <r>
    <s v="#20260421091549847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92155091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092155091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2155091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3037263"/>
    <x v="20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1093037263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094600206"/>
    <x v="20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094600206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094600206"/>
    <x v="20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094600206"/>
    <x v="20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4600206"/>
    <x v="20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4600206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4600206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4600206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4600206"/>
    <x v="20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094600206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05052372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1105052372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1113108762"/>
    <x v="20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1113108762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13108762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13108762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13722056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1113722056"/>
    <x v="20"/>
    <x v="0"/>
    <x v="87"/>
    <x v="83"/>
    <m/>
    <m/>
    <s v="外部"/>
    <x v="0"/>
    <x v="0"/>
    <s v="C0033-0000"/>
    <n v="160"/>
    <s v="加購品"/>
    <n v="1"/>
    <n v="0"/>
    <s v="513261"/>
    <s v="團團購"/>
    <n v="160"/>
    <s v="周邊商品"/>
    <s v=""/>
  </r>
  <r>
    <s v="#20260421113722056"/>
    <x v="20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"/>
  </r>
  <r>
    <s v="#20260421113722056"/>
    <x v="20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1113722056"/>
    <x v="20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21113722056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20530712"/>
    <x v="20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1120530712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0530712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124417927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124417927"/>
    <x v="20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1124417927"/>
    <x v="20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4417927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5152068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125152068"/>
    <x v="20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125152068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5152068"/>
    <x v="20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5152068"/>
    <x v="20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25152068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31206448"/>
    <x v="20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131206448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31206448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31207451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1131207451"/>
    <x v="20"/>
    <x v="0"/>
    <x v="64"/>
    <x v="63"/>
    <m/>
    <m/>
    <s v="外部"/>
    <x v="0"/>
    <x v="0"/>
    <s v="C0033-0000"/>
    <n v="2400"/>
    <s v="商品"/>
    <n v="1"/>
    <n v="0"/>
    <s v="513100"/>
    <s v="周邊編輯"/>
    <n v="2400"/>
    <s v="學習"/>
    <s v=""/>
  </r>
  <r>
    <s v="#20260421131207451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31617325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131617325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31617325"/>
    <x v="20"/>
    <x v="0"/>
    <x v="98"/>
    <x v="9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34031219"/>
    <x v="20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21134031219"/>
    <x v="20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21134031219"/>
    <x v="20"/>
    <x v="0"/>
    <x v="111"/>
    <x v="116"/>
    <m/>
    <m/>
    <s v="外部"/>
    <x v="0"/>
    <x v="0"/>
    <s v="C0033-0000"/>
    <n v="699"/>
    <s v="商品"/>
    <n v="1"/>
    <n v="0"/>
    <s v="510002"/>
    <s v="品牌授權"/>
    <n v="699"/>
    <s v="周邊商品"/>
    <s v="AD2"/>
  </r>
  <r>
    <s v="#20260421134031219"/>
    <x v="20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AD2"/>
  </r>
  <r>
    <s v="#20260421134031219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1140621351"/>
    <x v="20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1140621351"/>
    <x v="20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42452166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1142452166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45828798"/>
    <x v="20"/>
    <x v="0"/>
    <x v="41"/>
    <x v="41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1145828798"/>
    <x v="20"/>
    <x v="0"/>
    <x v="131"/>
    <x v="141"/>
    <m/>
    <m/>
    <s v="外部"/>
    <x v="0"/>
    <x v="0"/>
    <s v="C0033-0000"/>
    <n v="1199"/>
    <s v="商品"/>
    <n v="1"/>
    <n v="0"/>
    <s v="510002"/>
    <s v="品牌授權"/>
    <n v="1199"/>
    <s v="周邊商品"/>
    <s v=""/>
  </r>
  <r>
    <s v="#20260421145828798"/>
    <x v="20"/>
    <x v="0"/>
    <x v="22"/>
    <x v="139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21145828798"/>
    <x v="20"/>
    <x v="0"/>
    <x v="137"/>
    <x v="150"/>
    <m/>
    <m/>
    <s v="外部"/>
    <x v="0"/>
    <x v="0"/>
    <s v="C0033-0000"/>
    <n v="168"/>
    <s v="商品"/>
    <n v="1"/>
    <n v="0"/>
    <s v="513261"/>
    <s v="團團購"/>
    <n v="168"/>
    <s v="周邊商品"/>
    <s v=""/>
  </r>
  <r>
    <s v="#20260421145828798"/>
    <x v="20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21145828798"/>
    <x v="20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1145828798"/>
    <x v="20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45828798"/>
    <x v="20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45828798"/>
    <x v="20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45828798"/>
    <x v="20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45828798"/>
    <x v="20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45828798"/>
    <x v="20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55246724"/>
    <x v="20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1155246724"/>
    <x v="20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1161707951"/>
    <x v="21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"/>
  </r>
  <r>
    <s v="#20260421161707951"/>
    <x v="21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1183243703"/>
    <x v="21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IG"/>
  </r>
  <r>
    <s v="#20260421183243703"/>
    <x v="21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IG"/>
  </r>
  <r>
    <s v="#20260421183243703"/>
    <x v="21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IG"/>
  </r>
  <r>
    <s v="#20260421183243703"/>
    <x v="21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IG"/>
  </r>
  <r>
    <s v="#20260421183243703"/>
    <x v="21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IG"/>
  </r>
  <r>
    <s v="#20260421183243703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83243703"/>
    <x v="2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194722056"/>
    <x v="21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1194722056"/>
    <x v="21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1194722056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230528700"/>
    <x v="21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1230528700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1230528700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230528700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230528700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1231513593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1231513593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02138972"/>
    <x v="21"/>
    <x v="0"/>
    <x v="32"/>
    <x v="32"/>
    <m/>
    <m/>
    <s v="外部"/>
    <x v="0"/>
    <x v="0"/>
    <s v="C0033-0000"/>
    <n v="750"/>
    <s v="商品"/>
    <n v="1"/>
    <n v="0"/>
    <s v="510002"/>
    <s v="品牌授權"/>
    <n v="750"/>
    <s v="周邊商品"/>
    <s v=""/>
  </r>
  <r>
    <s v="#20260422005527691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05527691"/>
    <x v="21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2005527691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05527691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05527691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11003023"/>
    <x v="21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2011003023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13415909"/>
    <x v="21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2013415909"/>
    <x v="21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2013415909"/>
    <x v="21"/>
    <x v="0"/>
    <x v="70"/>
    <x v="115"/>
    <m/>
    <m/>
    <s v="團購"/>
    <x v="1"/>
    <x v="4"/>
    <s v="C0033-0006"/>
    <n v="1099"/>
    <s v="商品"/>
    <n v="1"/>
    <n v="0"/>
    <s v="510002"/>
    <s v="品牌授權"/>
    <n v="1099"/>
    <s v="周邊商品"/>
    <s v="IG"/>
  </r>
  <r>
    <s v="#20260422013415909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13415909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13415909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23646526"/>
    <x v="21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IG"/>
  </r>
  <r>
    <s v="#20260422023646526"/>
    <x v="21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23646527"/>
    <x v="21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2023646527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25225577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25225577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34529711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34529711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41703925"/>
    <x v="2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22041703925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2042655587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42655587"/>
    <x v="21"/>
    <x v="0"/>
    <x v="5"/>
    <x v="144"/>
    <m/>
    <m/>
    <s v="團購"/>
    <x v="1"/>
    <x v="4"/>
    <s v="C0033-0006"/>
    <n v="999"/>
    <s v="商品"/>
    <n v="1"/>
    <n v="0"/>
    <s v="513100"/>
    <s v="周邊編輯"/>
    <n v="999"/>
    <s v="周邊商品"/>
    <s v="IG"/>
  </r>
  <r>
    <s v="#20260422042655587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44347431"/>
    <x v="21"/>
    <x v="0"/>
    <x v="14"/>
    <x v="14"/>
    <m/>
    <m/>
    <s v="外部"/>
    <x v="0"/>
    <x v="0"/>
    <s v="C0033-0000"/>
    <n v="2100"/>
    <s v="商品"/>
    <n v="2"/>
    <n v="0"/>
    <s v="513300"/>
    <s v="進階版編輯"/>
    <n v="4200"/>
    <s v="Mirafeel"/>
    <s v=""/>
  </r>
  <r>
    <s v="#20260422044347431"/>
    <x v="21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050143003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50143003"/>
    <x v="21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2050143003"/>
    <x v="21"/>
    <x v="0"/>
    <x v="49"/>
    <x v="129"/>
    <m/>
    <m/>
    <s v="團購"/>
    <x v="1"/>
    <x v="4"/>
    <s v="C0033-0006"/>
    <n v="520"/>
    <s v="商品"/>
    <n v="1"/>
    <n v="0"/>
    <s v="513100"/>
    <s v="周邊編輯"/>
    <n v="520"/>
    <s v="周邊商品"/>
    <s v="IG"/>
  </r>
  <r>
    <s v="#20260422050143003"/>
    <x v="21"/>
    <x v="0"/>
    <x v="154"/>
    <x v="168"/>
    <m/>
    <m/>
    <s v="團購"/>
    <x v="1"/>
    <x v="4"/>
    <s v="C0033-0006"/>
    <n v="999"/>
    <s v="商品"/>
    <n v="1"/>
    <n v="0"/>
    <s v="513100"/>
    <s v="周邊編輯"/>
    <n v="999"/>
    <s v="學習"/>
    <s v="IG"/>
  </r>
  <r>
    <s v="#20260422050143003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50143003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50143003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51424970"/>
    <x v="21"/>
    <x v="0"/>
    <x v="49"/>
    <x v="49"/>
    <m/>
    <m/>
    <s v="外部"/>
    <x v="0"/>
    <x v="0"/>
    <s v="C0033-0000"/>
    <n v="520"/>
    <s v="商品"/>
    <n v="3"/>
    <n v="0"/>
    <s v="513100"/>
    <s v="周邊編輯"/>
    <n v="1560"/>
    <s v="周邊商品"/>
    <s v=""/>
  </r>
  <r>
    <s v="#20260422051424970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052221549"/>
    <x v="21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AD2"/>
  </r>
  <r>
    <s v="#20260422052221549"/>
    <x v="21"/>
    <x v="0"/>
    <x v="25"/>
    <x v="25"/>
    <m/>
    <m/>
    <s v="外部"/>
    <x v="0"/>
    <x v="0"/>
    <s v="C0033-0000"/>
    <n v="550"/>
    <s v="商品"/>
    <n v="1"/>
    <n v="0"/>
    <s v="510002"/>
    <s v="品牌授權"/>
    <n v="550"/>
    <s v="周邊商品"/>
    <s v="AD2"/>
  </r>
  <r>
    <s v="#20260422052221549"/>
    <x v="2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2052633441"/>
    <x v="21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22052633441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054013095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54013095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60254784"/>
    <x v="21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2060254784"/>
    <x v="21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2060254784"/>
    <x v="21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60254784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60254784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60254784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60427993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60427993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61248748"/>
    <x v="21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BNS"/>
  </r>
  <r>
    <s v="#20260422061248748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2062438068"/>
    <x v="21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22062438068"/>
    <x v="21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"/>
  </r>
  <r>
    <s v="#20260422062438068"/>
    <x v="21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"/>
  </r>
  <r>
    <s v="#20260422062438068"/>
    <x v="21"/>
    <x v="0"/>
    <x v="110"/>
    <x v="114"/>
    <m/>
    <m/>
    <s v="外部"/>
    <x v="0"/>
    <x v="0"/>
    <s v="C0033-0000"/>
    <n v="304"/>
    <s v="商品"/>
    <n v="1"/>
    <n v="0"/>
    <s v="510002"/>
    <s v="品牌授權"/>
    <n v="304"/>
    <s v="周邊商品"/>
    <s v=""/>
  </r>
  <r>
    <s v="#20260422062438068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065346429"/>
    <x v="21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22065346429"/>
    <x v="21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2065346429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070845919"/>
    <x v="21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2070845919"/>
    <x v="21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2070845919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70845919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70845919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72536757"/>
    <x v="2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2072536757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2075242700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75242700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82123874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082123874"/>
    <x v="21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2082123874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82123874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82706944"/>
    <x v="21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profile"/>
  </r>
  <r>
    <s v="#20260422082706944"/>
    <x v="21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profile"/>
  </r>
  <r>
    <s v="#20260422085449151"/>
    <x v="21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2085449151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93325281"/>
    <x v="21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2093325281"/>
    <x v="21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2093325281"/>
    <x v="21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93325281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93325281"/>
    <x v="21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93325281"/>
    <x v="21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095800608"/>
    <x v="2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2095800608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112805641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112805641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112947633"/>
    <x v="21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paid"/>
  </r>
  <r>
    <s v="#20260422112947633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aid"/>
  </r>
  <r>
    <s v="#20260422122751261"/>
    <x v="2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22122751261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2123003023"/>
    <x v="21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IG"/>
  </r>
  <r>
    <s v="#20260422123003023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142149049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142149049"/>
    <x v="21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2142149049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150039279"/>
    <x v="21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IG"/>
  </r>
  <r>
    <s v="#20260422150039279"/>
    <x v="21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2150039279"/>
    <x v="21"/>
    <x v="0"/>
    <x v="113"/>
    <x v="119"/>
    <m/>
    <m/>
    <s v="外部"/>
    <x v="0"/>
    <x v="0"/>
    <s v="C0033-0000"/>
    <n v="299"/>
    <s v="加購品"/>
    <n v="1"/>
    <n v="0"/>
    <s v="513100"/>
    <s v="周邊編輯"/>
    <n v="299"/>
    <s v="周邊商品"/>
    <s v="IG"/>
  </r>
  <r>
    <s v="#20260422150039279"/>
    <x v="21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152505537"/>
    <x v="21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2152505537"/>
    <x v="21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2163035247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2163035247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181451159"/>
    <x v="22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"/>
  </r>
  <r>
    <s v="#20260422181451159"/>
    <x v="22"/>
    <x v="0"/>
    <x v="155"/>
    <x v="169"/>
    <m/>
    <m/>
    <s v="外部"/>
    <x v="0"/>
    <x v="0"/>
    <s v="C0033-0000"/>
    <n v="199"/>
    <s v="商品"/>
    <n v="2"/>
    <n v="0"/>
    <s v="510002"/>
    <s v="品牌授權"/>
    <n v="398"/>
    <s v="周邊商品"/>
    <s v=""/>
  </r>
  <r>
    <s v="#20260422181451159"/>
    <x v="22"/>
    <x v="0"/>
    <x v="156"/>
    <x v="170"/>
    <m/>
    <m/>
    <s v="外部"/>
    <x v="0"/>
    <x v="0"/>
    <s v="C0033-0000"/>
    <n v="168"/>
    <s v="商品"/>
    <n v="1"/>
    <n v="0"/>
    <s v="513261"/>
    <s v="團團購"/>
    <n v="168"/>
    <s v="周邊商品"/>
    <s v=""/>
  </r>
  <r>
    <s v="#20260422181451159"/>
    <x v="22"/>
    <x v="0"/>
    <x v="103"/>
    <x v="106"/>
    <m/>
    <m/>
    <s v="外部"/>
    <x v="0"/>
    <x v="0"/>
    <s v="C0033-0000"/>
    <n v="599"/>
    <s v="商品"/>
    <n v="1"/>
    <n v="0"/>
    <s v="510002"/>
    <s v="品牌授權"/>
    <n v="599"/>
    <s v="周邊商品"/>
    <s v=""/>
  </r>
  <r>
    <s v="#20260422181451159"/>
    <x v="22"/>
    <x v="0"/>
    <x v="38"/>
    <x v="38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422181451159"/>
    <x v="22"/>
    <x v="0"/>
    <x v="129"/>
    <x v="55"/>
    <m/>
    <m/>
    <s v="外部"/>
    <x v="0"/>
    <x v="0"/>
    <s v="C0033-0000"/>
    <n v="399"/>
    <s v="商品"/>
    <n v="1"/>
    <n v="0"/>
    <s v="510015"/>
    <s v="舞台劇"/>
    <n v="399"/>
    <s v="周邊商品"/>
    <s v=""/>
  </r>
  <r>
    <s v="#20260422181451159"/>
    <x v="22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181451159"/>
    <x v="2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181451159"/>
    <x v="22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181451159"/>
    <x v="22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224211481"/>
    <x v="22"/>
    <x v="0"/>
    <x v="46"/>
    <x v="46"/>
    <m/>
    <m/>
    <s v="外部"/>
    <x v="0"/>
    <x v="0"/>
    <s v="C0033-0000"/>
    <n v="3200"/>
    <s v="商品"/>
    <n v="2"/>
    <n v="0"/>
    <s v="513100"/>
    <s v="周邊編輯"/>
    <n v="6400"/>
    <s v="學習"/>
    <s v=""/>
  </r>
  <r>
    <s v="#20260422224211481"/>
    <x v="22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2224211481"/>
    <x v="2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2224211481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2230327291"/>
    <x v="2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2230327291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2230638468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2230638468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2232617321"/>
    <x v="22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BNS"/>
  </r>
  <r>
    <s v="#20260422232617321"/>
    <x v="22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3001104730"/>
    <x v="22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3001104730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03439075"/>
    <x v="22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23003439075"/>
    <x v="22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23003439075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3011428998"/>
    <x v="2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3011428998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3012256794"/>
    <x v="22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23012256794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14226586"/>
    <x v="22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3014226586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15552866"/>
    <x v="22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3015552866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35224572"/>
    <x v="22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23035224572"/>
    <x v="22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3035224572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41933537"/>
    <x v="22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3041933537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44544809"/>
    <x v="22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3044544809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044544809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44544809"/>
    <x v="22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52713999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3052713999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53855987"/>
    <x v="22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FBAD"/>
  </r>
  <r>
    <s v="#20260423053855987"/>
    <x v="22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23053855987"/>
    <x v="22"/>
    <x v="0"/>
    <x v="87"/>
    <x v="83"/>
    <m/>
    <m/>
    <s v="外部"/>
    <x v="0"/>
    <x v="0"/>
    <s v="C0033-0000"/>
    <n v="160"/>
    <s v="加購品"/>
    <n v="1"/>
    <n v="0"/>
    <s v="513261"/>
    <s v="團團購"/>
    <n v="160"/>
    <s v="周邊商品"/>
    <s v="FBAD"/>
  </r>
  <r>
    <s v="#20260423053855987"/>
    <x v="22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FBAD"/>
  </r>
  <r>
    <s v="#20260423053855987"/>
    <x v="22"/>
    <x v="0"/>
    <x v="140"/>
    <x v="153"/>
    <m/>
    <m/>
    <s v="外部"/>
    <x v="0"/>
    <x v="0"/>
    <s v="C0033-0000"/>
    <n v="315"/>
    <s v="加購品"/>
    <n v="1"/>
    <n v="0"/>
    <s v="513261"/>
    <s v="團團購"/>
    <n v="315"/>
    <s v="周邊商品"/>
    <s v="FBAD"/>
  </r>
  <r>
    <s v="#20260423053855987"/>
    <x v="22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FBAD"/>
  </r>
  <r>
    <s v="#20260423053855987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23054748238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054748238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55919437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3055919437"/>
    <x v="22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3055919437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3060933533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3060933533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62946624"/>
    <x v="22"/>
    <x v="0"/>
    <x v="66"/>
    <x v="65"/>
    <m/>
    <m/>
    <s v="外部"/>
    <x v="0"/>
    <x v="0"/>
    <s v="C0033-0000"/>
    <n v="176"/>
    <s v="商品"/>
    <n v="1"/>
    <n v="0"/>
    <s v="513261"/>
    <s v="團團購"/>
    <n v="176"/>
    <s v="周邊商品"/>
    <s v="IG"/>
  </r>
  <r>
    <s v="#20260423062946625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062946625"/>
    <x v="22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3062946625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65452170"/>
    <x v="22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23065452170"/>
    <x v="22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23065452170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73458214"/>
    <x v="22"/>
    <x v="0"/>
    <x v="155"/>
    <x v="169"/>
    <m/>
    <m/>
    <s v="外部"/>
    <x v="0"/>
    <x v="0"/>
    <s v="C0033-0000"/>
    <n v="199"/>
    <s v="商品"/>
    <n v="2"/>
    <n v="0"/>
    <s v="510002"/>
    <s v="品牌授權"/>
    <n v="398"/>
    <s v="周邊商品"/>
    <s v=""/>
  </r>
  <r>
    <s v="#20260423073458214"/>
    <x v="22"/>
    <x v="0"/>
    <x v="31"/>
    <x v="31"/>
    <m/>
    <m/>
    <s v="外部"/>
    <x v="0"/>
    <x v="0"/>
    <s v="C0033-0000"/>
    <n v="750"/>
    <s v="商品"/>
    <n v="1"/>
    <n v="0"/>
    <s v="510002"/>
    <s v="品牌授權"/>
    <n v="750"/>
    <s v="周邊商品"/>
    <s v=""/>
  </r>
  <r>
    <s v="#20260423073747236"/>
    <x v="22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IG"/>
  </r>
  <r>
    <s v="#20260423073747236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74751263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FBAD"/>
  </r>
  <r>
    <s v="#20260423074751263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23080628398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080628398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090416914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3090416914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92422956"/>
    <x v="22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3092422956"/>
    <x v="22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3092422956"/>
    <x v="22"/>
    <x v="0"/>
    <x v="67"/>
    <x v="66"/>
    <m/>
    <m/>
    <s v="外部"/>
    <x v="0"/>
    <x v="0"/>
    <s v="C0033-0000"/>
    <n v="239"/>
    <s v="加購品"/>
    <n v="1"/>
    <n v="0"/>
    <s v="513261"/>
    <s v="團團購"/>
    <n v="239"/>
    <s v="周邊商品"/>
    <s v=""/>
  </r>
  <r>
    <s v="#20260423092422956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094301115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094301115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10813693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3110813693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131314200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31314200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32513593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32513593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33800602"/>
    <x v="22"/>
    <x v="0"/>
    <x v="14"/>
    <x v="14"/>
    <m/>
    <m/>
    <s v="外部"/>
    <x v="0"/>
    <x v="0"/>
    <s v="C0033-0000"/>
    <n v="2100"/>
    <s v="商品"/>
    <n v="3"/>
    <n v="0"/>
    <s v="513300"/>
    <s v="進階版編輯"/>
    <n v="6300"/>
    <s v="Mirafeel"/>
    <s v=""/>
  </r>
  <r>
    <s v="#20260423133800602"/>
    <x v="22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135108758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35108758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42023165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42023165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43130912"/>
    <x v="22"/>
    <x v="0"/>
    <x v="107"/>
    <x v="111"/>
    <m/>
    <m/>
    <s v="外部"/>
    <x v="0"/>
    <x v="0"/>
    <s v="C0033-0000"/>
    <n v="462"/>
    <s v="商品"/>
    <n v="1"/>
    <n v="0"/>
    <s v="513261"/>
    <s v="團團購"/>
    <n v="462"/>
    <s v="周邊商品"/>
    <s v="AD2"/>
  </r>
  <r>
    <s v="#20260423143130912"/>
    <x v="22"/>
    <x v="0"/>
    <x v="52"/>
    <x v="52"/>
    <m/>
    <m/>
    <s v="外部"/>
    <x v="0"/>
    <x v="0"/>
    <s v="C0033-0000"/>
    <n v="252"/>
    <s v="商品"/>
    <n v="1"/>
    <n v="0"/>
    <s v="513261"/>
    <s v="團團購"/>
    <n v="252"/>
    <s v="周邊商品"/>
    <s v="AD2"/>
  </r>
  <r>
    <s v="#20260423143636460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43636460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45527691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45527691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52257807"/>
    <x v="22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3152257807"/>
    <x v="22"/>
    <x v="0"/>
    <x v="76"/>
    <x v="72"/>
    <m/>
    <m/>
    <s v="外部"/>
    <x v="0"/>
    <x v="0"/>
    <s v="C0033-0000"/>
    <n v="30"/>
    <s v="商品"/>
    <n v="1"/>
    <n v="0"/>
    <s v="513300"/>
    <s v="進階版編輯"/>
    <n v="30"/>
    <s v="Mirafeel"/>
    <s v=""/>
  </r>
  <r>
    <s v="#20260423152257807"/>
    <x v="22"/>
    <x v="0"/>
    <x v="74"/>
    <x v="72"/>
    <m/>
    <m/>
    <s v="外部"/>
    <x v="0"/>
    <x v="0"/>
    <s v="C0033-0000"/>
    <n v="30"/>
    <s v="商品"/>
    <n v="1"/>
    <n v="0"/>
    <s v="513300"/>
    <s v="進階版編輯"/>
    <n v="30"/>
    <s v="Mirafeel"/>
    <s v=""/>
  </r>
  <r>
    <s v="#20260423152257807"/>
    <x v="22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153303131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53303131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53316214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53316214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53413893"/>
    <x v="22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"/>
  </r>
  <r>
    <s v="#20260423153413893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153826784"/>
    <x v="22"/>
    <x v="0"/>
    <x v="131"/>
    <x v="141"/>
    <m/>
    <m/>
    <s v="外部"/>
    <x v="0"/>
    <x v="0"/>
    <s v="C0033-0000"/>
    <n v="1199"/>
    <s v="商品"/>
    <n v="1"/>
    <n v="0"/>
    <s v="510002"/>
    <s v="品牌授權"/>
    <n v="1199"/>
    <s v="周邊商品"/>
    <s v=""/>
  </r>
  <r>
    <s v="#20260423153826784"/>
    <x v="22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423153826784"/>
    <x v="22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23153826784"/>
    <x v="22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153826784"/>
    <x v="22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155309167"/>
    <x v="22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55309167"/>
    <x v="22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60823765"/>
    <x v="23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423160823765"/>
    <x v="23"/>
    <x v="0"/>
    <x v="43"/>
    <x v="43"/>
    <m/>
    <m/>
    <s v="外部"/>
    <x v="0"/>
    <x v="0"/>
    <s v="C0033-0000"/>
    <n v="239"/>
    <s v="加購品"/>
    <n v="1"/>
    <n v="0"/>
    <s v="513261"/>
    <s v="團團購"/>
    <n v="239"/>
    <s v="周邊商品"/>
    <s v="IG"/>
  </r>
  <r>
    <s v="#20260423160823765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64302118"/>
    <x v="23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3164302118"/>
    <x v="23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3164302118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64302118"/>
    <x v="23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64302118"/>
    <x v="23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70756294"/>
    <x v="23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3170756294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3193859015"/>
    <x v="23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23193859015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3212812686"/>
    <x v="2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Geek"/>
  </r>
  <r>
    <s v="#20260423212812686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3223515607"/>
    <x v="2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3223515607"/>
    <x v="23"/>
    <x v="0"/>
    <x v="70"/>
    <x v="69"/>
    <m/>
    <m/>
    <s v="外部"/>
    <x v="0"/>
    <x v="0"/>
    <s v="C0033-0000"/>
    <n v="1099"/>
    <s v="商品"/>
    <n v="1"/>
    <n v="0"/>
    <s v="510002"/>
    <s v="品牌授權"/>
    <n v="1099"/>
    <s v="周邊商品"/>
    <s v="AD"/>
  </r>
  <r>
    <s v="#20260423223515607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4000934542"/>
    <x v="23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4000934542"/>
    <x v="2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4000934542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003114800"/>
    <x v="23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4003114800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033843903"/>
    <x v="23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4033843903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033903325"/>
    <x v="23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24033903325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4042359515"/>
    <x v="2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4042359515"/>
    <x v="23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4042359515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4044019135"/>
    <x v="23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4044019135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051648538"/>
    <x v="23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051648538"/>
    <x v="23"/>
    <x v="0"/>
    <x v="111"/>
    <x v="120"/>
    <m/>
    <m/>
    <s v="團購"/>
    <x v="1"/>
    <x v="4"/>
    <s v="C0033-0006"/>
    <n v="699"/>
    <s v="商品"/>
    <n v="1"/>
    <n v="0"/>
    <s v="510002"/>
    <s v="品牌授權"/>
    <n v="699"/>
    <s v="周邊商品"/>
    <s v="IG"/>
  </r>
  <r>
    <s v="#20260424051648538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02817727"/>
    <x v="23"/>
    <x v="0"/>
    <x v="21"/>
    <x v="21"/>
    <m/>
    <m/>
    <s v="外部"/>
    <x v="0"/>
    <x v="0"/>
    <s v="C0033-0000"/>
    <n v="84"/>
    <s v="商品"/>
    <n v="2"/>
    <n v="0"/>
    <s v="513261"/>
    <s v="團團購"/>
    <n v="168"/>
    <s v="周邊商品"/>
    <s v="AD2"/>
  </r>
  <r>
    <s v="#20260424102817727"/>
    <x v="23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AD2"/>
  </r>
  <r>
    <s v="#20260424102817727"/>
    <x v="23"/>
    <x v="0"/>
    <x v="17"/>
    <x v="17"/>
    <m/>
    <m/>
    <s v="外部"/>
    <x v="0"/>
    <x v="0"/>
    <s v="C0033-0000"/>
    <n v="299"/>
    <s v="商品"/>
    <n v="2"/>
    <n v="0"/>
    <s v="513100"/>
    <s v="周邊編輯"/>
    <n v="598"/>
    <s v="周邊商品"/>
    <s v="AD2"/>
  </r>
  <r>
    <s v="#20260424102817727"/>
    <x v="23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4142731121"/>
    <x v="23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142731121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43105739"/>
    <x v="23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143105739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43650554"/>
    <x v="23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4143650554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43833833"/>
    <x v="2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4143833833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4144152066"/>
    <x v="23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4144152066"/>
    <x v="23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4153756296"/>
    <x v="23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153756296"/>
    <x v="23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0203425"/>
    <x v="24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4160203425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1610276"/>
    <x v="24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4161610276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1610276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3856994"/>
    <x v="24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163856994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4044312"/>
    <x v="24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164044312"/>
    <x v="24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4164044312"/>
    <x v="24"/>
    <x v="0"/>
    <x v="5"/>
    <x v="144"/>
    <m/>
    <m/>
    <s v="團購"/>
    <x v="1"/>
    <x v="4"/>
    <s v="C0033-0006"/>
    <n v="999"/>
    <s v="商品"/>
    <n v="1"/>
    <n v="0"/>
    <s v="513100"/>
    <s v="周邊編輯"/>
    <n v="999"/>
    <s v="周邊商品"/>
    <s v="IG"/>
  </r>
  <r>
    <s v="#20260424164044312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4044312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64044312"/>
    <x v="24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81401809"/>
    <x v="24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4181401809"/>
    <x v="24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4181401809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81401809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181401809"/>
    <x v="24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200634440"/>
    <x v="24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4200634440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4220849945"/>
    <x v="24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4220849945"/>
    <x v="24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4220849945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4220849945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02248740"/>
    <x v="24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"/>
  </r>
  <r>
    <s v="#20260425002248740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02248740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02907351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5002907351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10004030"/>
    <x v="24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5010004030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11028198"/>
    <x v="24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5011028198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13801609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5013801609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014310172"/>
    <x v="24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5014310172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15952668"/>
    <x v="24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5015952668"/>
    <x v="24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5015952668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15952668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22330314"/>
    <x v="24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5022330314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30100702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5030100702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40614301"/>
    <x v="24"/>
    <x v="0"/>
    <x v="75"/>
    <x v="72"/>
    <m/>
    <m/>
    <s v="外部"/>
    <x v="0"/>
    <x v="0"/>
    <s v="C0033-0000"/>
    <n v="30"/>
    <s v="商品"/>
    <n v="1"/>
    <n v="0"/>
    <s v="513300"/>
    <s v="進階版編輯"/>
    <n v="30"/>
    <s v="Mirafeel"/>
    <s v="BNS"/>
  </r>
  <r>
    <s v="#20260425040614301"/>
    <x v="24"/>
    <x v="0"/>
    <x v="76"/>
    <x v="72"/>
    <m/>
    <m/>
    <s v="外部"/>
    <x v="0"/>
    <x v="0"/>
    <s v="C0033-0000"/>
    <n v="30"/>
    <s v="商品"/>
    <n v="1"/>
    <n v="0"/>
    <s v="513300"/>
    <s v="進階版編輯"/>
    <n v="30"/>
    <s v="Mirafeel"/>
    <s v="BNS"/>
  </r>
  <r>
    <s v="#20260425040614301"/>
    <x v="24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BNS"/>
  </r>
  <r>
    <s v="#20260425040614301"/>
    <x v="24"/>
    <x v="0"/>
    <x v="27"/>
    <x v="27"/>
    <m/>
    <m/>
    <s v="外部"/>
    <x v="0"/>
    <x v="0"/>
    <s v="C0033-0000"/>
    <n v="299"/>
    <s v="商品"/>
    <n v="1"/>
    <n v="0"/>
    <s v="510002"/>
    <s v="品牌授權"/>
    <n v="299"/>
    <s v="周邊商品"/>
    <s v="BNS"/>
  </r>
  <r>
    <s v="#20260425050335347"/>
    <x v="2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25050335347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050341398"/>
    <x v="24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5050341398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55035253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5055035253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71629409"/>
    <x v="24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25071629409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72240686"/>
    <x v="24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AD2"/>
  </r>
  <r>
    <s v="#20260425072240686"/>
    <x v="24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072240686"/>
    <x v="24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072240686"/>
    <x v="24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073320246"/>
    <x v="24"/>
    <x v="0"/>
    <x v="90"/>
    <x v="86"/>
    <m/>
    <m/>
    <s v="外部"/>
    <x v="0"/>
    <x v="0"/>
    <s v="C0033-0000"/>
    <n v="600"/>
    <s v="商品"/>
    <n v="1"/>
    <n v="0"/>
    <s v="513300"/>
    <s v="進階版編輯"/>
    <n v="600"/>
    <s v="Mirafeel"/>
    <s v="AD2"/>
  </r>
  <r>
    <s v="#20260425073320246"/>
    <x v="24"/>
    <x v="0"/>
    <x v="157"/>
    <x v="171"/>
    <m/>
    <m/>
    <s v="外部"/>
    <x v="0"/>
    <x v="0"/>
    <s v="C0033-0000"/>
    <n v="600"/>
    <s v="商品"/>
    <n v="1"/>
    <n v="0"/>
    <s v="513300"/>
    <s v="進階版編輯"/>
    <n v="600"/>
    <s v="Mirafeel"/>
    <s v="AD2"/>
  </r>
  <r>
    <s v="#20260425082318234"/>
    <x v="24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5082318234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84024178"/>
    <x v="24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5084024178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90357500"/>
    <x v="24"/>
    <x v="0"/>
    <x v="43"/>
    <x v="43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425090357500"/>
    <x v="2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5090357500"/>
    <x v="24"/>
    <x v="0"/>
    <x v="47"/>
    <x v="47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25090357500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90800604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IG"/>
  </r>
  <r>
    <s v="#20260425090800604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093239675"/>
    <x v="24"/>
    <x v="0"/>
    <x v="105"/>
    <x v="108"/>
    <m/>
    <m/>
    <s v="外部"/>
    <x v="0"/>
    <x v="0"/>
    <s v="C0033-0000"/>
    <n v="2800"/>
    <s v="商品"/>
    <n v="3"/>
    <n v="0"/>
    <s v="513300"/>
    <s v="進階版編輯"/>
    <n v="8400"/>
    <s v="Mirafeel"/>
    <s v=""/>
  </r>
  <r>
    <s v="#20260425093239675"/>
    <x v="24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095116818"/>
    <x v="24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5095116818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02020142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5102020142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121110774"/>
    <x v="24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Email"/>
  </r>
  <r>
    <s v="#20260425121110774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Email"/>
  </r>
  <r>
    <s v="#20260425130351459"/>
    <x v="24"/>
    <x v="0"/>
    <x v="14"/>
    <x v="14"/>
    <m/>
    <m/>
    <s v="外部"/>
    <x v="0"/>
    <x v="0"/>
    <s v="C0033-0000"/>
    <n v="2100"/>
    <s v="商品"/>
    <n v="1"/>
    <n v="0"/>
    <s v="513300"/>
    <s v="進階版編輯"/>
    <n v="2100"/>
    <s v="Mirafeel"/>
    <s v=""/>
  </r>
  <r>
    <s v="#20260425130351459"/>
    <x v="24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133049347"/>
    <x v="24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5133049347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35939575"/>
    <x v="24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25135939575"/>
    <x v="24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5135939575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143224572"/>
    <x v="24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IG"/>
  </r>
  <r>
    <s v="#20260425143224572"/>
    <x v="24"/>
    <x v="0"/>
    <x v="111"/>
    <x v="116"/>
    <m/>
    <m/>
    <s v="外部"/>
    <x v="0"/>
    <x v="0"/>
    <s v="C0033-0000"/>
    <n v="699"/>
    <s v="商品"/>
    <n v="1"/>
    <n v="0"/>
    <s v="510002"/>
    <s v="品牌授權"/>
    <n v="699"/>
    <s v="周邊商品"/>
    <s v="IG"/>
  </r>
  <r>
    <s v="#20260425143224572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43224573"/>
    <x v="24"/>
    <x v="0"/>
    <x v="5"/>
    <x v="144"/>
    <m/>
    <m/>
    <s v="團購"/>
    <x v="1"/>
    <x v="4"/>
    <s v="C0033-0006"/>
    <n v="999"/>
    <s v="商品"/>
    <n v="1"/>
    <n v="0"/>
    <s v="513100"/>
    <s v="周邊編輯"/>
    <n v="999"/>
    <s v="周邊商品"/>
    <s v="IG"/>
  </r>
  <r>
    <s v="#20260425144804632"/>
    <x v="24"/>
    <x v="0"/>
    <x v="71"/>
    <x v="70"/>
    <m/>
    <m/>
    <s v="外部"/>
    <x v="0"/>
    <x v="0"/>
    <s v="C0033-0000"/>
    <n v="2100"/>
    <s v="商品"/>
    <n v="1"/>
    <n v="0"/>
    <s v="513300"/>
    <s v="進階版編輯"/>
    <n v="2100"/>
    <s v="Mirafeel"/>
    <s v="BNS"/>
  </r>
  <r>
    <s v="#20260425144804632"/>
    <x v="24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5150018131"/>
    <x v="24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5150018131"/>
    <x v="24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151705939"/>
    <x v="24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5151705939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52851958"/>
    <x v="24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5152851958"/>
    <x v="24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5152851958"/>
    <x v="24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52851958"/>
    <x v="24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65140982"/>
    <x v="25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5165140982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5170224572"/>
    <x v="25"/>
    <x v="0"/>
    <x v="120"/>
    <x v="127"/>
    <m/>
    <m/>
    <s v="外部"/>
    <x v="0"/>
    <x v="0"/>
    <s v="C0033-0000"/>
    <n v="1560"/>
    <s v="商品"/>
    <n v="1"/>
    <n v="0"/>
    <s v="513261"/>
    <s v="團團購"/>
    <n v="1560"/>
    <s v="周邊商品"/>
    <s v="IG"/>
  </r>
  <r>
    <s v="#20260425170224572"/>
    <x v="25"/>
    <x v="0"/>
    <x v="129"/>
    <x v="55"/>
    <m/>
    <m/>
    <s v="外部"/>
    <x v="0"/>
    <x v="0"/>
    <s v="C0033-0000"/>
    <n v="399"/>
    <s v="商品"/>
    <n v="1"/>
    <n v="0"/>
    <s v="510015"/>
    <s v="舞台劇"/>
    <n v="399"/>
    <s v="周邊商品"/>
    <s v="IG"/>
  </r>
  <r>
    <s v="#20260425170224572"/>
    <x v="2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70224573"/>
    <x v="25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5170224573"/>
    <x v="25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IG"/>
  </r>
  <r>
    <s v="#20260425170224573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70224573"/>
    <x v="25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70510572"/>
    <x v="2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5170510572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5170907353"/>
    <x v="25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5170907353"/>
    <x v="25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5170907353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170907353"/>
    <x v="25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220121849"/>
    <x v="25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IG"/>
  </r>
  <r>
    <s v="#20260425220121849"/>
    <x v="25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425220121849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5221133933"/>
    <x v="25"/>
    <x v="0"/>
    <x v="105"/>
    <x v="108"/>
    <m/>
    <m/>
    <s v="外部"/>
    <x v="0"/>
    <x v="0"/>
    <s v="C0033-0000"/>
    <n v="2800"/>
    <s v="商品"/>
    <n v="1"/>
    <n v="0"/>
    <s v="513300"/>
    <s v="進階版編輯"/>
    <n v="2800"/>
    <s v="Mirafeel"/>
    <s v=""/>
  </r>
  <r>
    <s v="#20260425221133933"/>
    <x v="25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23003025"/>
    <x v="2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26023003025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30950656"/>
    <x v="25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IG"/>
  </r>
  <r>
    <s v="#20260426030950656"/>
    <x v="25"/>
    <x v="0"/>
    <x v="15"/>
    <x v="15"/>
    <m/>
    <m/>
    <s v="外部"/>
    <x v="0"/>
    <x v="0"/>
    <s v="C0033-0000"/>
    <n v="159"/>
    <s v="加購品"/>
    <n v="1"/>
    <n v="0"/>
    <s v="513261"/>
    <s v="團團購"/>
    <n v="159"/>
    <s v="周邊商品"/>
    <s v="IG"/>
  </r>
  <r>
    <s v="#20260426030950656"/>
    <x v="25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426030950656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31431019"/>
    <x v="25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6031431019"/>
    <x v="25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6031431019"/>
    <x v="25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31431019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31431019"/>
    <x v="25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31431019"/>
    <x v="25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42420944"/>
    <x v="25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6042420944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6044435049"/>
    <x v="25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6044435049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52640484"/>
    <x v="25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26052640484"/>
    <x v="2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426052640484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6054601215"/>
    <x v="25"/>
    <x v="0"/>
    <x v="158"/>
    <x v="172"/>
    <m/>
    <m/>
    <s v="外部"/>
    <x v="0"/>
    <x v="0"/>
    <s v="C0033-0000"/>
    <n v="1999"/>
    <s v="商品"/>
    <n v="1"/>
    <n v="0"/>
    <s v="510015"/>
    <s v="舞台劇"/>
    <n v="1999"/>
    <s v="周邊商品"/>
    <s v=""/>
  </r>
  <r>
    <s v="#20260426054601215"/>
    <x v="25"/>
    <x v="0"/>
    <x v="26"/>
    <x v="26"/>
    <m/>
    <m/>
    <s v="外部"/>
    <x v="0"/>
    <x v="0"/>
    <s v="C0033-0000"/>
    <n v="225"/>
    <s v="商品"/>
    <n v="2"/>
    <n v="0"/>
    <s v="513261"/>
    <s v="團團購"/>
    <n v="450"/>
    <s v="周邊商品"/>
    <s v=""/>
  </r>
  <r>
    <s v="#20260426054601215"/>
    <x v="2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54601215"/>
    <x v="25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55511581"/>
    <x v="25"/>
    <x v="0"/>
    <x v="159"/>
    <x v="72"/>
    <m/>
    <m/>
    <s v="外部"/>
    <x v="0"/>
    <x v="0"/>
    <s v="C0033-0000"/>
    <n v="30"/>
    <s v="商品"/>
    <n v="6"/>
    <n v="0"/>
    <s v="513300"/>
    <s v="進階版編輯"/>
    <n v="180"/>
    <s v="Mirafeel"/>
    <s v="BNS"/>
  </r>
  <r>
    <s v="#20260426055511581"/>
    <x v="25"/>
    <x v="0"/>
    <x v="75"/>
    <x v="72"/>
    <m/>
    <m/>
    <s v="外部"/>
    <x v="0"/>
    <x v="0"/>
    <s v="C0033-0000"/>
    <n v="30"/>
    <s v="商品"/>
    <n v="1"/>
    <n v="0"/>
    <s v="513300"/>
    <s v="進階版編輯"/>
    <n v="30"/>
    <s v="Mirafeel"/>
    <s v="BNS"/>
  </r>
  <r>
    <s v="#20260426061547833"/>
    <x v="25"/>
    <x v="0"/>
    <x v="105"/>
    <x v="108"/>
    <m/>
    <m/>
    <s v="外部"/>
    <x v="0"/>
    <x v="0"/>
    <s v="C0033-0000"/>
    <n v="2800"/>
    <s v="商品"/>
    <n v="1"/>
    <n v="0"/>
    <s v="513300"/>
    <s v="進階版編輯"/>
    <n v="2800"/>
    <s v="Mirafeel"/>
    <s v="BNS"/>
  </r>
  <r>
    <s v="#20260426061547833"/>
    <x v="25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6062347434"/>
    <x v="25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26062347434"/>
    <x v="25"/>
    <x v="0"/>
    <x v="67"/>
    <x v="66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426062347434"/>
    <x v="25"/>
    <x v="0"/>
    <x v="15"/>
    <x v="15"/>
    <m/>
    <m/>
    <s v="外部"/>
    <x v="0"/>
    <x v="0"/>
    <s v="C0033-0000"/>
    <n v="199"/>
    <s v="商品"/>
    <n v="1"/>
    <n v="0"/>
    <s v="513261"/>
    <s v="團團購"/>
    <n v="199"/>
    <s v="周邊商品"/>
    <s v=""/>
  </r>
  <r>
    <s v="#20260426062347434"/>
    <x v="25"/>
    <x v="0"/>
    <x v="17"/>
    <x v="17"/>
    <m/>
    <m/>
    <s v="外部"/>
    <x v="0"/>
    <x v="0"/>
    <s v="C0033-0000"/>
    <n v="299"/>
    <s v="商品"/>
    <n v="2"/>
    <n v="0"/>
    <s v="513100"/>
    <s v="周邊編輯"/>
    <n v="598"/>
    <s v="周邊商品"/>
    <s v=""/>
  </r>
  <r>
    <s v="#20260426062347434"/>
    <x v="25"/>
    <x v="0"/>
    <x v="69"/>
    <x v="68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62347434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81140986"/>
    <x v="25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6081140986"/>
    <x v="25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6081140986"/>
    <x v="25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1140986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1140986"/>
    <x v="25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1140986"/>
    <x v="25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1240688"/>
    <x v="25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426081240688"/>
    <x v="2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6081240688"/>
    <x v="25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426081240688"/>
    <x v="25"/>
    <x v="0"/>
    <x v="137"/>
    <x v="150"/>
    <m/>
    <m/>
    <s v="外部"/>
    <x v="0"/>
    <x v="0"/>
    <s v="C0033-0000"/>
    <n v="168"/>
    <s v="商品"/>
    <n v="1"/>
    <n v="0"/>
    <s v="513261"/>
    <s v="團團購"/>
    <n v="168"/>
    <s v="周邊商品"/>
    <s v="AD2"/>
  </r>
  <r>
    <s v="#20260426081240688"/>
    <x v="25"/>
    <x v="0"/>
    <x v="156"/>
    <x v="170"/>
    <m/>
    <m/>
    <s v="外部"/>
    <x v="0"/>
    <x v="0"/>
    <s v="C0033-0000"/>
    <n v="168"/>
    <s v="商品"/>
    <n v="1"/>
    <n v="0"/>
    <s v="513261"/>
    <s v="團團購"/>
    <n v="168"/>
    <s v="周邊商品"/>
    <s v="AD2"/>
  </r>
  <r>
    <s v="#20260426081240688"/>
    <x v="25"/>
    <x v="0"/>
    <x v="92"/>
    <x v="88"/>
    <m/>
    <m/>
    <s v="外部"/>
    <x v="0"/>
    <x v="0"/>
    <s v="C0033-0000"/>
    <n v="285"/>
    <s v="商品"/>
    <n v="1"/>
    <n v="0"/>
    <s v="513261"/>
    <s v="團團購"/>
    <n v="285"/>
    <s v="周邊商品"/>
    <s v="AD2"/>
  </r>
  <r>
    <s v="#20260426081240688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6083248740"/>
    <x v="25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IG"/>
  </r>
  <r>
    <s v="#20260426083248740"/>
    <x v="25"/>
    <x v="0"/>
    <x v="79"/>
    <x v="75"/>
    <m/>
    <m/>
    <s v="外部"/>
    <x v="0"/>
    <x v="0"/>
    <s v="C0033-0000"/>
    <n v="4500"/>
    <s v="商品"/>
    <n v="1"/>
    <n v="0"/>
    <s v="512105"/>
    <s v="英語編輯"/>
    <n v="4500"/>
    <s v="學習"/>
    <s v="IG"/>
  </r>
  <r>
    <s v="#20260426083248740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3248741"/>
    <x v="25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6083248741"/>
    <x v="25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6083248741"/>
    <x v="25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3248741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3248741"/>
    <x v="25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3248741"/>
    <x v="25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085315212"/>
    <x v="25"/>
    <x v="0"/>
    <x v="22"/>
    <x v="139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426085315212"/>
    <x v="25"/>
    <x v="0"/>
    <x v="160"/>
    <x v="173"/>
    <m/>
    <m/>
    <s v="外部"/>
    <x v="0"/>
    <x v="0"/>
    <s v="C0033-0000"/>
    <n v="3300"/>
    <s v="商品"/>
    <n v="1"/>
    <n v="0"/>
    <s v="513100"/>
    <s v="周邊編輯"/>
    <n v="3300"/>
    <s v="學習"/>
    <s v=""/>
  </r>
  <r>
    <s v="#20260426085315212"/>
    <x v="25"/>
    <x v="0"/>
    <x v="8"/>
    <x v="8"/>
    <m/>
    <m/>
    <s v="外部"/>
    <x v="0"/>
    <x v="0"/>
    <s v="C0033-0000"/>
    <n v="5199"/>
    <s v="商品"/>
    <n v="1"/>
    <n v="0"/>
    <s v="513100"/>
    <s v="周邊編輯"/>
    <n v="5199"/>
    <s v="周邊商品"/>
    <s v=""/>
  </r>
  <r>
    <s v="#20260426085315212"/>
    <x v="25"/>
    <x v="0"/>
    <x v="118"/>
    <x v="125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26085315212"/>
    <x v="25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"/>
  </r>
  <r>
    <s v="#20260426085315212"/>
    <x v="25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85315212"/>
    <x v="25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85315212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85315212"/>
    <x v="2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085315212"/>
    <x v="25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100048338"/>
    <x v="25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"/>
  </r>
  <r>
    <s v="#20260426100048338"/>
    <x v="2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6124314200"/>
    <x v="25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26124314200"/>
    <x v="25"/>
    <x v="0"/>
    <x v="41"/>
    <x v="41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6125812688"/>
    <x v="25"/>
    <x v="0"/>
    <x v="37"/>
    <x v="37"/>
    <m/>
    <m/>
    <s v="外部"/>
    <x v="0"/>
    <x v="0"/>
    <s v="C0033-0000"/>
    <n v="2800"/>
    <s v="商品"/>
    <n v="2"/>
    <n v="0"/>
    <s v="513300"/>
    <s v="進階版編輯"/>
    <n v="5600"/>
    <s v="Mirafeel"/>
    <s v="AD2"/>
  </r>
  <r>
    <s v="#20260426125812688"/>
    <x v="25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6133835856"/>
    <x v="25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6133835856"/>
    <x v="25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6133835856"/>
    <x v="25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3835856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3835856"/>
    <x v="25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3835856"/>
    <x v="25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95"/>
    <x v="91"/>
    <m/>
    <m/>
    <s v="外部"/>
    <x v="0"/>
    <x v="0"/>
    <s v="C0033-0000"/>
    <n v="799"/>
    <s v="商品"/>
    <n v="1"/>
    <n v="0"/>
    <s v="510002"/>
    <s v="品牌授權"/>
    <n v="799"/>
    <s v="周邊商品"/>
    <s v="IG"/>
  </r>
  <r>
    <s v="#20260426135712990"/>
    <x v="25"/>
    <x v="0"/>
    <x v="93"/>
    <x v="89"/>
    <m/>
    <m/>
    <s v="外部"/>
    <x v="0"/>
    <x v="0"/>
    <s v="C0033-0000"/>
    <n v="880"/>
    <s v="商品"/>
    <n v="1"/>
    <n v="0"/>
    <s v="510002"/>
    <s v="品牌授權"/>
    <n v="880"/>
    <s v="周邊商品"/>
    <s v="IG"/>
  </r>
  <r>
    <s v="#20260426135712990"/>
    <x v="25"/>
    <x v="0"/>
    <x v="41"/>
    <x v="41"/>
    <m/>
    <m/>
    <s v="外部"/>
    <x v="0"/>
    <x v="0"/>
    <s v="C0033-0000"/>
    <n v="220"/>
    <s v="商品"/>
    <n v="1"/>
    <n v="0"/>
    <s v="510002"/>
    <s v="品牌授權"/>
    <n v="220"/>
    <s v="周邊商品"/>
    <s v="IG"/>
  </r>
  <r>
    <s v="#20260426135712990"/>
    <x v="25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IG"/>
  </r>
  <r>
    <s v="#20260426135712990"/>
    <x v="25"/>
    <x v="0"/>
    <x v="91"/>
    <x v="87"/>
    <m/>
    <m/>
    <s v="外部"/>
    <x v="0"/>
    <x v="0"/>
    <s v="C0033-0000"/>
    <n v="580"/>
    <s v="商品"/>
    <n v="1"/>
    <n v="0"/>
    <s v="510002"/>
    <s v="品牌授權"/>
    <n v="580"/>
    <s v="周邊商品"/>
    <s v="IG"/>
  </r>
  <r>
    <s v="#20260426135712990"/>
    <x v="25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426135712990"/>
    <x v="25"/>
    <x v="0"/>
    <x v="54"/>
    <x v="54"/>
    <m/>
    <m/>
    <s v="外部"/>
    <x v="0"/>
    <x v="0"/>
    <s v="C0033-0000"/>
    <n v="1400"/>
    <s v="商品"/>
    <n v="1"/>
    <n v="0"/>
    <s v="510002"/>
    <s v="品牌授權"/>
    <n v="1400"/>
    <s v="周邊商品"/>
    <s v="IG"/>
  </r>
  <r>
    <s v="#20260426135712990"/>
    <x v="25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35712990"/>
    <x v="25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40151059"/>
    <x v="25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6140151059"/>
    <x v="25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6140151059"/>
    <x v="25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6144731121"/>
    <x v="2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6144731121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6152323264"/>
    <x v="25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FBAD"/>
  </r>
  <r>
    <s v="#20260426152323264"/>
    <x v="25"/>
    <x v="0"/>
    <x v="16"/>
    <x v="16"/>
    <m/>
    <m/>
    <s v="外部"/>
    <x v="0"/>
    <x v="0"/>
    <s v="C0033-0000"/>
    <n v="899"/>
    <s v="商品"/>
    <n v="1"/>
    <n v="0"/>
    <s v="510015"/>
    <s v="舞台劇"/>
    <n v="899"/>
    <s v="周邊商品"/>
    <s v="FBAD"/>
  </r>
  <r>
    <s v="#20260426152323264"/>
    <x v="25"/>
    <x v="0"/>
    <x v="23"/>
    <x v="23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26155500504"/>
    <x v="25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6155500504"/>
    <x v="25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6160400802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6160400802"/>
    <x v="2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AD2"/>
  </r>
  <r>
    <s v="#20260426160400802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6164352468"/>
    <x v="26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6164352468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11345423"/>
    <x v="26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27011345423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012333341"/>
    <x v="26"/>
    <x v="0"/>
    <x v="158"/>
    <x v="172"/>
    <m/>
    <m/>
    <s v="外部"/>
    <x v="0"/>
    <x v="0"/>
    <s v="C0033-0000"/>
    <n v="1999"/>
    <s v="商品"/>
    <n v="1"/>
    <n v="0"/>
    <s v="510015"/>
    <s v="舞台劇"/>
    <n v="1999"/>
    <s v="周邊商品"/>
    <s v=""/>
  </r>
  <r>
    <s v="#20260427012333341"/>
    <x v="2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020849945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7020849945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023453174"/>
    <x v="26"/>
    <x v="0"/>
    <x v="50"/>
    <x v="50"/>
    <m/>
    <m/>
    <s v="外部"/>
    <x v="0"/>
    <x v="0"/>
    <s v="C0033-0000"/>
    <n v="350"/>
    <s v="商品"/>
    <n v="6"/>
    <n v="0"/>
    <s v="513300"/>
    <s v="進階版編輯"/>
    <n v="2100"/>
    <s v="Mirafeel"/>
    <s v=""/>
  </r>
  <r>
    <s v="#20260427023453174"/>
    <x v="26"/>
    <x v="0"/>
    <x v="51"/>
    <x v="51"/>
    <m/>
    <m/>
    <s v="外部"/>
    <x v="0"/>
    <x v="0"/>
    <s v="C0033-0000"/>
    <n v="0"/>
    <s v="贈品"/>
    <n v="0"/>
    <n v="2"/>
    <s v="513200"/>
    <s v="周邊營業"/>
    <n v="0"/>
    <s v="周邊商品"/>
    <s v=""/>
  </r>
  <r>
    <s v="#20260427023453174"/>
    <x v="26"/>
    <x v="0"/>
    <x v="50"/>
    <x v="174"/>
    <m/>
    <m/>
    <s v="外部"/>
    <x v="0"/>
    <x v="0"/>
    <s v="C0033-0000"/>
    <n v="0"/>
    <s v="贈品"/>
    <n v="0"/>
    <n v="3"/>
    <s v="513200"/>
    <s v="周邊營業"/>
    <n v="0"/>
    <s v="Mirafeel"/>
    <s v=""/>
  </r>
  <r>
    <s v="#20260427024044310"/>
    <x v="26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"/>
  </r>
  <r>
    <s v="#20260427024044310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032932530"/>
    <x v="26"/>
    <x v="0"/>
    <x v="161"/>
    <x v="175"/>
    <m/>
    <m/>
    <s v="外部"/>
    <x v="0"/>
    <x v="0"/>
    <s v="C0033-0000"/>
    <n v="999"/>
    <s v="商品"/>
    <n v="1"/>
    <n v="0"/>
    <s v="513100"/>
    <s v="周邊編輯"/>
    <n v="999"/>
    <s v="學習"/>
    <s v=""/>
  </r>
  <r>
    <s v="#20260427032932530"/>
    <x v="26"/>
    <x v="0"/>
    <x v="155"/>
    <x v="169"/>
    <m/>
    <m/>
    <s v="外部"/>
    <x v="0"/>
    <x v="0"/>
    <s v="C0033-0000"/>
    <n v="199"/>
    <s v="商品"/>
    <n v="1"/>
    <n v="0"/>
    <s v="510002"/>
    <s v="品牌授權"/>
    <n v="199"/>
    <s v="周邊商品"/>
    <s v=""/>
  </r>
  <r>
    <s v="#20260427033229608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7033229608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7035156094"/>
    <x v="26"/>
    <x v="0"/>
    <x v="131"/>
    <x v="141"/>
    <m/>
    <m/>
    <s v="外部"/>
    <x v="0"/>
    <x v="0"/>
    <s v="C0033-0000"/>
    <n v="1199"/>
    <s v="商品"/>
    <n v="1"/>
    <n v="0"/>
    <s v="510002"/>
    <s v="品牌授權"/>
    <n v="1199"/>
    <s v="周邊商品"/>
    <s v="BNS"/>
  </r>
  <r>
    <s v="#20260427035156094"/>
    <x v="26"/>
    <x v="0"/>
    <x v="95"/>
    <x v="91"/>
    <m/>
    <m/>
    <s v="外部"/>
    <x v="0"/>
    <x v="0"/>
    <s v="C0033-0000"/>
    <n v="799"/>
    <s v="商品"/>
    <n v="1"/>
    <n v="0"/>
    <s v="510002"/>
    <s v="品牌授權"/>
    <n v="799"/>
    <s v="周邊商品"/>
    <s v="BNS"/>
  </r>
  <r>
    <s v="#20260427035156094"/>
    <x v="26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27035156094"/>
    <x v="26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BNS"/>
  </r>
  <r>
    <s v="#20260427035156094"/>
    <x v="26"/>
    <x v="0"/>
    <x v="22"/>
    <x v="139"/>
    <m/>
    <m/>
    <s v="外部"/>
    <x v="0"/>
    <x v="0"/>
    <s v="C0033-0000"/>
    <n v="1500"/>
    <s v="商品"/>
    <n v="1"/>
    <n v="0"/>
    <s v="510002"/>
    <s v="品牌授權"/>
    <n v="1500"/>
    <s v="周邊商品"/>
    <s v="BNS"/>
  </r>
  <r>
    <s v="#20260427035156094"/>
    <x v="26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7035156094"/>
    <x v="2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7035156094"/>
    <x v="26"/>
    <x v="0"/>
    <x v="34"/>
    <x v="3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7035156094"/>
    <x v="26"/>
    <x v="0"/>
    <x v="35"/>
    <x v="35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7035156094"/>
    <x v="26"/>
    <x v="0"/>
    <x v="36"/>
    <x v="36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7042931524"/>
    <x v="26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7042931524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42931524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50659615"/>
    <x v="26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7050659615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52825783"/>
    <x v="26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post"/>
  </r>
  <r>
    <s v="#20260427052825783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427053420944"/>
    <x v="26"/>
    <x v="0"/>
    <x v="111"/>
    <x v="120"/>
    <m/>
    <m/>
    <s v="團購"/>
    <x v="1"/>
    <x v="4"/>
    <s v="C0033-0006"/>
    <n v="699"/>
    <s v="商品"/>
    <n v="1"/>
    <n v="0"/>
    <s v="510002"/>
    <s v="品牌授權"/>
    <n v="699"/>
    <s v="周邊商品"/>
    <s v="IG"/>
  </r>
  <r>
    <s v="#20260427053420944"/>
    <x v="26"/>
    <x v="0"/>
    <x v="5"/>
    <x v="144"/>
    <m/>
    <m/>
    <s v="團購"/>
    <x v="1"/>
    <x v="4"/>
    <s v="C0033-0006"/>
    <n v="999"/>
    <s v="商品"/>
    <n v="1"/>
    <n v="0"/>
    <s v="513100"/>
    <s v="周邊編輯"/>
    <n v="999"/>
    <s v="周邊商品"/>
    <s v="IG"/>
  </r>
  <r>
    <s v="#20260427053420944"/>
    <x v="26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7053420944"/>
    <x v="2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7053420944"/>
    <x v="26"/>
    <x v="0"/>
    <x v="70"/>
    <x v="115"/>
    <m/>
    <m/>
    <s v="團購"/>
    <x v="1"/>
    <x v="4"/>
    <s v="C0033-0006"/>
    <n v="1099"/>
    <s v="商品"/>
    <n v="1"/>
    <n v="0"/>
    <s v="510002"/>
    <s v="品牌授權"/>
    <n v="1099"/>
    <s v="周邊商品"/>
    <s v="IG"/>
  </r>
  <r>
    <s v="#20260427053420944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53420944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53420944"/>
    <x v="26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065441099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7065441099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7083045331"/>
    <x v="26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427083045331"/>
    <x v="26"/>
    <x v="0"/>
    <x v="52"/>
    <x v="52"/>
    <m/>
    <m/>
    <s v="外部"/>
    <x v="0"/>
    <x v="0"/>
    <s v="C0033-0000"/>
    <n v="252"/>
    <s v="商品"/>
    <n v="1"/>
    <n v="0"/>
    <s v="513261"/>
    <s v="團團購"/>
    <n v="252"/>
    <s v="周邊商品"/>
    <s v="AD2"/>
  </r>
  <r>
    <s v="#20260427083045331"/>
    <x v="26"/>
    <x v="0"/>
    <x v="21"/>
    <x v="21"/>
    <m/>
    <m/>
    <s v="外部"/>
    <x v="0"/>
    <x v="0"/>
    <s v="C0033-0000"/>
    <n v="84"/>
    <s v="商品"/>
    <n v="2"/>
    <n v="0"/>
    <s v="513261"/>
    <s v="團團購"/>
    <n v="168"/>
    <s v="周邊商品"/>
    <s v="AD2"/>
  </r>
  <r>
    <s v="#20260427083045331"/>
    <x v="26"/>
    <x v="0"/>
    <x v="68"/>
    <x v="67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27083045331"/>
    <x v="26"/>
    <x v="0"/>
    <x v="108"/>
    <x v="112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427083045331"/>
    <x v="26"/>
    <x v="0"/>
    <x v="162"/>
    <x v="176"/>
    <m/>
    <m/>
    <s v="外部"/>
    <x v="0"/>
    <x v="0"/>
    <s v="C0033-0000"/>
    <n v="399"/>
    <s v="商品"/>
    <n v="1"/>
    <n v="0"/>
    <s v="510002"/>
    <s v="品牌授權"/>
    <n v="399"/>
    <s v="周邊商品"/>
    <s v="AD2"/>
  </r>
  <r>
    <s v="#20260427095331321"/>
    <x v="26"/>
    <x v="0"/>
    <x v="163"/>
    <x v="177"/>
    <m/>
    <m/>
    <s v="外部"/>
    <x v="0"/>
    <x v="0"/>
    <s v="C0033-0000"/>
    <n v="350"/>
    <s v="商品"/>
    <n v="2"/>
    <n v="0"/>
    <s v="513300"/>
    <s v="進階版編輯"/>
    <n v="700"/>
    <s v="Mirafeel"/>
    <s v="BNS"/>
  </r>
  <r>
    <s v="#20260427095331321"/>
    <x v="26"/>
    <x v="0"/>
    <x v="50"/>
    <x v="174"/>
    <m/>
    <m/>
    <s v="外部"/>
    <x v="0"/>
    <x v="0"/>
    <s v="C0033-0000"/>
    <n v="0"/>
    <s v="贈品"/>
    <n v="0"/>
    <n v="1"/>
    <s v="513200"/>
    <s v="周邊營業"/>
    <n v="0"/>
    <s v="Mirafeel"/>
    <s v="BNS"/>
  </r>
  <r>
    <s v="#20260427103842900"/>
    <x v="26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7103842900"/>
    <x v="26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7103842900"/>
    <x v="26"/>
    <x v="0"/>
    <x v="111"/>
    <x v="120"/>
    <m/>
    <m/>
    <s v="團購"/>
    <x v="1"/>
    <x v="4"/>
    <s v="C0033-0006"/>
    <n v="699"/>
    <s v="商品"/>
    <n v="1"/>
    <n v="0"/>
    <s v="510002"/>
    <s v="品牌授權"/>
    <n v="699"/>
    <s v="周邊商品"/>
    <s v="IG"/>
  </r>
  <r>
    <s v="#20260427103842900"/>
    <x v="26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03842900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03842900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03842900"/>
    <x v="26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13601211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7113601211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7120652570"/>
    <x v="26"/>
    <x v="0"/>
    <x v="30"/>
    <x v="30"/>
    <m/>
    <m/>
    <s v="外部"/>
    <x v="0"/>
    <x v="0"/>
    <s v="C0033-0000"/>
    <n v="350"/>
    <s v="商品"/>
    <n v="1"/>
    <n v="0"/>
    <s v="510002"/>
    <s v="品牌授權"/>
    <n v="350"/>
    <s v="周邊商品"/>
    <s v="AD2"/>
  </r>
  <r>
    <s v="#20260427120652570"/>
    <x v="26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AD2"/>
  </r>
  <r>
    <s v="#20260427120652570"/>
    <x v="26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7121329304"/>
    <x v="26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7121329304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21334340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7121334340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7132342398"/>
    <x v="26"/>
    <x v="0"/>
    <x v="37"/>
    <x v="37"/>
    <m/>
    <m/>
    <s v="外部"/>
    <x v="0"/>
    <x v="0"/>
    <s v="C0033-0000"/>
    <n v="2800"/>
    <s v="商品"/>
    <n v="1"/>
    <n v="0"/>
    <s v="513300"/>
    <s v="進階版編輯"/>
    <n v="2800"/>
    <s v="Mirafeel"/>
    <s v=""/>
  </r>
  <r>
    <s v="#20260427132342398"/>
    <x v="26"/>
    <x v="0"/>
    <x v="41"/>
    <x v="41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7132342398"/>
    <x v="26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427132342398"/>
    <x v="26"/>
    <x v="0"/>
    <x v="153"/>
    <x v="167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32342399"/>
    <x v="26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"/>
  </r>
  <r>
    <s v="#20260427132342399"/>
    <x v="26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"/>
  </r>
  <r>
    <s v="#20260427132342399"/>
    <x v="2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7132342399"/>
    <x v="26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"/>
  </r>
  <r>
    <s v="#20260427132342399"/>
    <x v="26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"/>
  </r>
  <r>
    <s v="#20260427132342399"/>
    <x v="26"/>
    <x v="0"/>
    <x v="113"/>
    <x v="119"/>
    <m/>
    <m/>
    <s v="外部"/>
    <x v="0"/>
    <x v="0"/>
    <s v="C0033-0000"/>
    <n v="299"/>
    <s v="加購品"/>
    <n v="1"/>
    <n v="0"/>
    <s v="513100"/>
    <s v="周邊編輯"/>
    <n v="299"/>
    <s v="周邊商品"/>
    <s v=""/>
  </r>
  <r>
    <s v="#20260427132342399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32342399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32342399"/>
    <x v="26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32342399"/>
    <x v="26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32342399"/>
    <x v="26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35216514"/>
    <x v="26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7135216514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40042296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7140042296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41134940"/>
    <x v="26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7141134940"/>
    <x v="26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7141134940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41134940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43658608"/>
    <x v="26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7143658608"/>
    <x v="2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7143658608"/>
    <x v="26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27143658608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7144821749"/>
    <x v="26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7144821749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0033235"/>
    <x v="26"/>
    <x v="0"/>
    <x v="0"/>
    <x v="0"/>
    <m/>
    <m/>
    <s v="外部"/>
    <x v="0"/>
    <x v="0"/>
    <s v="C0033-0000"/>
    <n v="2399"/>
    <s v="商品"/>
    <n v="2"/>
    <n v="0"/>
    <s v="513100"/>
    <s v="周邊編輯"/>
    <n v="4798"/>
    <s v="學習"/>
    <s v="ads"/>
  </r>
  <r>
    <s v="#20260427150033235"/>
    <x v="2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s"/>
  </r>
  <r>
    <s v="#20260427150033235"/>
    <x v="26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s"/>
  </r>
  <r>
    <s v="#20260427151448140"/>
    <x v="26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7151448140"/>
    <x v="26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7151448140"/>
    <x v="26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1448140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1448140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1448140"/>
    <x v="26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2804630"/>
    <x v="26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7152804630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4909365"/>
    <x v="26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BNS"/>
  </r>
  <r>
    <s v="#20260427154909365"/>
    <x v="26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BNS"/>
  </r>
  <r>
    <s v="#20260427154909365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7155227591"/>
    <x v="26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7155227591"/>
    <x v="26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55227591"/>
    <x v="26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160625378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7160625378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7232224570"/>
    <x v="27"/>
    <x v="0"/>
    <x v="19"/>
    <x v="19"/>
    <m/>
    <m/>
    <s v="外部"/>
    <x v="0"/>
    <x v="0"/>
    <s v="C0033-0000"/>
    <n v="1399"/>
    <s v="商品"/>
    <n v="1"/>
    <n v="0"/>
    <s v="510002"/>
    <s v="品牌授權"/>
    <n v="1399"/>
    <s v="周邊商品"/>
    <s v="AD2"/>
  </r>
  <r>
    <s v="#20260427232224570"/>
    <x v="2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7234405837"/>
    <x v="2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7234405837"/>
    <x v="2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7234405837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00830812"/>
    <x v="27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8000830812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02213493"/>
    <x v="27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8002213493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05444114"/>
    <x v="2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8005444114"/>
    <x v="2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28005444114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11409870"/>
    <x v="27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8011409870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13958712"/>
    <x v="27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"/>
  </r>
  <r>
    <s v="#20260428013958712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15841891"/>
    <x v="2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8015841891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8023929507"/>
    <x v="27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AD2"/>
  </r>
  <r>
    <s v="#20260428023929507"/>
    <x v="27"/>
    <x v="0"/>
    <x v="74"/>
    <x v="72"/>
    <m/>
    <m/>
    <s v="外部"/>
    <x v="0"/>
    <x v="0"/>
    <s v="C0033-0000"/>
    <n v="30"/>
    <s v="商品"/>
    <n v="1"/>
    <n v="0"/>
    <s v="513300"/>
    <s v="進階版編輯"/>
    <n v="30"/>
    <s v="Mirafeel"/>
    <s v="AD2"/>
  </r>
  <r>
    <s v="#20260428032153073"/>
    <x v="27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8032153073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32153073"/>
    <x v="27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8032153073"/>
    <x v="27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32153073"/>
    <x v="27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2153073"/>
    <x v="27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2153073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2153073"/>
    <x v="27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2153073"/>
    <x v="27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2153073"/>
    <x v="27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2153073"/>
    <x v="27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35657600"/>
    <x v="2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8035657600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42457201"/>
    <x v="2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IG"/>
  </r>
  <r>
    <s v="#20260428042457201"/>
    <x v="27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IG"/>
  </r>
  <r>
    <s v="#20260428042457201"/>
    <x v="27"/>
    <x v="0"/>
    <x v="118"/>
    <x v="125"/>
    <m/>
    <m/>
    <s v="外部"/>
    <x v="0"/>
    <x v="0"/>
    <s v="C0033-0000"/>
    <n v="299"/>
    <s v="加購品"/>
    <n v="1"/>
    <n v="0"/>
    <s v="510002"/>
    <s v="品牌授權"/>
    <n v="299"/>
    <s v="周邊商品"/>
    <s v="IG"/>
  </r>
  <r>
    <s v="#20260428042457201"/>
    <x v="27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IG"/>
  </r>
  <r>
    <s v="#20260428042457201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2457201"/>
    <x v="2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2457202"/>
    <x v="27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8042457202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5147031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45147031"/>
    <x v="27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45147031"/>
    <x v="27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5147031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5147031"/>
    <x v="27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5147031"/>
    <x v="27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5350452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45350452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45750256"/>
    <x v="2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8045750256"/>
    <x v="2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8045750256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8051447132"/>
    <x v="27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28051447132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72906344"/>
    <x v="27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8072906344"/>
    <x v="27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8072906344"/>
    <x v="27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8072906344"/>
    <x v="27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8072906344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2906344"/>
    <x v="27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2906344"/>
    <x v="27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2906344"/>
    <x v="27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2906344"/>
    <x v="27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4148042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74148042"/>
    <x v="27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74148042"/>
    <x v="27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4148042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4148042"/>
    <x v="27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4148042"/>
    <x v="27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75939582"/>
    <x v="2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8075939582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8083236660"/>
    <x v="2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8083236660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84112790"/>
    <x v="27"/>
    <x v="0"/>
    <x v="80"/>
    <x v="76"/>
    <m/>
    <m/>
    <s v="外部"/>
    <x v="0"/>
    <x v="0"/>
    <s v="C0033-0000"/>
    <n v="600"/>
    <s v="商品"/>
    <n v="1"/>
    <n v="0"/>
    <s v="513300"/>
    <s v="進階版編輯"/>
    <n v="600"/>
    <s v="Mirafeel"/>
    <s v=""/>
  </r>
  <r>
    <s v="#20260428084112790"/>
    <x v="27"/>
    <x v="0"/>
    <x v="80"/>
    <x v="76"/>
    <m/>
    <m/>
    <s v="外部"/>
    <x v="0"/>
    <x v="0"/>
    <s v="C0033-0000"/>
    <n v="600"/>
    <s v="商品"/>
    <n v="2"/>
    <n v="0"/>
    <s v="513300"/>
    <s v="進階版編輯"/>
    <n v="1200"/>
    <s v="Mirafeel"/>
    <s v=""/>
  </r>
  <r>
    <s v="#20260428084112790"/>
    <x v="27"/>
    <x v="0"/>
    <x v="51"/>
    <x v="51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092137961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092137961"/>
    <x v="27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8092137961"/>
    <x v="27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8092137961"/>
    <x v="27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8092137961"/>
    <x v="27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92137961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92137961"/>
    <x v="27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92137961"/>
    <x v="27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92137961"/>
    <x v="27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92137961"/>
    <x v="27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094005041"/>
    <x v="27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8094005041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8095923465"/>
    <x v="2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8095923465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8113630414"/>
    <x v="27"/>
    <x v="0"/>
    <x v="131"/>
    <x v="141"/>
    <m/>
    <m/>
    <s v="外部"/>
    <x v="0"/>
    <x v="0"/>
    <s v="C0033-0000"/>
    <n v="1199"/>
    <s v="商品"/>
    <n v="1"/>
    <n v="0"/>
    <s v="510002"/>
    <s v="品牌授權"/>
    <n v="1199"/>
    <s v="周邊商品"/>
    <s v=""/>
  </r>
  <r>
    <s v="#20260428113630414"/>
    <x v="27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428113630414"/>
    <x v="27"/>
    <x v="0"/>
    <x v="138"/>
    <x v="151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28113630414"/>
    <x v="27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122743203"/>
    <x v="27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28122743203"/>
    <x v="27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28122743203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123059415"/>
    <x v="27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8123059415"/>
    <x v="27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8123059415"/>
    <x v="27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23059415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23059415"/>
    <x v="27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23059415"/>
    <x v="27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24710972"/>
    <x v="27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8124710972"/>
    <x v="27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32321255"/>
    <x v="27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IG"/>
  </r>
  <r>
    <s v="#20260428132321255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34454186"/>
    <x v="27"/>
    <x v="0"/>
    <x v="12"/>
    <x v="12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28134454186"/>
    <x v="27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"/>
  </r>
  <r>
    <s v="#20260428145353477"/>
    <x v="27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428145353477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8153426986"/>
    <x v="27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428153426986"/>
    <x v="27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Geek"/>
  </r>
  <r>
    <s v="#20260428153426986"/>
    <x v="27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AdGeek"/>
  </r>
  <r>
    <s v="#20260428153426986"/>
    <x v="27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28161131919"/>
    <x v="28"/>
    <x v="0"/>
    <x v="56"/>
    <x v="56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428161131919"/>
    <x v="28"/>
    <x v="0"/>
    <x v="65"/>
    <x v="64"/>
    <m/>
    <m/>
    <s v="外部"/>
    <x v="0"/>
    <x v="0"/>
    <s v="C0033-0000"/>
    <n v="699"/>
    <s v="商品"/>
    <n v="1"/>
    <n v="0"/>
    <s v="510002"/>
    <s v="品牌授權"/>
    <n v="699"/>
    <s v="周邊商品"/>
    <s v=""/>
  </r>
  <r>
    <s v="#20260428161131919"/>
    <x v="28"/>
    <x v="0"/>
    <x v="52"/>
    <x v="52"/>
    <m/>
    <m/>
    <s v="外部"/>
    <x v="0"/>
    <x v="0"/>
    <s v="C0033-0000"/>
    <n v="252"/>
    <s v="商品"/>
    <n v="1"/>
    <n v="0"/>
    <s v="513261"/>
    <s v="團團購"/>
    <n v="252"/>
    <s v="周邊商品"/>
    <s v=""/>
  </r>
  <r>
    <s v="#20260428161131919"/>
    <x v="2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8202628398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8202628398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8233009065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IG"/>
  </r>
  <r>
    <s v="#20260428233009065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10135947"/>
    <x v="28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29010135947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9021651559"/>
    <x v="28"/>
    <x v="0"/>
    <x v="117"/>
    <x v="124"/>
    <m/>
    <m/>
    <s v="外部"/>
    <x v="0"/>
    <x v="0"/>
    <s v="C0033-0000"/>
    <n v="1099"/>
    <s v="商品"/>
    <n v="1"/>
    <n v="0"/>
    <s v="510002"/>
    <s v="品牌授權"/>
    <n v="1099"/>
    <s v="周邊商品"/>
    <s v="IG"/>
  </r>
  <r>
    <s v="#20260429021651559"/>
    <x v="28"/>
    <x v="0"/>
    <x v="118"/>
    <x v="125"/>
    <m/>
    <m/>
    <s v="外部"/>
    <x v="0"/>
    <x v="0"/>
    <s v="C0033-0000"/>
    <n v="299"/>
    <s v="加購品"/>
    <n v="1"/>
    <n v="0"/>
    <s v="510002"/>
    <s v="品牌授權"/>
    <n v="299"/>
    <s v="周邊商品"/>
    <s v="IG"/>
  </r>
  <r>
    <s v="#20260429021651560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021651560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3741191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023741191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024628400"/>
    <x v="28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9024628400"/>
    <x v="28"/>
    <x v="0"/>
    <x v="46"/>
    <x v="142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024628400"/>
    <x v="28"/>
    <x v="0"/>
    <x v="164"/>
    <x v="178"/>
    <m/>
    <m/>
    <s v="團購"/>
    <x v="1"/>
    <x v="4"/>
    <s v="C0033-0006"/>
    <n v="999"/>
    <s v="商品"/>
    <n v="1"/>
    <n v="0"/>
    <s v="513100"/>
    <s v="周邊編輯"/>
    <n v="999"/>
    <s v="學習"/>
    <s v="IG"/>
  </r>
  <r>
    <s v="#20260429024628400"/>
    <x v="28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152"/>
    <x v="166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4628400"/>
    <x v="28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25359517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29025359517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29030056396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030056396"/>
    <x v="2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9030056396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32011079"/>
    <x v="2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9035557903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9040804630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040804630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44105743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9050005039"/>
    <x v="2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29050151063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9054359517"/>
    <x v="28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429071044311"/>
    <x v="28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9071044311"/>
    <x v="28"/>
    <x v="0"/>
    <x v="111"/>
    <x v="120"/>
    <m/>
    <m/>
    <s v="團購"/>
    <x v="1"/>
    <x v="4"/>
    <s v="C0033-0006"/>
    <n v="699"/>
    <s v="商品"/>
    <n v="1"/>
    <n v="0"/>
    <s v="510002"/>
    <s v="品牌授權"/>
    <n v="699"/>
    <s v="周邊商品"/>
    <s v="IG"/>
  </r>
  <r>
    <s v="#20260429071044311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071044311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71044311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71044311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74053376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074053376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75443107"/>
    <x v="28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29075443107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9081721055"/>
    <x v="28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9081721055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81721055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82806644"/>
    <x v="28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9082806644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82806644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85825777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"/>
  </r>
  <r>
    <s v="#20260429085825777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9090926486"/>
    <x v="28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429090926486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092701913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092701913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00602216"/>
    <x v="28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FBAD"/>
  </r>
  <r>
    <s v="#20260429100602216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29101133934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01133934"/>
    <x v="28"/>
    <x v="0"/>
    <x v="13"/>
    <x v="105"/>
    <m/>
    <m/>
    <s v="團購"/>
    <x v="1"/>
    <x v="4"/>
    <s v="C0033-0006"/>
    <n v="4800"/>
    <s v="商品"/>
    <n v="1"/>
    <n v="0"/>
    <s v="512105"/>
    <s v="英語編輯"/>
    <n v="4800"/>
    <s v="學習"/>
    <s v="IG"/>
  </r>
  <r>
    <s v="#20260429101133934"/>
    <x v="28"/>
    <x v="0"/>
    <x v="1"/>
    <x v="93"/>
    <m/>
    <m/>
    <s v="團購"/>
    <x v="1"/>
    <x v="4"/>
    <s v="C0033-0006"/>
    <n v="4900"/>
    <s v="商品"/>
    <n v="1"/>
    <n v="0"/>
    <s v="513100"/>
    <s v="周邊編輯"/>
    <n v="4900"/>
    <s v="學習"/>
    <s v="IG"/>
  </r>
  <r>
    <s v="#20260429101133934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01133934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01133934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01133934"/>
    <x v="28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01133934"/>
    <x v="28"/>
    <x v="0"/>
    <x v="151"/>
    <x v="165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05312186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05312186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23643505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23643505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24429005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24429005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25532726"/>
    <x v="28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9125532726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125532726"/>
    <x v="28"/>
    <x v="0"/>
    <x v="149"/>
    <x v="16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25532726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25532726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25532726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0951667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30951667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3331331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133331331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33331331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33331331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3331331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3331331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3836858"/>
    <x v="28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9133836858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4433035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34433035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35317221"/>
    <x v="28"/>
    <x v="0"/>
    <x v="7"/>
    <x v="103"/>
    <m/>
    <m/>
    <s v="團購"/>
    <x v="1"/>
    <x v="4"/>
    <s v="C0033-0006"/>
    <n v="3200"/>
    <s v="商品"/>
    <n v="1"/>
    <n v="0"/>
    <s v="513100"/>
    <s v="周邊編輯"/>
    <n v="3200"/>
    <s v="學習"/>
    <s v="IG"/>
  </r>
  <r>
    <s v="#20260429135317221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40532728"/>
    <x v="28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29140532728"/>
    <x v="2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429140532728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9140809665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40809665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42001019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42001019"/>
    <x v="28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IG"/>
  </r>
  <r>
    <s v="#20260429142001019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42719043"/>
    <x v="28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9142719043"/>
    <x v="28"/>
    <x v="0"/>
    <x v="70"/>
    <x v="115"/>
    <m/>
    <m/>
    <s v="團購"/>
    <x v="1"/>
    <x v="4"/>
    <s v="C0033-0006"/>
    <n v="1099"/>
    <s v="商品"/>
    <n v="1"/>
    <n v="0"/>
    <s v="510002"/>
    <s v="品牌授權"/>
    <n v="1099"/>
    <s v="周邊商品"/>
    <s v="IG"/>
  </r>
  <r>
    <s v="#20260429142719043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42719043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43628400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43628400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332326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IG"/>
  </r>
  <r>
    <s v="#20260429150332326"/>
    <x v="28"/>
    <x v="0"/>
    <x v="40"/>
    <x v="40"/>
    <m/>
    <m/>
    <s v="外部"/>
    <x v="0"/>
    <x v="0"/>
    <s v="C0033-0000"/>
    <n v="220"/>
    <s v="商品"/>
    <n v="1"/>
    <n v="0"/>
    <s v="510002"/>
    <s v="品牌授權"/>
    <n v="220"/>
    <s v="周邊商品"/>
    <s v="IG"/>
  </r>
  <r>
    <s v="#20260429150332326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332327"/>
    <x v="28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9150332327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0332327"/>
    <x v="28"/>
    <x v="0"/>
    <x v="165"/>
    <x v="179"/>
    <m/>
    <m/>
    <s v="團購"/>
    <x v="1"/>
    <x v="4"/>
    <s v="C0033-0006"/>
    <n v="1250"/>
    <s v="商品"/>
    <n v="1"/>
    <n v="0"/>
    <s v="513100"/>
    <s v="周邊編輯"/>
    <n v="1250"/>
    <s v="學習"/>
    <s v="IG"/>
  </r>
  <r>
    <s v="#20260429150332327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332327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332327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452166"/>
    <x v="28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429150452166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9150853975"/>
    <x v="28"/>
    <x v="0"/>
    <x v="59"/>
    <x v="99"/>
    <m/>
    <m/>
    <s v="團購"/>
    <x v="1"/>
    <x v="4"/>
    <s v="C0033-0006"/>
    <n v="4299"/>
    <s v="商品"/>
    <n v="1"/>
    <n v="0"/>
    <s v="513100"/>
    <s v="周邊編輯"/>
    <n v="4299"/>
    <s v="學習"/>
    <s v="IG"/>
  </r>
  <r>
    <s v="#20260429150853975"/>
    <x v="28"/>
    <x v="0"/>
    <x v="111"/>
    <x v="120"/>
    <m/>
    <m/>
    <s v="團購"/>
    <x v="1"/>
    <x v="4"/>
    <s v="C0033-0006"/>
    <n v="699"/>
    <s v="商品"/>
    <n v="1"/>
    <n v="0"/>
    <s v="510002"/>
    <s v="品牌授權"/>
    <n v="699"/>
    <s v="周邊商品"/>
    <s v="IG"/>
  </r>
  <r>
    <s v="#20260429150853975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853975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907353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50907353"/>
    <x v="28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9150907353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0907353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907353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0907353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1044312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1044312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1645519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51645519"/>
    <x v="28"/>
    <x v="0"/>
    <x v="4"/>
    <x v="101"/>
    <m/>
    <m/>
    <s v="團購"/>
    <x v="1"/>
    <x v="4"/>
    <s v="C0033-0006"/>
    <n v="2999"/>
    <s v="商品"/>
    <n v="1"/>
    <n v="0"/>
    <s v="513100"/>
    <s v="周邊編輯"/>
    <n v="2999"/>
    <s v="學習"/>
    <s v="IG"/>
  </r>
  <r>
    <s v="#20260429151645519"/>
    <x v="2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9151645519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1645519"/>
    <x v="28"/>
    <x v="0"/>
    <x v="5"/>
    <x v="144"/>
    <m/>
    <m/>
    <s v="團購"/>
    <x v="1"/>
    <x v="4"/>
    <s v="C0033-0006"/>
    <n v="999"/>
    <s v="商品"/>
    <n v="1"/>
    <n v="0"/>
    <s v="513100"/>
    <s v="周邊編輯"/>
    <n v="999"/>
    <s v="周邊商品"/>
    <s v="IG"/>
  </r>
  <r>
    <s v="#20260429151645519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1645519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1645519"/>
    <x v="28"/>
    <x v="0"/>
    <x v="148"/>
    <x v="161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1645519"/>
    <x v="28"/>
    <x v="0"/>
    <x v="150"/>
    <x v="16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1654580"/>
    <x v="28"/>
    <x v="0"/>
    <x v="122"/>
    <x v="131"/>
    <m/>
    <m/>
    <s v="外部"/>
    <x v="0"/>
    <x v="0"/>
    <s v="C0033-0000"/>
    <n v="899"/>
    <s v="商品"/>
    <n v="1"/>
    <n v="0"/>
    <s v="510002"/>
    <s v="品牌授權"/>
    <n v="899"/>
    <s v="周邊商品"/>
    <s v="AD2"/>
  </r>
  <r>
    <s v="#20260429151654580"/>
    <x v="28"/>
    <x v="0"/>
    <x v="65"/>
    <x v="64"/>
    <m/>
    <m/>
    <s v="外部"/>
    <x v="0"/>
    <x v="0"/>
    <s v="C0033-0000"/>
    <n v="699"/>
    <s v="商品"/>
    <n v="1"/>
    <n v="0"/>
    <s v="510002"/>
    <s v="品牌授權"/>
    <n v="699"/>
    <s v="周邊商品"/>
    <s v="AD2"/>
  </r>
  <r>
    <s v="#20260429151654580"/>
    <x v="2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9152155087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52155087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2321249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2321249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3107753"/>
    <x v="28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29153107753"/>
    <x v="28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29153107753"/>
    <x v="2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429153107753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9153205439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53205439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3205439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3205439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3421949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53421949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4304132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4304132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5512586"/>
    <x v="28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BNS"/>
  </r>
  <r>
    <s v="#20260429155512586"/>
    <x v="28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9155525679"/>
    <x v="28"/>
    <x v="0"/>
    <x v="39"/>
    <x v="102"/>
    <m/>
    <m/>
    <s v="團購"/>
    <x v="1"/>
    <x v="4"/>
    <s v="C0033-0006"/>
    <n v="2199"/>
    <s v="商品"/>
    <n v="1"/>
    <n v="0"/>
    <s v="513100"/>
    <s v="周邊編輯"/>
    <n v="2199"/>
    <s v="學習"/>
    <s v="IG"/>
  </r>
  <r>
    <s v="#20260429155525679"/>
    <x v="28"/>
    <x v="0"/>
    <x v="0"/>
    <x v="92"/>
    <m/>
    <m/>
    <s v="團購"/>
    <x v="1"/>
    <x v="4"/>
    <s v="C0033-0006"/>
    <n v="2399"/>
    <s v="商品"/>
    <n v="1"/>
    <n v="0"/>
    <s v="513100"/>
    <s v="周邊編輯"/>
    <n v="2399"/>
    <s v="學習"/>
    <s v="IG"/>
  </r>
  <r>
    <s v="#20260429155525679"/>
    <x v="28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IG"/>
  </r>
  <r>
    <s v="#20260429155525679"/>
    <x v="28"/>
    <x v="0"/>
    <x v="2"/>
    <x v="159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5525679"/>
    <x v="28"/>
    <x v="0"/>
    <x v="147"/>
    <x v="16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29155937561"/>
    <x v="28"/>
    <x v="0"/>
    <x v="95"/>
    <x v="91"/>
    <m/>
    <m/>
    <s v="外部"/>
    <x v="0"/>
    <x v="0"/>
    <s v="C0033-0000"/>
    <n v="799"/>
    <s v="商品"/>
    <n v="1"/>
    <n v="0"/>
    <s v="510002"/>
    <s v="品牌授權"/>
    <n v="799"/>
    <s v="周邊商品"/>
    <s v="FBAD"/>
  </r>
  <r>
    <s v="#20260429155937561"/>
    <x v="28"/>
    <x v="0"/>
    <x v="32"/>
    <x v="32"/>
    <m/>
    <m/>
    <s v="外部"/>
    <x v="0"/>
    <x v="0"/>
    <s v="C0033-0000"/>
    <n v="750"/>
    <s v="商品"/>
    <n v="1"/>
    <n v="0"/>
    <s v="510002"/>
    <s v="品牌授權"/>
    <n v="750"/>
    <s v="周邊商品"/>
    <s v="FBAD"/>
  </r>
  <r>
    <s v="#20260429155937561"/>
    <x v="28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FBAD"/>
  </r>
  <r>
    <s v="#20260429161031219"/>
    <x v="29"/>
    <x v="0"/>
    <x v="146"/>
    <x v="158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429161031219"/>
    <x v="29"/>
    <x v="0"/>
    <x v="95"/>
    <x v="91"/>
    <m/>
    <m/>
    <s v="外部"/>
    <x v="0"/>
    <x v="0"/>
    <s v="C0033-0000"/>
    <n v="799"/>
    <s v="商品"/>
    <n v="1"/>
    <n v="0"/>
    <s v="510002"/>
    <s v="品牌授權"/>
    <n v="799"/>
    <s v="周邊商品"/>
    <s v=""/>
  </r>
  <r>
    <s v="#20260429161031219"/>
    <x v="29"/>
    <x v="0"/>
    <x v="110"/>
    <x v="114"/>
    <m/>
    <m/>
    <s v="外部"/>
    <x v="0"/>
    <x v="0"/>
    <s v="C0033-0000"/>
    <n v="304"/>
    <s v="商品"/>
    <n v="1"/>
    <n v="0"/>
    <s v="510002"/>
    <s v="品牌授權"/>
    <n v="304"/>
    <s v="周邊商品"/>
    <s v=""/>
  </r>
  <r>
    <s v="#20260429161031219"/>
    <x v="2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29161615313"/>
    <x v="29"/>
    <x v="0"/>
    <x v="125"/>
    <x v="134"/>
    <m/>
    <m/>
    <s v="外部"/>
    <x v="0"/>
    <x v="0"/>
    <s v="C0033-0000"/>
    <n v="273"/>
    <s v="商品"/>
    <n v="1"/>
    <n v="0"/>
    <s v="513261"/>
    <s v="團團購"/>
    <n v="273"/>
    <s v="周邊商品"/>
    <s v=""/>
  </r>
  <r>
    <s v="#20260429163803625"/>
    <x v="29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AD2"/>
  </r>
  <r>
    <s v="#20260429163803625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29165035247"/>
    <x v="29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BNS"/>
  </r>
  <r>
    <s v="#20260429165035247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429214611279"/>
    <x v="2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29214611279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30023409867"/>
    <x v="2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Geek"/>
  </r>
  <r>
    <s v="#20260430023409867"/>
    <x v="2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AdGeek"/>
  </r>
  <r>
    <s v="#20260430023409867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30045323265"/>
    <x v="29"/>
    <x v="0"/>
    <x v="120"/>
    <x v="127"/>
    <m/>
    <m/>
    <s v="外部"/>
    <x v="0"/>
    <x v="0"/>
    <s v="C0033-0000"/>
    <n v="1560"/>
    <s v="商品"/>
    <n v="1"/>
    <n v="0"/>
    <s v="513261"/>
    <s v="團團購"/>
    <n v="1560"/>
    <s v="周邊商品"/>
    <s v="AD2"/>
  </r>
  <r>
    <s v="#20260430045323265"/>
    <x v="2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30053841889"/>
    <x v="29"/>
    <x v="0"/>
    <x v="33"/>
    <x v="33"/>
    <m/>
    <m/>
    <s v="外部"/>
    <x v="0"/>
    <x v="0"/>
    <s v="C0033-0000"/>
    <n v="1500"/>
    <s v="商品"/>
    <n v="1"/>
    <n v="0"/>
    <s v="510002"/>
    <s v="品牌授權"/>
    <n v="1500"/>
    <s v="周邊商品"/>
    <s v="IG"/>
  </r>
  <r>
    <s v="#20260430053841889"/>
    <x v="29"/>
    <x v="0"/>
    <x v="21"/>
    <x v="21"/>
    <m/>
    <m/>
    <s v="外部"/>
    <x v="0"/>
    <x v="0"/>
    <s v="C0033-0000"/>
    <n v="84"/>
    <s v="商品"/>
    <n v="1"/>
    <n v="0"/>
    <s v="513261"/>
    <s v="團團購"/>
    <n v="84"/>
    <s v="周邊商品"/>
    <s v="IG"/>
  </r>
  <r>
    <s v="#20260430053841889"/>
    <x v="29"/>
    <x v="0"/>
    <x v="24"/>
    <x v="24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30053841889"/>
    <x v="2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30063517620"/>
    <x v="29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30063517620"/>
    <x v="29"/>
    <x v="0"/>
    <x v="59"/>
    <x v="59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30063517620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30065613293"/>
    <x v="29"/>
    <x v="0"/>
    <x v="17"/>
    <x v="17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430065613293"/>
    <x v="29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430065613293"/>
    <x v="29"/>
    <x v="0"/>
    <x v="17"/>
    <x v="17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430065613293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30073834840"/>
    <x v="2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IG"/>
  </r>
  <r>
    <s v="#20260430073834840"/>
    <x v="29"/>
    <x v="0"/>
    <x v="4"/>
    <x v="4"/>
    <m/>
    <m/>
    <s v="外部"/>
    <x v="0"/>
    <x v="0"/>
    <s v="C0033-0000"/>
    <n v="2999"/>
    <s v="商品"/>
    <n v="1"/>
    <n v="0"/>
    <s v="513100"/>
    <s v="周邊編輯"/>
    <n v="2999"/>
    <s v="學習"/>
    <s v="IG"/>
  </r>
  <r>
    <s v="#20260430073834840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IG"/>
  </r>
  <r>
    <s v="#20260430074934540"/>
    <x v="29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AD2"/>
  </r>
  <r>
    <s v="#20260430074934540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430093448137"/>
    <x v="29"/>
    <x v="0"/>
    <x v="158"/>
    <x v="172"/>
    <m/>
    <m/>
    <s v="外部"/>
    <x v="0"/>
    <x v="0"/>
    <s v="C0033-0000"/>
    <n v="1999"/>
    <s v="商品"/>
    <n v="1"/>
    <n v="0"/>
    <s v="510015"/>
    <s v="舞台劇"/>
    <n v="1999"/>
    <s v="周邊商品"/>
    <s v=""/>
  </r>
  <r>
    <s v="#20260430093448137"/>
    <x v="29"/>
    <x v="0"/>
    <x v="20"/>
    <x v="2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30093845919"/>
    <x v="29"/>
    <x v="0"/>
    <x v="7"/>
    <x v="7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30093845919"/>
    <x v="29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AdGeek"/>
  </r>
  <r>
    <s v="#20260430093845919"/>
    <x v="29"/>
    <x v="0"/>
    <x v="46"/>
    <x v="46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430093845919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430120838872"/>
    <x v="29"/>
    <x v="0"/>
    <x v="13"/>
    <x v="13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430120838872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30123531721"/>
    <x v="29"/>
    <x v="0"/>
    <x v="107"/>
    <x v="111"/>
    <m/>
    <m/>
    <s v="外部"/>
    <x v="0"/>
    <x v="0"/>
    <s v="C0033-0000"/>
    <n v="462"/>
    <s v="商品"/>
    <n v="1"/>
    <n v="0"/>
    <s v="513261"/>
    <s v="團團購"/>
    <n v="462"/>
    <s v="周邊商品"/>
    <s v=""/>
  </r>
  <r>
    <s v="#20260430132738170"/>
    <x v="29"/>
    <x v="0"/>
    <x v="111"/>
    <x v="116"/>
    <m/>
    <m/>
    <s v="外部"/>
    <x v="0"/>
    <x v="0"/>
    <s v="C0033-0000"/>
    <n v="699"/>
    <s v="商品"/>
    <n v="1"/>
    <n v="0"/>
    <s v="510002"/>
    <s v="品牌授權"/>
    <n v="699"/>
    <s v="周邊商品"/>
    <s v=""/>
  </r>
  <r>
    <s v="#20260430132738170"/>
    <x v="29"/>
    <x v="0"/>
    <x v="66"/>
    <x v="65"/>
    <m/>
    <m/>
    <s v="外部"/>
    <x v="0"/>
    <x v="0"/>
    <s v="C0033-0000"/>
    <n v="176"/>
    <s v="商品"/>
    <n v="2"/>
    <n v="0"/>
    <s v="513261"/>
    <s v="團團購"/>
    <n v="352"/>
    <s v="周邊商品"/>
    <s v=""/>
  </r>
  <r>
    <s v="#20260430132738170"/>
    <x v="29"/>
    <x v="0"/>
    <x v="26"/>
    <x v="26"/>
    <m/>
    <m/>
    <s v="外部"/>
    <x v="0"/>
    <x v="0"/>
    <s v="C0033-0000"/>
    <n v="225"/>
    <s v="商品"/>
    <n v="1"/>
    <n v="0"/>
    <s v="513261"/>
    <s v="團團購"/>
    <n v="225"/>
    <s v="周邊商品"/>
    <s v=""/>
  </r>
  <r>
    <s v="#20260430132738170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430150126888"/>
    <x v="29"/>
    <x v="0"/>
    <x v="0"/>
    <x v="0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430150126888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AD"/>
  </r>
  <r>
    <s v="#20260430154606246"/>
    <x v="29"/>
    <x v="0"/>
    <x v="1"/>
    <x v="1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430154606246"/>
    <x v="29"/>
    <x v="0"/>
    <x v="39"/>
    <x v="39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430154606246"/>
    <x v="29"/>
    <x v="0"/>
    <x v="49"/>
    <x v="49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430154606246"/>
    <x v="29"/>
    <x v="0"/>
    <x v="2"/>
    <x v="2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s v=""/>
    <x v="30"/>
    <x v="1"/>
    <x v="166"/>
    <x v="180"/>
    <m/>
    <m/>
    <s v=""/>
    <x v="2"/>
    <x v="5"/>
    <s v=""/>
    <s v=""/>
    <s v=""/>
    <s v=""/>
    <s v=""/>
    <s v=""/>
    <s v=""/>
    <s v=""/>
    <s v=""/>
    <s v=""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  <r>
    <m/>
    <x v="31"/>
    <x v="2"/>
    <x v="167"/>
    <x v="181"/>
    <m/>
    <m/>
    <m/>
    <x v="3"/>
    <x v="6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8">
  <r>
    <s v="2605017RU1878K"/>
    <x v="0"/>
    <s v=""/>
    <s v=""/>
    <s v="p******5"/>
    <x v="0"/>
    <s v="2015.00"/>
    <s v="0.00"/>
    <s v="0.00"/>
    <s v="0.00"/>
    <s v="2015.00"/>
    <s v="0.00"/>
    <s v="0"/>
    <s v="0.00"/>
    <s v="S2605RSP3;QXYZCDSY9"/>
    <s v="100.00"/>
    <s v="0.00"/>
    <s v="84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50******"/>
    <s v="****"/>
    <s v="0928000888,25805263#1"/>
    <s v=""/>
    <s v="彰化縣"/>
    <s v="彰化市"/>
    <s v="500"/>
    <s v="李*萱"/>
    <s v="賣家宅配：大型/超重物品運送"/>
    <s v=""/>
    <s v=""/>
    <s v="信用卡"/>
    <s v="2026-05-04 23:59"/>
    <s v="新竹物流8179169401"/>
    <s v="2026-05-01 00:54"/>
    <m/>
    <s v="學習"/>
    <s v=""/>
    <m/>
    <s v="學習"/>
    <s v="蝦皮"/>
  </r>
  <r>
    <s v="2605017S4BRMGV"/>
    <x v="0"/>
    <s v=""/>
    <s v=""/>
    <s v="n*****u"/>
    <x v="0"/>
    <s v="2784.00"/>
    <s v="0.00"/>
    <s v="0.00"/>
    <s v="0.00"/>
    <s v="2784.00"/>
    <s v="0.00"/>
    <s v="0"/>
    <s v="0.00"/>
    <s v="QXYZCDSY9;S2605RSP3"/>
    <s v="100.00"/>
    <s v="0.00"/>
    <s v="116.00"/>
    <s v="247.00"/>
    <s v="97.00"/>
    <s v="73.00"/>
    <s v="0"/>
    <s v="2.50%"/>
    <s v=""/>
    <x v="1"/>
    <s v="55104898742"/>
    <s v="單購"/>
    <s v="430504001725"/>
    <s v="55104898742_430504001725"/>
    <n v="3000"/>
    <n v="3000"/>
    <x v="1"/>
    <s v="20250FE00"/>
    <n v="1"/>
    <s v="0"/>
    <s v="N"/>
    <s v="-"/>
    <s v="41******"/>
    <s v="****"/>
    <s v="0928000888,42973923#1"/>
    <s v=""/>
    <s v="臺中市"/>
    <s v="大里區"/>
    <s v="412"/>
    <s v="徐*賢"/>
    <s v="賣家宅配：大型/超重物品運送"/>
    <s v=""/>
    <s v=""/>
    <s v="信用卡"/>
    <s v="2026-05-04 23:59"/>
    <s v="新竹物流8179169541"/>
    <s v="2026-05-01 01:48"/>
    <m/>
    <s v="學習"/>
    <s v=""/>
    <m/>
    <s v="學習"/>
    <s v="蝦皮"/>
  </r>
  <r>
    <s v="2605017SSMP96H"/>
    <x v="1"/>
    <s v=""/>
    <s v=""/>
    <s v="g******o"/>
    <x v="0"/>
    <s v="899.00"/>
    <s v="0.00"/>
    <s v="0.00"/>
    <s v="0.00"/>
    <s v="899.00"/>
    <s v="0.00"/>
    <s v="0"/>
    <s v="0.00"/>
    <s v="GHDMDZB4T"/>
    <s v="0.00"/>
    <s v="0.00"/>
    <s v="0.00"/>
    <s v="76.00"/>
    <s v="37.00"/>
    <s v="22.00"/>
    <s v="0"/>
    <s v="2.50%"/>
    <s v=""/>
    <x v="2"/>
    <s v="52408787601"/>
    <s v=""/>
    <s v="198823956357"/>
    <s v="52408787601_198823956357"/>
    <n v="899"/>
    <n v="899"/>
    <x v="2"/>
    <s v="20250H002"/>
    <n v="1"/>
    <s v="0"/>
    <s v="N"/>
    <s v="-"/>
    <s v="438 臺中市外埔區甲后路五段125巷2弄26號"/>
    <s v="****"/>
    <s v="0928000888,71738311#1"/>
    <s v=""/>
    <s v="臺中市"/>
    <s v="外埔區"/>
    <s v="438"/>
    <s v="曹竣為"/>
    <s v="賣家宅配：大型/超重物品運送"/>
    <s v=""/>
    <s v=""/>
    <s v="信用卡"/>
    <s v="2026-05-04 23:59"/>
    <s v="新竹物流8179169412"/>
    <s v="2026-05-01 01:11"/>
    <m/>
    <s v="周邊商品"/>
    <s v=""/>
    <m/>
    <s v="生活周邊"/>
    <s v="蝦皮"/>
  </r>
  <r>
    <s v="2605017U57VNXB"/>
    <x v="1"/>
    <s v=""/>
    <s v=""/>
    <s v="a******2"/>
    <x v="0"/>
    <s v="5299.00"/>
    <s v="0.00"/>
    <s v="0.00"/>
    <s v="0.00"/>
    <s v="5299.00"/>
    <s v="0.00"/>
    <s v="0"/>
    <s v="0.00"/>
    <s v="S2605RSP3;MB05B50"/>
    <s v="100.00"/>
    <s v="0.00"/>
    <s v="500.00"/>
    <s v="493.00"/>
    <s v="184.00"/>
    <s v="145.00"/>
    <s v="0"/>
    <s v="2.50%"/>
    <s v=""/>
    <x v="3"/>
    <s v="29672846571"/>
    <s v="(單購)"/>
    <s v="385265149350"/>
    <s v="29672846571_385265149350"/>
    <n v="1300"/>
    <n v="999"/>
    <x v="3"/>
    <s v="20240FB00"/>
    <n v="1"/>
    <s v="0"/>
    <s v="N"/>
    <s v="-"/>
    <s v="814 高雄市仁武區仁雄路13之22號"/>
    <s v="****"/>
    <s v="0928000888,20177653#1"/>
    <s v=""/>
    <s v="高雄市"/>
    <s v="仁武區"/>
    <s v="814"/>
    <s v="廖昱傑"/>
    <s v="賣家宅配：大型/超重物品運送"/>
    <s v=""/>
    <s v=""/>
    <s v="信用卡"/>
    <s v="2026-05-04 23:59"/>
    <s v="新竹物流8179169460"/>
    <s v="2026-05-01 01:35"/>
    <m/>
    <s v="周邊商品"/>
    <s v=""/>
    <m/>
    <s v="學習周邊"/>
    <s v="蝦皮"/>
  </r>
  <r>
    <s v="2605017U57VNXB"/>
    <x v="1"/>
    <s v=""/>
    <s v=""/>
    <s v="a******2"/>
    <x v="0"/>
    <s v="5299.00"/>
    <s v="0.00"/>
    <s v="0.00"/>
    <s v="0.00"/>
    <s v="5299.00"/>
    <s v="0.00"/>
    <s v="0"/>
    <s v="0.00"/>
    <s v="S2605RSP3;MB05B50"/>
    <s v="100.00"/>
    <s v="0.00"/>
    <s v="500.00"/>
    <s v="493.00"/>
    <s v="184.00"/>
    <s v="145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814 高雄市仁武區仁雄路13之22號"/>
    <s v="****"/>
    <s v="0928000888,20177653#1"/>
    <s v=""/>
    <s v="高雄市"/>
    <s v="仁武區"/>
    <s v="814"/>
    <s v="廖昱傑"/>
    <s v="賣家宅配：大型/超重物品運送"/>
    <s v=""/>
    <s v=""/>
    <s v="信用卡"/>
    <s v="2026-05-04 23:59"/>
    <s v="新竹物流8179169460"/>
    <s v="2026-05-01 01:35"/>
    <m/>
    <s v="學習"/>
    <s v=""/>
    <m/>
    <s v="學習"/>
    <s v="蝦皮"/>
  </r>
  <r>
    <s v="2605018Q7FM3EU"/>
    <x v="0"/>
    <s v=""/>
    <s v=""/>
    <s v="f******2"/>
    <x v="0"/>
    <s v="1993.00"/>
    <s v="0.00"/>
    <s v="0.00"/>
    <s v="0.00"/>
    <s v="1993.00"/>
    <s v="0.00"/>
    <s v="106"/>
    <s v="0.00"/>
    <s v="S2605RSP3;3PWVM48E3"/>
    <s v="100.00"/>
    <s v="0.00"/>
    <s v="0.00"/>
    <s v="178.00"/>
    <s v="73.00"/>
    <s v="52.00"/>
    <s v="3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60******"/>
    <s v="****"/>
    <s v="0928000888,76022968#1"/>
    <s v=""/>
    <s v="嘉義市"/>
    <s v="西區"/>
    <s v="600"/>
    <s v="蔡*芹"/>
    <s v="賣家宅配：大型/超重物品運送"/>
    <s v=""/>
    <s v=""/>
    <s v="信用卡分期付款"/>
    <s v="2026-05-04 23:59"/>
    <s v="新竹物流8179169445"/>
    <s v="2026-05-01 09:57"/>
    <m/>
    <s v="學習"/>
    <s v=""/>
    <m/>
    <s v="學習"/>
    <s v="蝦皮"/>
  </r>
  <r>
    <s v="26050198MHNQ66"/>
    <x v="1"/>
    <s v=""/>
    <s v=""/>
    <s v="t******s"/>
    <x v="0"/>
    <s v="4499.00"/>
    <s v="0.00"/>
    <s v="0.00"/>
    <s v="0.00"/>
    <s v="4499.00"/>
    <s v="0.00"/>
    <s v="1"/>
    <s v="0.00"/>
    <s v="V7UTYZV26;TKBVIP2605250"/>
    <s v="150.00"/>
    <s v="0.00"/>
    <s v="250.00"/>
    <s v="404.00"/>
    <s v="153.00"/>
    <s v="119.00"/>
    <s v="3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231 新北市新店區中央路153號17樓之13"/>
    <s v="****"/>
    <s v="0928000888,88592236#1"/>
    <s v=""/>
    <s v="新北市"/>
    <s v="新店區"/>
    <s v="231"/>
    <s v="張芷瑄"/>
    <s v="賣家宅配：大型/超重物品運送"/>
    <s v=""/>
    <s v=""/>
    <s v="信用卡分期付款"/>
    <s v="2026-05-04 23:59"/>
    <s v="新竹物流8179169390"/>
    <s v="2026-05-01 15:09"/>
    <m/>
    <s v="學習"/>
    <s v=""/>
    <m/>
    <s v="學習"/>
    <s v="蝦皮"/>
  </r>
  <r>
    <s v="2605019GP672NN"/>
    <x v="0"/>
    <s v=""/>
    <s v=""/>
    <s v="m******0"/>
    <x v="0"/>
    <s v="2800.00"/>
    <s v="0.00"/>
    <s v="0.00"/>
    <s v="0.00"/>
    <s v="2800.00"/>
    <s v="0.00"/>
    <s v="0"/>
    <s v="0.00"/>
    <s v="V7UTYZV26;TKBVIP2605250"/>
    <s v="150.00"/>
    <s v="0.00"/>
    <s v="250.00"/>
    <s v="259.00"/>
    <s v="102.00"/>
    <s v="76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24******"/>
    <s v="****"/>
    <s v="0928000888,49139613#1"/>
    <s v=""/>
    <s v="新北市"/>
    <s v="新莊區"/>
    <s v="242"/>
    <s v="林*廷"/>
    <s v="賣家宅配：大型/超重物品運送"/>
    <s v=""/>
    <s v=""/>
    <s v="信用卡"/>
    <s v="2026-05-04 23:59"/>
    <s v="新竹物流8179169434"/>
    <s v="2026-05-01 17:33"/>
    <m/>
    <s v="學習"/>
    <s v=""/>
    <m/>
    <s v="學習"/>
    <s v="蝦皮"/>
  </r>
  <r>
    <s v="2605019W8FVB63"/>
    <x v="1"/>
    <s v=""/>
    <s v=""/>
    <s v="a*****9"/>
    <x v="0"/>
    <s v="1199.00"/>
    <s v="0.00"/>
    <s v="0.00"/>
    <s v="0.00"/>
    <s v="1199.00"/>
    <s v="0.00"/>
    <s v="0"/>
    <s v="0.00"/>
    <s v=""/>
    <s v="0.00"/>
    <s v="0.00"/>
    <s v="0.00"/>
    <s v="102.00"/>
    <s v="46.00"/>
    <s v="30.00"/>
    <s v="0"/>
    <s v="2.50%"/>
    <s v=""/>
    <x v="6"/>
    <s v="44908808383"/>
    <s v=""/>
    <s v="277535675661"/>
    <s v="44908808383_277535675661"/>
    <n v="1199"/>
    <n v="1199"/>
    <x v="6"/>
    <s v="20260H001"/>
    <n v="1"/>
    <s v="0"/>
    <s v="N"/>
    <s v="-"/>
    <s v="830 高雄市鳳山區鳳南路307號D11樓"/>
    <s v="****"/>
    <s v="0928000888,11713965#1"/>
    <s v=""/>
    <s v="高雄市"/>
    <s v="鳳山區"/>
    <s v="830"/>
    <s v="陳冠淳"/>
    <s v="賣家宅配：大型/超重物品運送"/>
    <s v=""/>
    <s v=""/>
    <s v="信用卡"/>
    <s v="2026-05-04 23:59"/>
    <s v="新竹物流8179169423"/>
    <s v="2026-05-01 21:18"/>
    <m/>
    <s v="周邊商品"/>
    <s v=""/>
    <m/>
    <s v="生活周邊"/>
    <s v="蝦皮"/>
  </r>
  <r>
    <s v="2605019XB23B7T"/>
    <x v="0"/>
    <s v=""/>
    <s v=""/>
    <s v="s******5"/>
    <x v="0"/>
    <s v="2295.00"/>
    <s v="0.00"/>
    <s v="0.00"/>
    <s v="0.00"/>
    <s v="2295.00"/>
    <s v="0.00"/>
    <s v="4"/>
    <s v="0.00"/>
    <s v="S2605RSP3;UW39KMHQU"/>
    <s v="100.00"/>
    <s v="0.00"/>
    <s v="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0******"/>
    <s v="****"/>
    <s v="0928000888,81306248#1"/>
    <s v=""/>
    <s v="基隆市"/>
    <s v="信義區"/>
    <s v="201"/>
    <s v="林*蓁"/>
    <s v="賣家宅配：大型/超重物品運送"/>
    <s v=""/>
    <s v=""/>
    <s v="信用卡"/>
    <s v="2026-05-04 23:59"/>
    <s v="新竹物流8179169530"/>
    <s v="2026-05-01 21:37"/>
    <m/>
    <s v="學習"/>
    <s v=""/>
    <m/>
    <s v="學習"/>
    <s v="蝦皮"/>
  </r>
  <r>
    <s v="260501A0C5W1FB"/>
    <x v="1"/>
    <s v=""/>
    <s v=""/>
    <s v="s******0"/>
    <x v="0"/>
    <s v="2498.00"/>
    <s v="0.00"/>
    <s v="0.00"/>
    <s v="0.00"/>
    <s v="2498.00"/>
    <s v="0.00"/>
    <s v="0"/>
    <s v="0.00"/>
    <s v="S2605RSP3"/>
    <s v="100.00"/>
    <s v="0.00"/>
    <s v="0.00"/>
    <s v="212.00"/>
    <s v="85.00"/>
    <s v="62.00"/>
    <s v="0"/>
    <s v="2.50%"/>
    <s v=""/>
    <x v="1"/>
    <s v="55104898742"/>
    <s v="(加購)巧虎手偶 $199"/>
    <s v="430504001726"/>
    <s v="55104898742_430504001726"/>
    <n v="3299"/>
    <n v="2598"/>
    <x v="7"/>
    <s v="20250FXBH"/>
    <n v="1"/>
    <s v="0"/>
    <s v="N"/>
    <s v="-"/>
    <s v="811 高雄市楠梓區朝新路178號2樓"/>
    <s v="****"/>
    <s v="0928000888,51389858#1"/>
    <s v=""/>
    <s v="高雄市"/>
    <s v="楠梓區"/>
    <s v="811"/>
    <s v="陳佩鈴"/>
    <s v="賣家宅配：大型/超重物品運送"/>
    <s v=""/>
    <s v=""/>
    <s v="信用卡"/>
    <s v="2026-05-04 23:59"/>
    <s v="新竹物流8179169456"/>
    <s v="2026-05-01 22:14"/>
    <m/>
    <s v="學習"/>
    <s v=""/>
    <m/>
    <s v="學習"/>
    <s v="蝦皮"/>
  </r>
  <r>
    <s v="260501A2CA6FFG"/>
    <x v="1"/>
    <s v=""/>
    <s v=""/>
    <s v="a******8"/>
    <x v="0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100 臺北市中正區汀州路三段38號之19，3樓"/>
    <s v="****"/>
    <s v="0928000888,79800954#1"/>
    <s v=""/>
    <s v="臺北市"/>
    <s v="中正區"/>
    <s v="100"/>
    <s v="周伯階"/>
    <s v="賣家宅配：大型/超重物品運送"/>
    <s v=""/>
    <s v=""/>
    <s v="信用卡"/>
    <s v="2026-05-04 23:59"/>
    <s v="新竹物流8179169235"/>
    <s v="2026-05-01 22:49"/>
    <m/>
    <s v="周邊商品"/>
    <s v=""/>
    <m/>
    <s v="學習周邊"/>
    <s v="蝦皮"/>
  </r>
  <r>
    <s v="260502B72MTH9V"/>
    <x v="1"/>
    <s v=""/>
    <s v=""/>
    <s v="f******o"/>
    <x v="1"/>
    <s v="4800.00"/>
    <s v="0.00"/>
    <s v="0.00"/>
    <s v="0.00"/>
    <s v="4800.00"/>
    <s v="0.00"/>
    <s v="0"/>
    <s v="0.00"/>
    <s v="BENE100"/>
    <s v="100.00"/>
    <s v="0.00"/>
    <s v="0.00"/>
    <s v="408.00"/>
    <s v="154.00"/>
    <s v="120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402 臺中市南區復興路二段108號11樓之5"/>
    <s v="****"/>
    <s v="0928000888,77582303#1"/>
    <s v=""/>
    <s v="臺中市"/>
    <s v="南區"/>
    <s v="402"/>
    <s v="廖俐昕"/>
    <s v="賣家宅配：大型/超重物品運送"/>
    <s v=""/>
    <s v=""/>
    <s v="信用卡"/>
    <s v="2026-05-04 23:59"/>
    <s v="新竹物流8179169246"/>
    <s v="2026-05-02 09:46"/>
    <m/>
    <s v="學習"/>
    <s v=""/>
    <m/>
    <s v="學習"/>
    <s v="蝦皮"/>
  </r>
  <r>
    <s v="260502BMNKMMX2"/>
    <x v="0"/>
    <s v=""/>
    <s v=""/>
    <s v="c*****3"/>
    <x v="1"/>
    <s v="2299.00"/>
    <s v="0.00"/>
    <s v="0.00"/>
    <s v="0.00"/>
    <s v="2299.00"/>
    <s v="0.00"/>
    <s v="0"/>
    <s v="0.00"/>
    <s v="S2605RSP3"/>
    <s v="100.00"/>
    <s v="0.00"/>
    <s v="0.00"/>
    <s v="195.00"/>
    <s v="79.00"/>
    <s v="57.00"/>
    <s v="3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4******"/>
    <s v="****"/>
    <s v="0928000888,81063860#1"/>
    <s v=""/>
    <s v="新北市"/>
    <s v="林口區"/>
    <s v="244"/>
    <s v="陳*倩"/>
    <s v="賣家宅配：大型/超重物品運送"/>
    <s v=""/>
    <s v=""/>
    <s v="信用卡分期付款"/>
    <s v="2026-05-04 23:59"/>
    <s v="新竹物流8179169526"/>
    <s v="2026-05-02 13:50"/>
    <m/>
    <s v="學習"/>
    <s v=""/>
    <m/>
    <s v="學習"/>
    <s v="蝦皮"/>
  </r>
  <r>
    <s v="260502BTMA94X6"/>
    <x v="1"/>
    <s v=""/>
    <s v=""/>
    <s v="s******0"/>
    <x v="1"/>
    <s v="599.00"/>
    <s v="0.00"/>
    <s v="0.00"/>
    <s v="0.00"/>
    <s v="599.00"/>
    <s v="0.00"/>
    <s v="0"/>
    <s v="0.00"/>
    <s v=""/>
    <s v="0.00"/>
    <s v="0.00"/>
    <s v="0.00"/>
    <s v="51.00"/>
    <s v="28.00"/>
    <s v="15.00"/>
    <s v="0"/>
    <s v="2.50%"/>
    <s v=""/>
    <x v="8"/>
    <s v="26006309303"/>
    <s v="單購"/>
    <s v="166942493928"/>
    <s v="26006309303_166942493928"/>
    <n v="890"/>
    <n v="599"/>
    <x v="9"/>
    <s v="20221C6B6"/>
    <n v="1"/>
    <s v="0"/>
    <s v="N"/>
    <s v="-"/>
    <s v="804 高雄市鼓山區裕民街130號10樓"/>
    <s v="****"/>
    <s v="0928000888,76373185#1"/>
    <s v=""/>
    <s v="高雄市"/>
    <s v="鼓山區"/>
    <s v="804"/>
    <s v="柯宛蓁"/>
    <s v="賣家宅配：大型/超重物品運送"/>
    <s v=""/>
    <s v=""/>
    <s v="信用卡"/>
    <s v="2026-05-04 23:59"/>
    <s v="新竹物流8179169250"/>
    <s v="2026-05-02 15:36"/>
    <m/>
    <s v="周邊商品"/>
    <s v=""/>
    <m/>
    <s v="學習周邊"/>
    <s v="蝦皮"/>
  </r>
  <r>
    <s v="260502BW8TV42B"/>
    <x v="0"/>
    <s v=""/>
    <s v=""/>
    <s v="h******i"/>
    <x v="1"/>
    <s v="2245.00"/>
    <s v="0.00"/>
    <s v="0.00"/>
    <s v="0.00"/>
    <s v="2245.00"/>
    <s v="0.00"/>
    <s v="4"/>
    <s v="0.00"/>
    <s v="V7UTYZV26;QBKTA3YJN"/>
    <s v="150.00"/>
    <s v="0.00"/>
    <s v="0.00"/>
    <s v="191.00"/>
    <s v="77.00"/>
    <s v="56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41******"/>
    <s v="****"/>
    <s v="0928000888,89771031#1"/>
    <s v=""/>
    <s v="臺中市"/>
    <s v="太平區"/>
    <s v="411"/>
    <s v="魏*玲"/>
    <s v="賣家宅配：大型/超重物品運送"/>
    <s v=""/>
    <s v=""/>
    <s v="信用卡"/>
    <s v="2026-05-04 23:59"/>
    <s v="新竹物流8179169515"/>
    <s v="2026-05-02 16:24"/>
    <m/>
    <s v="學習"/>
    <s v=""/>
    <m/>
    <s v="學習"/>
    <s v="蝦皮"/>
  </r>
  <r>
    <s v="260502C5BPEW3S"/>
    <x v="1"/>
    <s v=""/>
    <s v=""/>
    <s v="k******6"/>
    <x v="1"/>
    <s v="3048.00"/>
    <s v="0.00"/>
    <s v="0.00"/>
    <s v="0.00"/>
    <s v="3048.00"/>
    <s v="0.00"/>
    <s v="0"/>
    <s v="0.00"/>
    <s v="V7UTYZV26"/>
    <s v="150.00"/>
    <s v="0.00"/>
    <s v="0.00"/>
    <s v="251.00"/>
    <s v="101.00"/>
    <s v="76.00"/>
    <s v="0"/>
    <s v="2.50%"/>
    <s v=""/>
    <x v="9"/>
    <s v="29404284709"/>
    <s v=""/>
    <s v="158690870458"/>
    <s v="29404284709_158690870458"/>
    <n v="299"/>
    <n v="199"/>
    <x v="10"/>
    <s v="20230H003"/>
    <n v="1"/>
    <s v="0"/>
    <s v="N"/>
    <s v="-"/>
    <s v="247 新北市蘆洲區得勝街66號4樓"/>
    <s v="****"/>
    <s v="0928000888,47384837#1"/>
    <s v=""/>
    <s v="新北市"/>
    <s v="蘆洲區"/>
    <s v="247"/>
    <s v="李鎮宇"/>
    <s v="賣家宅配：大型/超重物品運送"/>
    <s v=""/>
    <s v=""/>
    <s v="信用卡"/>
    <s v="2026-05-04 23:59"/>
    <s v="新竹物流8179169261"/>
    <s v="2026-05-02 18:48"/>
    <m/>
    <s v="周邊商品"/>
    <s v=""/>
    <m/>
    <s v="生活周邊"/>
    <s v="蝦皮"/>
  </r>
  <r>
    <s v="260502C5BPEW3S"/>
    <x v="1"/>
    <s v=""/>
    <s v=""/>
    <s v="k******6"/>
    <x v="1"/>
    <s v="3048.00"/>
    <s v="0.00"/>
    <s v="0.00"/>
    <s v="0.00"/>
    <s v="3048.00"/>
    <s v="0.00"/>
    <s v="0"/>
    <s v="0.00"/>
    <s v="V7UTYZV26"/>
    <s v="150.00"/>
    <s v="0.00"/>
    <s v="0.00"/>
    <s v="251.00"/>
    <s v="101.00"/>
    <s v="76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47 新北市蘆洲區得勝街66號4樓"/>
    <s v="****"/>
    <s v="0928000888,47384837#1"/>
    <s v=""/>
    <s v="新北市"/>
    <s v="蘆洲區"/>
    <s v="247"/>
    <s v="李鎮宇"/>
    <s v="賣家宅配：大型/超重物品運送"/>
    <s v=""/>
    <s v=""/>
    <s v="信用卡"/>
    <s v="2026-05-04 23:59"/>
    <s v="新竹物流8179169261"/>
    <s v="2026-05-02 18:48"/>
    <m/>
    <s v="學習"/>
    <s v=""/>
    <m/>
    <s v="學習"/>
    <s v="蝦皮"/>
  </r>
  <r>
    <s v="260502CGSX548P"/>
    <x v="0"/>
    <s v=""/>
    <s v=""/>
    <s v="a******a"/>
    <x v="1"/>
    <s v="2097.00"/>
    <s v="0.00"/>
    <s v="0.00"/>
    <s v="0.00"/>
    <s v="2097.00"/>
    <s v="0.00"/>
    <s v="2"/>
    <s v="0.00"/>
    <s v="S2605RSP3;5FJF84HLC"/>
    <s v="100.00"/>
    <s v="0.00"/>
    <s v="0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80******"/>
    <s v="****"/>
    <s v="0928000888,77975721#1"/>
    <s v=""/>
    <s v="高雄市"/>
    <s v="苓雅區"/>
    <s v="802"/>
    <s v="陳*琪"/>
    <s v="賣家宅配：大型/超重物品運送"/>
    <s v=""/>
    <s v=""/>
    <s v="信用卡"/>
    <s v="2026-05-04 23:59"/>
    <s v="新竹物流8179169272"/>
    <s v="2026-05-02 22:13"/>
    <m/>
    <s v="學習"/>
    <s v=""/>
    <m/>
    <s v="學習"/>
    <s v="蝦皮"/>
  </r>
  <r>
    <s v="260502CKP7QSST"/>
    <x v="1"/>
    <s v=""/>
    <s v=""/>
    <s v="s*****4"/>
    <x v="1"/>
    <s v="999.00"/>
    <s v="0.00"/>
    <s v="0.00"/>
    <s v="0.00"/>
    <s v="999.00"/>
    <s v="0.00"/>
    <s v="0"/>
    <s v="0.00"/>
    <s v="UW39KMHQU"/>
    <s v="0.00"/>
    <s v="0.00"/>
    <s v="0.00"/>
    <s v="85.00"/>
    <s v="40.00"/>
    <s v="25.00"/>
    <s v="0"/>
    <s v="2.50%"/>
    <s v=""/>
    <x v="3"/>
    <s v="29672846571"/>
    <s v="(單購)"/>
    <s v="385265149350"/>
    <s v="29672846571_385265149350"/>
    <n v="1300"/>
    <n v="999"/>
    <x v="3"/>
    <s v="20240FB00"/>
    <n v="1"/>
    <s v="0"/>
    <s v="N"/>
    <s v="-"/>
    <s v="231 新北市新店區中山路28號8樓"/>
    <s v="****"/>
    <s v="0928000888,67275279#1"/>
    <s v=""/>
    <s v="新北市"/>
    <s v="新店區"/>
    <s v="231"/>
    <s v="Eva Huang"/>
    <s v="賣家宅配：大型/超重物品運送"/>
    <s v=""/>
    <s v=""/>
    <s v="信用卡"/>
    <s v="2026-05-04 23:59"/>
    <s v="新竹物流8179169283"/>
    <s v="2026-05-02 23:04"/>
    <m/>
    <s v="周邊商品"/>
    <s v=""/>
    <m/>
    <s v="學習周邊"/>
    <s v="蝦皮"/>
  </r>
  <r>
    <s v="260503CUQV6RGS"/>
    <x v="0"/>
    <s v=""/>
    <s v=""/>
    <s v="t******4"/>
    <x v="2"/>
    <s v="3989.00"/>
    <s v="0.00"/>
    <s v="0.00"/>
    <s v="0.00"/>
    <s v="3989.00"/>
    <s v="0.00"/>
    <s v="0"/>
    <s v="0.00"/>
    <s v="S2605RSP3;CJK3UBPUP3WC"/>
    <s v="100.00"/>
    <s v="0.00"/>
    <s v="210.00"/>
    <s v="357.00"/>
    <s v="136.00"/>
    <s v="105.00"/>
    <s v="0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33******"/>
    <s v="****"/>
    <s v="0928000888,22331546#1"/>
    <s v=""/>
    <s v="桃園市"/>
    <s v="蘆竹區"/>
    <s v="338"/>
    <s v="陳*蓁"/>
    <s v="賣家宅配：大型/超重物品運送"/>
    <s v=""/>
    <s v=""/>
    <s v="信用卡"/>
    <s v="2026-05-05 23:59"/>
    <s v="新竹物流8179169294"/>
    <s v="2026-05-03 01:29"/>
    <m/>
    <s v="學習"/>
    <s v=""/>
    <m/>
    <s v="學習"/>
    <s v="蝦皮"/>
  </r>
  <r>
    <s v="260503DKV8JQB4"/>
    <x v="0"/>
    <s v=""/>
    <s v=""/>
    <s v="j******a"/>
    <x v="2"/>
    <s v="2144.00"/>
    <s v="0.00"/>
    <s v="0.00"/>
    <s v="0.00"/>
    <s v="2144.00"/>
    <s v="0.00"/>
    <s v="40"/>
    <s v="0.00"/>
    <s v="S2605RSP3;CJK3UBPUP3WC"/>
    <s v="100.00"/>
    <s v="0.00"/>
    <s v="115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0******"/>
    <s v="****"/>
    <s v="0928000888,35523972#1"/>
    <s v=""/>
    <s v="臺北市"/>
    <s v="大安區"/>
    <s v="106"/>
    <s v="李*涵"/>
    <s v="賣家宅配：大型/超重物品運送"/>
    <s v=""/>
    <s v=""/>
    <s v="信用卡"/>
    <s v="2026-05-05 23:59"/>
    <s v="新竹物流8179169504"/>
    <s v="2026-05-03 08:41"/>
    <m/>
    <s v="學習"/>
    <s v=""/>
    <m/>
    <s v="學習"/>
    <s v="蝦皮"/>
  </r>
  <r>
    <s v="260503DTG3B2MP"/>
    <x v="0"/>
    <s v=""/>
    <s v=""/>
    <s v="j******p"/>
    <x v="2"/>
    <s v="2706.00"/>
    <s v="0.00"/>
    <s v="0.00"/>
    <s v="0.00"/>
    <s v="2706.00"/>
    <s v="0.00"/>
    <s v="0"/>
    <s v="0.00"/>
    <s v="V7UTYZV26;CJK3UBPUP3WC"/>
    <s v="150.00"/>
    <s v="0.00"/>
    <s v="143.00"/>
    <s v="242.00"/>
    <s v="95.00"/>
    <s v="71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33******"/>
    <s v="****"/>
    <s v="0928000888,08924141#1"/>
    <s v=""/>
    <s v="桃園市"/>
    <s v="桃園區"/>
    <s v="330"/>
    <s v="陳*智"/>
    <s v="賣家宅配：大型/超重物品運送"/>
    <s v=""/>
    <s v=""/>
    <s v="信用卡"/>
    <s v="2026-05-05 23:59"/>
    <s v="新竹物流8179169305"/>
    <s v="2026-05-03 10:48"/>
    <m/>
    <s v="學習"/>
    <s v=""/>
    <m/>
    <s v="學習"/>
    <s v="蝦皮"/>
  </r>
  <r>
    <s v="260503DWCBVB86"/>
    <x v="1"/>
    <s v=""/>
    <s v=""/>
    <s v="p******0"/>
    <x v="2"/>
    <s v="4460.00"/>
    <s v="0.00"/>
    <s v="0.00"/>
    <s v="0.00"/>
    <s v="4460.00"/>
    <s v="0.00"/>
    <s v="5"/>
    <s v="0.00"/>
    <s v="S2605RSP3;CJK3UBPUP3WC"/>
    <s v="100.00"/>
    <s v="0.00"/>
    <s v="235.00"/>
    <s v="400.00"/>
    <s v="151.00"/>
    <s v="118.00"/>
    <s v="0"/>
    <s v="2.50%"/>
    <s v=""/>
    <x v="12"/>
    <s v="28255058293"/>
    <s v="(單購)"/>
    <s v="390543676089"/>
    <s v="28255058293_390543676089"/>
    <n v="6000"/>
    <n v="4800"/>
    <x v="13"/>
    <s v="20230MY00"/>
    <n v="1"/>
    <s v="0"/>
    <s v="N"/>
    <s v="-"/>
    <s v="700 臺南市中西區西湖街346號"/>
    <s v="****"/>
    <s v="0928000888,84165696#1"/>
    <s v=""/>
    <s v="臺南市"/>
    <s v="中西區"/>
    <s v="700"/>
    <s v="李昱廷"/>
    <s v="賣家宅配：大型/超重物品運送"/>
    <s v=""/>
    <s v=""/>
    <s v="信用卡"/>
    <s v="2026-05-05 23:59"/>
    <s v="新竹物流8179169316"/>
    <s v="2026-05-03 11:32"/>
    <m/>
    <s v="學習"/>
    <s v=""/>
    <m/>
    <s v="學習"/>
    <s v="蝦皮"/>
  </r>
  <r>
    <s v="260503DXX4GQXW"/>
    <x v="1"/>
    <s v=""/>
    <s v=""/>
    <s v="m******8"/>
    <x v="2"/>
    <s v="2180.00"/>
    <s v="0.00"/>
    <s v="0.00"/>
    <s v="0.00"/>
    <s v="2180.00"/>
    <s v="0.00"/>
    <s v="4"/>
    <s v="0.00"/>
    <s v="S2605RSP3;CJK3UBPUP3WC"/>
    <s v="100.00"/>
    <s v="0.00"/>
    <s v="115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35 桃園市大溪區內柵路一段2-6號"/>
    <s v="****"/>
    <s v="0928000888,87033320#1"/>
    <s v=""/>
    <s v="桃園市"/>
    <s v="大溪區"/>
    <s v="335"/>
    <s v="簡彥琦"/>
    <s v="賣家宅配：大型/超重物品運送"/>
    <s v=""/>
    <s v=""/>
    <s v="信用卡"/>
    <s v="2026-05-05 23:59"/>
    <s v="新竹物流8179169493"/>
    <s v="2026-05-03 11:58"/>
    <m/>
    <s v="學習"/>
    <s v=""/>
    <m/>
    <s v="學習"/>
    <s v="蝦皮"/>
  </r>
  <r>
    <s v="260503EHHBB9Q8"/>
    <x v="1"/>
    <s v=""/>
    <s v=""/>
    <s v="s******y"/>
    <x v="2"/>
    <s v="2339.00"/>
    <s v="0.00"/>
    <s v="0.00"/>
    <s v="0.00"/>
    <s v="2339.00"/>
    <s v="0.00"/>
    <s v="414"/>
    <s v="0.00"/>
    <s v="S2605RSP3;CJK3UBPUP3WC"/>
    <s v="100.00"/>
    <s v="0.00"/>
    <s v="145.00"/>
    <s v="246.00"/>
    <s v="97.00"/>
    <s v="72.00"/>
    <s v="0"/>
    <s v="2.50%"/>
    <s v=""/>
    <x v="1"/>
    <s v="55104898742"/>
    <s v="(加購)獅兔象語彙小火車"/>
    <s v="307431421632"/>
    <s v="55104898742_307431421632"/>
    <n v="3800"/>
    <n v="2998"/>
    <x v="14"/>
    <s v="20250FXCH"/>
    <n v="1"/>
    <s v="0"/>
    <s v="N"/>
    <s v="-"/>
    <s v="335 桃園市大溪區康莊路381-1號"/>
    <s v="****"/>
    <s v="0928000888,82908140#1"/>
    <s v=""/>
    <s v="桃園市"/>
    <s v="大溪區"/>
    <s v="335"/>
    <s v="洪筱琪"/>
    <s v="賣家宅配：大型/超重物品運送"/>
    <s v=""/>
    <s v=""/>
    <s v="信用卡"/>
    <s v="2026-05-05 23:59"/>
    <s v="新竹物流8179169320"/>
    <s v="2026-05-03 17:31"/>
    <m/>
    <s v="學習"/>
    <s v=""/>
    <m/>
    <s v="學習"/>
    <s v="蝦皮"/>
  </r>
  <r>
    <s v="260503EQQWM17N"/>
    <x v="1"/>
    <s v=""/>
    <s v=""/>
    <s v="c******9"/>
    <x v="2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13"/>
    <s v="27854297254"/>
    <s v=""/>
    <s v="251123821962"/>
    <s v="27854297254_251123821962"/>
    <n v="250"/>
    <n v="199"/>
    <x v="15"/>
    <s v="20221C611"/>
    <n v="1"/>
    <s v="0"/>
    <s v="N"/>
    <s v="-"/>
    <s v="300 新竹市香山區大湖路71巷60號"/>
    <s v="****"/>
    <s v="0928000888,17259394#1"/>
    <s v=""/>
    <s v="新竹市"/>
    <s v="香山區"/>
    <s v="300"/>
    <s v="楊玉惠"/>
    <s v="賣家宅配：大型/超重物品運送"/>
    <s v=""/>
    <s v=""/>
    <s v="信用卡"/>
    <s v="2026-05-05 23:59"/>
    <s v="新竹物流8179169331"/>
    <s v="2026-05-03 19:23"/>
    <m/>
    <s v="周邊商品"/>
    <s v=""/>
    <m/>
    <s v="學習周邊"/>
    <s v="蝦皮"/>
  </r>
  <r>
    <s v="260503EQQWM17N"/>
    <x v="1"/>
    <s v=""/>
    <s v=""/>
    <s v="c******9"/>
    <x v="2"/>
    <s v="498.00"/>
    <s v="0.00"/>
    <s v="0.00"/>
    <s v="0.00"/>
    <s v="498.00"/>
    <s v="0.00"/>
    <s v="0"/>
    <s v="0.00"/>
    <s v=""/>
    <s v="0.00"/>
    <s v="0.00"/>
    <s v="0.00"/>
    <s v="42.00"/>
    <s v="25.00"/>
    <s v="12.00"/>
    <s v="0"/>
    <s v="2.50%"/>
    <s v=""/>
    <x v="14"/>
    <s v="28157944827"/>
    <s v="單購"/>
    <s v="276894603061"/>
    <s v="28157944827_276894603061"/>
    <n v="399"/>
    <n v="299"/>
    <x v="16"/>
    <s v="20250FXAM"/>
    <n v="1"/>
    <s v="0"/>
    <s v="N"/>
    <s v="-"/>
    <s v="300 新竹市香山區大湖路71巷60號"/>
    <s v="****"/>
    <s v="0928000888,17259394#1"/>
    <s v=""/>
    <s v="新竹市"/>
    <s v="香山區"/>
    <s v="300"/>
    <s v="楊玉惠"/>
    <s v="賣家宅配：大型/超重物品運送"/>
    <s v=""/>
    <s v=""/>
    <s v="信用卡"/>
    <s v="2026-05-05 23:59"/>
    <s v="新竹物流8179169331"/>
    <s v="2026-05-03 19:23"/>
    <m/>
    <s v="周邊商品"/>
    <s v=""/>
    <m/>
    <s v="學習周邊"/>
    <s v="蝦皮"/>
  </r>
  <r>
    <s v="260503EQXM84SV"/>
    <x v="1"/>
    <s v=""/>
    <s v=""/>
    <s v="f******3"/>
    <x v="2"/>
    <s v="4981.00"/>
    <s v="0.00"/>
    <s v="0.00"/>
    <s v="0.00"/>
    <s v="4981.00"/>
    <s v="0.00"/>
    <s v="0"/>
    <s v="0.00"/>
    <s v="S2605RSP3;ML2KYNNGCV5F"/>
    <s v="100.00"/>
    <s v="0.00"/>
    <s v="318.00"/>
    <s v="450.00"/>
    <s v="169.00"/>
    <s v="13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241 新北市三重區重新路5段611-6號4樓"/>
    <s v="****"/>
    <s v="0928000888,72402419#1"/>
    <s v=""/>
    <s v="新北市"/>
    <s v="三重區"/>
    <s v="241"/>
    <s v="許卉華"/>
    <s v="賣家宅配：大型/超重物品運送"/>
    <s v=""/>
    <s v=""/>
    <s v="信用卡"/>
    <s v="2026-05-05 23:59"/>
    <s v="新竹物流8179169342"/>
    <s v="2026-05-03 19:26"/>
    <m/>
    <s v="學習"/>
    <s v=""/>
    <m/>
    <s v="學習"/>
    <s v="蝦皮"/>
  </r>
  <r>
    <s v="260503EQXM84SV"/>
    <x v="1"/>
    <s v=""/>
    <s v=""/>
    <s v="f******3"/>
    <x v="2"/>
    <s v="4981.00"/>
    <s v="0.00"/>
    <s v="0.00"/>
    <s v="0.00"/>
    <s v="4981.00"/>
    <s v="0.00"/>
    <s v="0"/>
    <s v="0.00"/>
    <s v="S2605RSP3;ML2KYNNGCV5F"/>
    <s v="100.00"/>
    <s v="0.00"/>
    <s v="318.00"/>
    <s v="450.00"/>
    <s v="169.00"/>
    <s v="132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241 新北市三重區重新路5段611-6號4樓"/>
    <s v="****"/>
    <s v="0928000888,72402419#1"/>
    <s v=""/>
    <s v="新北市"/>
    <s v="三重區"/>
    <s v="241"/>
    <s v="許卉華"/>
    <s v="賣家宅配：大型/超重物品運送"/>
    <s v=""/>
    <s v=""/>
    <s v="信用卡"/>
    <s v="2026-05-05 23:59"/>
    <s v="新竹物流8179169342"/>
    <s v="2026-05-03 19:26"/>
    <m/>
    <s v="學習"/>
    <s v=""/>
    <m/>
    <s v="學習"/>
    <s v="蝦皮"/>
  </r>
  <r>
    <s v="260503ER8Y488T"/>
    <x v="1"/>
    <s v=""/>
    <s v=""/>
    <s v="v******3"/>
    <x v="2"/>
    <s v="599.00"/>
    <s v="0.00"/>
    <s v="0.00"/>
    <s v="0.00"/>
    <s v="599.00"/>
    <s v="0.00"/>
    <s v="0"/>
    <s v="0.00"/>
    <s v=""/>
    <s v="0.00"/>
    <s v="0.00"/>
    <s v="0.00"/>
    <s v="51.00"/>
    <s v="28.00"/>
    <s v="15.00"/>
    <s v="0"/>
    <s v="2.50%"/>
    <s v=""/>
    <x v="14"/>
    <s v="28157944827"/>
    <s v="單購"/>
    <s v="276894603061"/>
    <s v="28157944827_276894603061"/>
    <n v="399"/>
    <n v="299"/>
    <x v="16"/>
    <s v="20250FXAM"/>
    <n v="1"/>
    <s v="0"/>
    <s v="N"/>
    <s v="-"/>
    <s v="612 嘉義縣太保市安仁里三塊厝3-2號"/>
    <s v="****"/>
    <s v="0928000888,40050943#1"/>
    <s v=""/>
    <s v="嘉義縣"/>
    <s v="太保市"/>
    <s v="612"/>
    <s v="王雅玲"/>
    <s v="賣家宅配：大型/超重物品運送"/>
    <s v=""/>
    <s v=""/>
    <s v="信用卡"/>
    <s v="2026-05-05 23:59"/>
    <s v="新竹物流8179169471"/>
    <s v="2026-05-03 19:32"/>
    <m/>
    <s v="周邊商品"/>
    <s v=""/>
    <m/>
    <s v="學習周邊"/>
    <s v="蝦皮"/>
  </r>
  <r>
    <s v="260503ER8Y488T"/>
    <x v="1"/>
    <s v=""/>
    <s v=""/>
    <s v="v******3"/>
    <x v="2"/>
    <s v="599.00"/>
    <s v="0.00"/>
    <s v="0.00"/>
    <s v="0.00"/>
    <s v="599.00"/>
    <s v="0.00"/>
    <s v="0"/>
    <s v="0.00"/>
    <s v=""/>
    <s v="0.00"/>
    <s v="0.00"/>
    <s v="0.00"/>
    <s v="51.00"/>
    <s v="28.00"/>
    <s v="15.00"/>
    <s v="0"/>
    <s v="2.50%"/>
    <s v=""/>
    <x v="15"/>
    <s v="28324021055"/>
    <s v=""/>
    <s v="247505627301"/>
    <s v="28324021055_247505627301"/>
    <n v="300"/>
    <n v="300"/>
    <x v="17"/>
    <s v="20211C608"/>
    <n v="1"/>
    <s v="0"/>
    <s v="N"/>
    <s v="-"/>
    <s v="612 嘉義縣太保市安仁里三塊厝3-2號"/>
    <s v="****"/>
    <s v="0928000888,40050943#1"/>
    <s v=""/>
    <s v="嘉義縣"/>
    <s v="太保市"/>
    <s v="612"/>
    <s v="王雅玲"/>
    <s v="賣家宅配：大型/超重物品運送"/>
    <s v=""/>
    <s v=""/>
    <s v="信用卡"/>
    <s v="2026-05-05 23:59"/>
    <s v="新竹物流8179169471"/>
    <s v="2026-05-03 19:32"/>
    <m/>
    <s v="周邊商品"/>
    <s v=""/>
    <m/>
    <s v="學習周邊"/>
    <s v="蝦皮"/>
  </r>
  <r>
    <s v="260503F6G0U6DK"/>
    <x v="1"/>
    <s v=""/>
    <s v=""/>
    <s v="a******2"/>
    <x v="2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16"/>
    <s v="40272629657"/>
    <s v=""/>
    <s v="258985690764"/>
    <s v="40272629657_258985690764"/>
    <n v="399"/>
    <n v="299"/>
    <x v="16"/>
    <s v="20250FXAM"/>
    <n v="1"/>
    <s v="0"/>
    <s v="N"/>
    <s v="-"/>
    <s v="110 臺北市信義區信義路六段76巷2弄22號7樓"/>
    <s v="****"/>
    <s v="0928000888,11904589#1"/>
    <s v=""/>
    <s v="臺北市"/>
    <s v="信義區"/>
    <s v="110"/>
    <s v="劉冠芳"/>
    <s v="賣家宅配：大型/超重物品運送"/>
    <s v=""/>
    <s v=""/>
    <s v="信用卡"/>
    <s v="2026-05-05 23:59"/>
    <s v="新竹物流8179169482"/>
    <s v="2026-05-03 23:47"/>
    <m/>
    <s v="周邊商品"/>
    <s v=""/>
    <m/>
    <s v="學習周邊"/>
    <s v="蝦皮"/>
  </r>
  <r>
    <s v="260504F8DG7RKR"/>
    <x v="1"/>
    <s v=""/>
    <s v=""/>
    <s v="j******1"/>
    <x v="3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16"/>
    <s v="40272629657"/>
    <s v=""/>
    <s v="258985690764"/>
    <s v="40272629657_258985690764"/>
    <n v="399"/>
    <n v="299"/>
    <x v="16"/>
    <s v="20250FXAM"/>
    <n v="1"/>
    <s v="0"/>
    <s v="N"/>
    <s v="-"/>
    <s v="402 臺中市南區復興路二段167號"/>
    <s v="****"/>
    <s v="0928000888,81706609#1"/>
    <s v=""/>
    <s v="臺中市"/>
    <s v="南區"/>
    <s v="402"/>
    <s v="徐紳閔"/>
    <s v="賣家宅配：大型/超重物品運送"/>
    <s v=""/>
    <s v=""/>
    <s v="信用卡"/>
    <s v="2026-05-05 23:59"/>
    <s v="新竹物流8179175642"/>
    <s v="2026-05-04 00:21"/>
    <m/>
    <s v="周邊商品"/>
    <s v=""/>
    <m/>
    <s v="學習周邊"/>
    <s v="蝦皮"/>
  </r>
  <r>
    <s v="260504F9CAAXG2"/>
    <x v="1"/>
    <s v=""/>
    <s v=""/>
    <s v="f******n"/>
    <x v="3"/>
    <s v="2170.00"/>
    <s v="0.00"/>
    <s v="0.00"/>
    <s v="0.00"/>
    <s v="2170.00"/>
    <s v="0.00"/>
    <s v="27"/>
    <s v="0.00"/>
    <s v="S2605RSP3;COBCDE2605"/>
    <s v="100.00"/>
    <s v="0.00"/>
    <s v="300.00"/>
    <s v="212.00"/>
    <s v="85.00"/>
    <s v="62.00"/>
    <s v="0"/>
    <s v="2.50%"/>
    <s v=""/>
    <x v="8"/>
    <s v="26006309303"/>
    <s v="單購"/>
    <s v="166942493928"/>
    <s v="26006309303_166942493928"/>
    <n v="890"/>
    <n v="599"/>
    <x v="9"/>
    <s v="20221C6B6"/>
    <n v="1"/>
    <s v="0"/>
    <s v="N"/>
    <s v="-"/>
    <s v="220 新北市板橋區遠東路82號8樓"/>
    <s v="****"/>
    <s v="0928000888,61838221#1"/>
    <s v=""/>
    <s v="新北市"/>
    <s v="板橋區"/>
    <s v="220"/>
    <s v="張瑞芬"/>
    <s v="賣家宅配：大型/超重物品運送"/>
    <s v=""/>
    <s v=""/>
    <s v="信用卡"/>
    <s v="2026-05-05 23:59"/>
    <s v="新竹物流8179175745"/>
    <s v="2026-05-04 00:38"/>
    <m/>
    <s v="周邊商品"/>
    <s v=""/>
    <m/>
    <s v="學習周邊"/>
    <s v="蝦皮"/>
  </r>
  <r>
    <s v="260504F9CAAXG2"/>
    <x v="1"/>
    <s v=""/>
    <s v=""/>
    <s v="f******n"/>
    <x v="3"/>
    <s v="2170.00"/>
    <s v="0.00"/>
    <s v="0.00"/>
    <s v="0.00"/>
    <s v="2170.00"/>
    <s v="0.00"/>
    <s v="27"/>
    <s v="0.00"/>
    <s v="S2605RSP3;COBCDE2605"/>
    <s v="100.00"/>
    <s v="0.00"/>
    <s v="300.00"/>
    <s v="212.00"/>
    <s v="85.00"/>
    <s v="62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220 新北市板橋區遠東路82號8樓"/>
    <s v="****"/>
    <s v="0928000888,61838221#1"/>
    <s v=""/>
    <s v="新北市"/>
    <s v="板橋區"/>
    <s v="220"/>
    <s v="張瑞芬"/>
    <s v="賣家宅配：大型/超重物品運送"/>
    <s v=""/>
    <s v=""/>
    <s v="信用卡"/>
    <s v="2026-05-05 23:59"/>
    <s v="新竹物流8179175745"/>
    <s v="2026-05-04 00:38"/>
    <m/>
    <s v="周邊商品"/>
    <s v=""/>
    <m/>
    <s v="學習周邊"/>
    <s v="蝦皮"/>
  </r>
  <r>
    <s v="260504F9CAAXG2"/>
    <x v="1"/>
    <s v=""/>
    <s v=""/>
    <s v="f******n"/>
    <x v="3"/>
    <s v="2170.00"/>
    <s v="0.00"/>
    <s v="0.00"/>
    <s v="0.00"/>
    <s v="2170.00"/>
    <s v="0.00"/>
    <s v="27"/>
    <s v="0.00"/>
    <s v="S2605RSP3;COBCDE2605"/>
    <s v="100.00"/>
    <s v="0.00"/>
    <s v="300.00"/>
    <s v="212.00"/>
    <s v="85.00"/>
    <s v="62.00"/>
    <s v="0"/>
    <s v="2.50%"/>
    <s v=""/>
    <x v="17"/>
    <s v="28112829913"/>
    <s v="(單購)"/>
    <s v="292226285724"/>
    <s v="28112829913_292226285724"/>
    <n v="1500"/>
    <n v="1099"/>
    <x v="18"/>
    <s v="20240H023"/>
    <n v="1"/>
    <s v="0"/>
    <s v="N"/>
    <s v="-"/>
    <s v="220 新北市板橋區遠東路82號8樓"/>
    <s v="****"/>
    <s v="0928000888,61838221#1"/>
    <s v=""/>
    <s v="新北市"/>
    <s v="板橋區"/>
    <s v="220"/>
    <s v="張瑞芬"/>
    <s v="賣家宅配：大型/超重物品運送"/>
    <s v=""/>
    <s v=""/>
    <s v="信用卡"/>
    <s v="2026-05-05 23:59"/>
    <s v="新竹物流8179175745"/>
    <s v="2026-05-04 00:38"/>
    <m/>
    <s v="周邊商品"/>
    <s v=""/>
    <m/>
    <s v="學習周邊"/>
    <s v="蝦皮"/>
  </r>
  <r>
    <s v="260504F9CAAXG2"/>
    <x v="1"/>
    <s v=""/>
    <s v=""/>
    <s v="f******n"/>
    <x v="3"/>
    <s v="2170.00"/>
    <s v="0.00"/>
    <s v="0.00"/>
    <s v="0.00"/>
    <s v="2170.00"/>
    <s v="0.00"/>
    <s v="27"/>
    <s v="0.00"/>
    <s v="S2605RSP3;COBCDE2605"/>
    <s v="100.00"/>
    <s v="0.00"/>
    <s v="300.00"/>
    <s v="212.00"/>
    <s v="85.00"/>
    <s v="62.00"/>
    <s v="0"/>
    <s v="2.50%"/>
    <s v=""/>
    <x v="18"/>
    <s v="28604287513"/>
    <s v=""/>
    <s v="256123210658"/>
    <s v="28604287513_256123210658"/>
    <n v="300"/>
    <n v="200"/>
    <x v="17"/>
    <s v="20211C608"/>
    <n v="1"/>
    <s v="0"/>
    <s v="N"/>
    <s v="-"/>
    <s v="220 新北市板橋區遠東路82號8樓"/>
    <s v="****"/>
    <s v="0928000888,61838221#1"/>
    <s v=""/>
    <s v="新北市"/>
    <s v="板橋區"/>
    <s v="220"/>
    <s v="張瑞芬"/>
    <s v="賣家宅配：大型/超重物品運送"/>
    <s v=""/>
    <s v=""/>
    <s v="信用卡"/>
    <s v="2026-05-05 23:59"/>
    <s v="新竹物流8179175745"/>
    <s v="2026-05-04 00:38"/>
    <m/>
    <s v="周邊商品"/>
    <s v=""/>
    <m/>
    <s v="學習周邊"/>
    <s v="蝦皮"/>
  </r>
  <r>
    <s v="260504FB1Q8X7R"/>
    <x v="1"/>
    <s v=""/>
    <s v=""/>
    <s v="l******a"/>
    <x v="3"/>
    <s v="2219.00"/>
    <s v="0.00"/>
    <s v="0.00"/>
    <s v="0.00"/>
    <s v="2219.00"/>
    <s v="0.00"/>
    <s v="0"/>
    <s v="0.00"/>
    <s v="S2605RSP3;TKB2605BAU1"/>
    <s v="100.00"/>
    <s v="0.00"/>
    <s v="8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840 高雄市大樹區久堂里城隍巷11-32號"/>
    <s v="****"/>
    <s v="0928000888,35448506#1"/>
    <s v=""/>
    <s v="高雄市"/>
    <s v="大樹區"/>
    <s v="840"/>
    <s v="蘇怡璇"/>
    <s v="賣家宅配：大型/超重物品運送"/>
    <s v=""/>
    <s v=""/>
    <s v="信用卡"/>
    <s v="2026-05-05 23:59"/>
    <s v="新竹物流8179175653"/>
    <s v="2026-05-04 01:08"/>
    <m/>
    <s v="學習"/>
    <s v=""/>
    <m/>
    <s v="學習"/>
    <s v="蝦皮"/>
  </r>
  <r>
    <s v="260504GDERUA89"/>
    <x v="2"/>
    <s v=""/>
    <s v=""/>
    <s v="7******2"/>
    <x v="3"/>
    <s v="2399.00"/>
    <s v="0.00"/>
    <s v="0.00"/>
    <s v="0.00"/>
    <s v="2399.00"/>
    <s v="0.00"/>
    <s v="0"/>
    <s v="0.00"/>
    <s v=""/>
    <s v="0.00"/>
    <s v="0.00"/>
    <s v="0.00"/>
    <s v="204.00"/>
    <s v="82.00"/>
    <s v="6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60******"/>
    <s v="****"/>
    <s v="0928000888,76873761#1"/>
    <s v=""/>
    <s v="嘉義縣"/>
    <s v="中埔鄉"/>
    <s v="606"/>
    <s v="陳*俞"/>
    <s v="賣家宅配：大型/超重物品運送"/>
    <s v=""/>
    <s v=""/>
    <s v="信用卡"/>
    <s v="2026-05-05 23:59"/>
    <s v="新竹物流8179175664"/>
    <s v="2026-05-04 11:24"/>
    <m/>
    <s v="學習"/>
    <s v=""/>
    <m/>
    <s v="學習"/>
    <s v="蝦皮"/>
  </r>
  <r>
    <s v="260504GEY5HSET"/>
    <x v="1"/>
    <s v=""/>
    <s v=""/>
    <s v="m****i"/>
    <x v="3"/>
    <s v="699.00"/>
    <s v="0.00"/>
    <s v="0.00"/>
    <s v="0.00"/>
    <s v="699.00"/>
    <s v="0.00"/>
    <s v="0"/>
    <s v="0.00"/>
    <s v=""/>
    <s v="0.00"/>
    <s v="0.00"/>
    <s v="0.00"/>
    <s v="59.00"/>
    <s v="31.00"/>
    <s v="17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220 新北市板橋區中山路二段318巷30弄44號2樓"/>
    <s v="****"/>
    <s v="0928000888,48075069#1"/>
    <s v=""/>
    <s v="新北市"/>
    <s v="板橋區"/>
    <s v="220"/>
    <s v="李怡箴"/>
    <s v="賣家宅配：大型/超重物品運送"/>
    <s v=""/>
    <s v=""/>
    <s v="信用卡"/>
    <s v="2026-05-05 23:59"/>
    <s v="新竹物流8179175675"/>
    <s v="2026-05-04 11:51"/>
    <m/>
    <s v="周邊商品"/>
    <s v=""/>
    <m/>
    <s v="學習周邊"/>
    <s v="蝦皮"/>
  </r>
  <r>
    <s v="260504GFQY136M"/>
    <x v="1"/>
    <s v=""/>
    <s v=""/>
    <s v="x******x"/>
    <x v="3"/>
    <s v="2399.00"/>
    <s v="0.00"/>
    <s v="0.00"/>
    <s v="0.00"/>
    <s v="2399.00"/>
    <s v="0.00"/>
    <s v="0"/>
    <s v="0.00"/>
    <s v=""/>
    <s v="0.00"/>
    <s v="0.00"/>
    <s v="0.00"/>
    <s v="204.00"/>
    <s v="82.00"/>
    <s v="6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00 臺北市中正區杭州南路一段77巷29號6樓"/>
    <s v="****"/>
    <s v="0928000888,41737115#1"/>
    <s v=""/>
    <s v="臺北市"/>
    <s v="中正區"/>
    <s v="100"/>
    <s v="吳佳瑋"/>
    <s v="賣家宅配：大型/超重物品運送"/>
    <s v=""/>
    <s v=""/>
    <s v="信用卡"/>
    <s v="2026-05-05 23:59"/>
    <s v="新竹物流8179175686"/>
    <s v="2026-05-04 12:05"/>
    <m/>
    <s v="學習"/>
    <s v=""/>
    <m/>
    <s v="學習"/>
    <s v="蝦皮"/>
  </r>
  <r>
    <s v="260504GFYWPM9P"/>
    <x v="1"/>
    <s v=""/>
    <s v=""/>
    <s v="s******w"/>
    <x v="3"/>
    <s v="2396.00"/>
    <s v="0.00"/>
    <s v="0.00"/>
    <s v="0.00"/>
    <s v="2396.00"/>
    <s v="0.00"/>
    <s v="3"/>
    <s v="0.00"/>
    <s v=""/>
    <s v="0.00"/>
    <s v="0.00"/>
    <s v="0.00"/>
    <s v="204.00"/>
    <s v="82.00"/>
    <s v="6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30 桃園市桃園區民富十三街31號6樓"/>
    <s v="****"/>
    <s v="0928000888,51801541#1"/>
    <s v=""/>
    <s v="桃園市"/>
    <s v="桃園區"/>
    <s v="330"/>
    <s v="張家偉"/>
    <s v="賣家宅配：大型/超重物品運送"/>
    <s v=""/>
    <s v=""/>
    <s v="信用卡"/>
    <s v="2026-05-05 23:59"/>
    <s v="新竹物流8179175690"/>
    <s v="2026-05-04 12:09"/>
    <m/>
    <s v="學習"/>
    <s v=""/>
    <m/>
    <s v="學習"/>
    <s v="蝦皮"/>
  </r>
  <r>
    <s v="260504H4UNQXS0"/>
    <x v="1"/>
    <s v=""/>
    <s v=""/>
    <s v="l******n"/>
    <x v="3"/>
    <s v="899.00"/>
    <s v="0.00"/>
    <s v="0.00"/>
    <s v="0.00"/>
    <s v="899.00"/>
    <s v="0.00"/>
    <s v="0"/>
    <s v="0.00"/>
    <s v="5FJF84HLC"/>
    <s v="0.00"/>
    <s v="0.00"/>
    <s v="0.00"/>
    <s v="76.00"/>
    <s v="37.00"/>
    <s v="22.00"/>
    <s v="0"/>
    <s v="2.50%"/>
    <s v=""/>
    <x v="19"/>
    <s v="27054285598"/>
    <s v=""/>
    <s v="166553114962"/>
    <s v="27054285598_166553114962"/>
    <n v="899"/>
    <n v="899"/>
    <x v="19"/>
    <s v="20220H002"/>
    <n v="1"/>
    <s v="0"/>
    <s v="N"/>
    <s v="-"/>
    <s v="801 高雄市前金區市中一路232號10-1"/>
    <s v="****"/>
    <s v="0928000888,33798176#1"/>
    <s v=""/>
    <s v="高雄市"/>
    <s v="前金區"/>
    <s v="801"/>
    <s v="李宥廷"/>
    <s v="賣家宅配：大型/超重物品運送"/>
    <s v=""/>
    <s v=""/>
    <s v="信用卡"/>
    <s v="2026-05-05 23:59"/>
    <s v="新竹物流8179175701"/>
    <s v="2026-05-04 18:23"/>
    <m/>
    <s v="周邊商品"/>
    <s v=""/>
    <m/>
    <s v="生活周邊"/>
    <s v="蝦皮"/>
  </r>
  <r>
    <s v="260504H9RFWMMF"/>
    <x v="1"/>
    <s v=""/>
    <s v=""/>
    <s v="o******y"/>
    <x v="3"/>
    <s v="520.00"/>
    <s v="0.00"/>
    <s v="0.00"/>
    <s v="0.00"/>
    <s v="520.00"/>
    <s v="0.00"/>
    <s v="0"/>
    <s v="0.00"/>
    <s v=""/>
    <s v="0.00"/>
    <s v="0.00"/>
    <s v="0.00"/>
    <s v="39.00"/>
    <s v="26.00"/>
    <s v="13.00"/>
    <s v="0"/>
    <s v="2.50%"/>
    <s v=""/>
    <x v="20"/>
    <s v="44022645178"/>
    <s v=""/>
    <s v="281840860093"/>
    <s v="44022645178_281840860093"/>
    <n v="800"/>
    <n v="520"/>
    <x v="20"/>
    <s v="20252FA00"/>
    <n v="1"/>
    <s v="0"/>
    <s v="N"/>
    <s v="-"/>
    <s v="247 新北市蘆洲區中山一路175之1號8樓"/>
    <s v="****"/>
    <s v="0928000888,17067045#1"/>
    <s v=""/>
    <s v="新北市"/>
    <s v="蘆洲區"/>
    <s v="247"/>
    <s v="高鼎勛"/>
    <s v="賣家宅配：大型/超重物品運送"/>
    <s v=""/>
    <s v=""/>
    <s v="信用卡"/>
    <s v="2026-05-05 23:59"/>
    <s v="新竹物流8179175712"/>
    <s v="2026-05-04 19:50"/>
    <m/>
    <s v="周邊商品"/>
    <s v=""/>
    <m/>
    <s v="學習周邊"/>
    <s v="蝦皮"/>
  </r>
  <r>
    <s v="260504HF633K7T"/>
    <x v="3"/>
    <s v="被買家取消，原因 : 需要輸入/更換優惠券代碼"/>
    <s v=""/>
    <s v="y******5"/>
    <x v="3"/>
    <s v="2099.00"/>
    <s v="0.00"/>
    <s v="0.00"/>
    <s v="0.00"/>
    <s v="0.00"/>
    <s v="0.00"/>
    <s v="0"/>
    <s v="0.00"/>
    <s v="S2605RSP3"/>
    <s v="0.00"/>
    <s v="0.00"/>
    <s v="0.00"/>
    <s v="0.00"/>
    <s v="0.00"/>
    <s v="0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23******"/>
    <s v="****"/>
    <s v=""/>
    <s v=""/>
    <s v="新北市"/>
    <s v="土城區"/>
    <s v="236"/>
    <s v="詹*蓉"/>
    <s v="賣家宅配：大型/超重物品運送"/>
    <s v=""/>
    <s v=""/>
    <s v="信用卡"/>
    <s v=""/>
    <s v=""/>
    <s v="-"/>
    <m/>
    <s v="學習"/>
    <s v=""/>
    <m/>
    <s v="學習"/>
    <s v="蝦皮"/>
  </r>
  <r>
    <s v="260504HFA2U2J6"/>
    <x v="1"/>
    <s v=""/>
    <s v=""/>
    <s v="y******5"/>
    <x v="3"/>
    <s v="2099.00"/>
    <s v="0.00"/>
    <s v="0.00"/>
    <s v="0.00"/>
    <s v="2099.00"/>
    <s v="0.00"/>
    <s v="0"/>
    <s v="0.00"/>
    <s v="S2605RSP3"/>
    <s v="100.00"/>
    <s v="0.00"/>
    <s v="0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236 新北市土城區中央路三段281巷15弄14號4樓"/>
    <s v="****"/>
    <s v="0928000888,29248868#1"/>
    <s v=""/>
    <s v="新北市"/>
    <s v="土城區"/>
    <s v="236"/>
    <s v="詹昀蓉"/>
    <s v="賣家宅配：大型/超重物品運送"/>
    <s v=""/>
    <s v=""/>
    <s v="信用卡"/>
    <s v="2026-05-05 23:59"/>
    <s v="新竹物流8179175723"/>
    <s v="2026-05-04 21:30"/>
    <m/>
    <s v="學習"/>
    <s v=""/>
    <m/>
    <s v="學習"/>
    <s v="蝦皮"/>
  </r>
  <r>
    <s v="260504HKF41TGN"/>
    <x v="1"/>
    <s v=""/>
    <s v=""/>
    <s v="p******o"/>
    <x v="3"/>
    <s v="1198.00"/>
    <s v="0.00"/>
    <s v="0.00"/>
    <s v="0.00"/>
    <s v="1198.00"/>
    <s v="0.00"/>
    <s v="0"/>
    <s v="0.00"/>
    <s v="GHDMDZB4T"/>
    <s v="0.00"/>
    <s v="0.00"/>
    <s v="0.00"/>
    <s v="102.00"/>
    <s v="46.00"/>
    <s v="30.00"/>
    <s v="3"/>
    <s v="2.50%"/>
    <s v=""/>
    <x v="3"/>
    <s v="29672846571"/>
    <s v="(加購)巧虎手偶 $199"/>
    <s v="355543703692"/>
    <s v="29672846571_355543703692"/>
    <n v="1599"/>
    <n v="1198"/>
    <x v="3"/>
    <s v="20250FXBN"/>
    <n v="1"/>
    <s v="0"/>
    <s v="N"/>
    <s v="-"/>
    <s v="248 新北市五股區新五路三段36號10樓"/>
    <s v="****"/>
    <s v="0928000888,19425875#1"/>
    <s v=""/>
    <s v="新北市"/>
    <s v="五股區"/>
    <s v="248"/>
    <s v="林思慧"/>
    <s v="賣家宅配：大型/超重物品運送"/>
    <s v=""/>
    <s v=""/>
    <s v="信用卡分期付款"/>
    <s v="2026-05-05 23:59"/>
    <s v="新竹物流8179175734"/>
    <s v="2026-05-04 22:44"/>
    <m/>
    <s v="周邊商品"/>
    <s v=""/>
    <m/>
    <s v="學習周邊"/>
    <s v="蝦皮"/>
  </r>
  <r>
    <s v="260505HQQRNGNE"/>
    <x v="1"/>
    <s v=""/>
    <s v=""/>
    <s v="t******1"/>
    <x v="4"/>
    <s v="2728.00"/>
    <s v="0.00"/>
    <s v="0.00"/>
    <s v="0.00"/>
    <s v="2728.00"/>
    <s v="0.00"/>
    <s v="0"/>
    <s v="0.00"/>
    <s v="S2605RSP3;CUBDF26505"/>
    <s v="100.00"/>
    <s v="0.00"/>
    <s v="372.00"/>
    <s v="264.00"/>
    <s v="103.00"/>
    <s v="78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710 臺南市永康區大灣六街52號"/>
    <s v="****"/>
    <s v="0928000888,79132376#1"/>
    <s v=""/>
    <s v="臺南市"/>
    <s v="永康區"/>
    <s v="710"/>
    <s v="李雅茹"/>
    <s v="賣家宅配：大型/超重物品運送"/>
    <s v=""/>
    <s v=""/>
    <s v="信用卡"/>
    <s v="2026-05-06 23:59"/>
    <s v="新竹物流8179179444"/>
    <s v="2026-05-05 01:07"/>
    <m/>
    <s v="學習"/>
    <s v=""/>
    <m/>
    <s v="學習"/>
    <s v="蝦皮"/>
  </r>
  <r>
    <s v="260505HQTN7EY8"/>
    <x v="1"/>
    <s v=""/>
    <s v=""/>
    <s v="f******i"/>
    <x v="4"/>
    <s v="2099.00"/>
    <s v="0.00"/>
    <s v="0.00"/>
    <s v="0.00"/>
    <s v="2099.00"/>
    <s v="0.00"/>
    <s v="0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02 新竹縣竹北市光明六路239巷5弄15號"/>
    <s v="****"/>
    <s v="0928000888,16620549#1"/>
    <s v=""/>
    <s v="新竹縣"/>
    <s v="竹北市"/>
    <s v="302"/>
    <s v="陳映竺"/>
    <s v="賣家宅配：大型/超重物品運送"/>
    <s v=""/>
    <s v=""/>
    <s v="信用卡"/>
    <s v="2026-05-06 23:59"/>
    <s v="新竹物流8179177845"/>
    <s v="2026-05-05 00:02"/>
    <m/>
    <s v="學習"/>
    <s v=""/>
    <m/>
    <s v="學習"/>
    <s v="蝦皮"/>
  </r>
  <r>
    <s v="260505HQW0GKFQ"/>
    <x v="1"/>
    <s v=""/>
    <s v=""/>
    <s v="a******5"/>
    <x v="4"/>
    <s v="3168.00"/>
    <s v="0.00"/>
    <s v="0.00"/>
    <s v="0.00"/>
    <s v="3168.00"/>
    <s v="0.00"/>
    <s v="1056"/>
    <s v="0.00"/>
    <s v="ESUNDF4836;S2605RSP3"/>
    <s v="100.00"/>
    <s v="0.00"/>
    <s v="374.00"/>
    <s v="408.00"/>
    <s v="154.00"/>
    <s v="120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407 臺中市西屯區環中路三段61號18樓之6"/>
    <s v="****"/>
    <s v="0928000888,64518871#1"/>
    <s v=""/>
    <s v="臺中市"/>
    <s v="西屯區"/>
    <s v="407"/>
    <s v="蘇芳儀"/>
    <s v="賣家宅配：大型/超重物品運送"/>
    <s v=""/>
    <s v=""/>
    <s v="信用卡"/>
    <s v="2026-05-06 23:59"/>
    <s v="新竹物流8179177440"/>
    <s v="2026-05-05 00:03"/>
    <m/>
    <s v="學習"/>
    <s v=""/>
    <m/>
    <s v="學習"/>
    <s v="蝦皮"/>
  </r>
  <r>
    <s v="260505HQWDUSJS"/>
    <x v="1"/>
    <s v=""/>
    <s v=""/>
    <s v="a******0"/>
    <x v="4"/>
    <s v="2099.00"/>
    <s v="0.00"/>
    <s v="0.00"/>
    <s v="0.00"/>
    <s v="2099.00"/>
    <s v="0.00"/>
    <s v="0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20 新北市板橋區文化路二段609號15樓"/>
    <s v="****"/>
    <s v="0928000888,03060024#1"/>
    <s v=""/>
    <s v="新北市"/>
    <s v="板橋區"/>
    <s v="220"/>
    <s v="徐愛婷"/>
    <s v="賣家宅配：大型/超重物品運送"/>
    <s v=""/>
    <s v=""/>
    <s v="信用卡"/>
    <s v="2026-05-06 23:59"/>
    <s v="新竹物流8179177834"/>
    <s v="2026-05-05 00:04"/>
    <m/>
    <s v="學習"/>
    <s v=""/>
    <m/>
    <s v="學習"/>
    <s v="蝦皮"/>
  </r>
  <r>
    <s v="260505HQWRCBUG"/>
    <x v="1"/>
    <s v=""/>
    <s v=""/>
    <s v="k******5"/>
    <x v="4"/>
    <s v="1518.00"/>
    <s v="0.00"/>
    <s v="0.00"/>
    <s v="0.00"/>
    <s v="1518.00"/>
    <s v="0.00"/>
    <s v="505"/>
    <s v="0.00"/>
    <s v="S2605RSP3;ESUNDF4836"/>
    <s v="100.00"/>
    <s v="0.00"/>
    <s v="179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964 臺東縣金峰鄉正興村2鄰31號"/>
    <s v="****"/>
    <s v="0928000888,69443615#1"/>
    <s v=""/>
    <s v="臺東縣"/>
    <s v="金峰鄉"/>
    <s v="964"/>
    <s v="翁能束"/>
    <s v="賣家宅配：大型/超重物品運送"/>
    <s v=""/>
    <s v=""/>
    <s v="信用卡"/>
    <s v="2026-05-06 23:59"/>
    <s v="新竹物流8179177823"/>
    <s v="2026-05-05 00:04"/>
    <m/>
    <s v="學習"/>
    <s v=""/>
    <m/>
    <s v="學習"/>
    <s v="蝦皮"/>
  </r>
  <r>
    <s v="260505HQXM17M4"/>
    <x v="1"/>
    <s v=""/>
    <s v=""/>
    <s v="r******2"/>
    <x v="4"/>
    <s v="2179.00"/>
    <s v="0.00"/>
    <s v="0.00"/>
    <s v="0.00"/>
    <s v="2179.00"/>
    <s v="0.00"/>
    <s v="0"/>
    <s v="0.00"/>
    <s v="SVC-1409016320524312;XBG8YQ6JR"/>
    <s v="20.00"/>
    <s v="0.00"/>
    <s v="200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42 新北市新莊區中智街7號7樓"/>
    <s v="****"/>
    <s v="0928000888,24854597#1"/>
    <s v=""/>
    <s v="新北市"/>
    <s v="新莊區"/>
    <s v="242"/>
    <s v="黃瀅銣"/>
    <s v="賣家宅配：大型/超重物品運送"/>
    <s v=""/>
    <s v=""/>
    <s v="信用卡"/>
    <s v="2026-05-06 23:59"/>
    <s v="新竹物流8179177812"/>
    <s v="2026-05-05 00:04"/>
    <m/>
    <s v="學習"/>
    <s v=""/>
    <m/>
    <s v="學習"/>
    <s v="蝦皮"/>
  </r>
  <r>
    <s v="260505HQXJ56SG"/>
    <x v="1"/>
    <s v=""/>
    <s v=""/>
    <s v="b******5"/>
    <x v="4"/>
    <s v="2728.00"/>
    <s v="0.00"/>
    <s v="0.00"/>
    <s v="0.00"/>
    <s v="2728.00"/>
    <s v="0.00"/>
    <s v="0"/>
    <s v="0.00"/>
    <s v="S2605RSP3;ESUNDF4836"/>
    <s v="100.00"/>
    <s v="0.00"/>
    <s v="241.00"/>
    <s v="264.00"/>
    <s v="103.00"/>
    <s v="78.00"/>
    <s v="0"/>
    <s v="2.50%"/>
    <s v=""/>
    <x v="21"/>
    <s v="28215382311"/>
    <s v=""/>
    <s v="195494030276"/>
    <s v="28215382311_195494030276"/>
    <n v="4000"/>
    <n v="3200"/>
    <x v="21"/>
    <s v="20240FM00"/>
    <n v="1"/>
    <s v="0"/>
    <s v="N"/>
    <s v="-"/>
    <s v="324 桃園市平鎮區上海路89巷55號"/>
    <s v="****"/>
    <s v="0928000888,14481348#1"/>
    <s v=""/>
    <s v="桃園市"/>
    <s v="平鎮區"/>
    <s v="324"/>
    <s v="蔣巧雯"/>
    <s v="賣家宅配：大型/超重物品運送"/>
    <s v=""/>
    <s v=""/>
    <s v="信用卡"/>
    <s v="2026-05-06 23:59"/>
    <s v="新竹物流8179177451"/>
    <s v="2026-05-05 00:05"/>
    <m/>
    <s v="學習"/>
    <s v=""/>
    <m/>
    <s v="學習"/>
    <s v="蝦皮"/>
  </r>
  <r>
    <s v="260505HQYPC8JD"/>
    <x v="1"/>
    <s v=""/>
    <s v=""/>
    <s v="j******4"/>
    <x v="4"/>
    <s v="1869.00"/>
    <s v="0.00"/>
    <s v="0.00"/>
    <s v="0.00"/>
    <s v="1869.00"/>
    <s v="0.00"/>
    <s v="230"/>
    <s v="0.00"/>
    <s v="S2605RSP3;DNRQW2AKJ"/>
    <s v="100.00"/>
    <s v="0.00"/>
    <s v="0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242 新北市新莊區富貴路127號8樓之2"/>
    <s v="****"/>
    <s v="0928000888,75091032#1"/>
    <s v=""/>
    <s v="新北市"/>
    <s v="新莊區"/>
    <s v="242"/>
    <s v="陳姿潔"/>
    <s v="賣家宅配：大型/超重物品運送"/>
    <s v=""/>
    <s v=""/>
    <s v="信用卡"/>
    <s v="2026-05-06 23:59"/>
    <s v="新竹物流8179177462"/>
    <s v="2026-05-05 00:04"/>
    <m/>
    <s v="學習"/>
    <s v=""/>
    <m/>
    <s v="學習"/>
    <s v="蝦皮"/>
  </r>
  <r>
    <s v="260505HR00UERU"/>
    <x v="1"/>
    <s v=""/>
    <s v=""/>
    <s v="n******8"/>
    <x v="4"/>
    <s v="2099.00"/>
    <s v="0.00"/>
    <s v="0.00"/>
    <s v="0.00"/>
    <s v="2099.00"/>
    <s v="0.00"/>
    <s v="0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407 臺中市西屯區西屯路三段159之11巷9弄1號4樓之1"/>
    <s v="****"/>
    <s v="0928000888,84500402#1"/>
    <s v=""/>
    <s v="臺中市"/>
    <s v="西屯區"/>
    <s v="407"/>
    <s v="徐瑜彤"/>
    <s v="賣家宅配：大型/超重物品運送"/>
    <s v=""/>
    <s v=""/>
    <s v="信用卡"/>
    <s v="2026-05-06 23:59"/>
    <s v="新竹物流8179177801"/>
    <s v="2026-05-05 00:05"/>
    <m/>
    <s v="學習"/>
    <s v=""/>
    <m/>
    <s v="學習"/>
    <s v="蝦皮"/>
  </r>
  <r>
    <s v="260505HR3CMP02"/>
    <x v="1"/>
    <s v=""/>
    <s v=""/>
    <s v="t******."/>
    <x v="4"/>
    <s v="2299.00"/>
    <s v="0.00"/>
    <s v="0.00"/>
    <s v="0.00"/>
    <s v="2299.00"/>
    <s v="0.00"/>
    <s v="0"/>
    <s v="0.00"/>
    <s v="S2605RSP3;YEVQ75DKH"/>
    <s v="100.00"/>
    <s v="0.00"/>
    <s v="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840 高雄市大樹區九曲路398號五樓之6"/>
    <s v="****"/>
    <s v="0928000888,87790024#1"/>
    <s v=""/>
    <s v="高雄市"/>
    <s v="大樹區"/>
    <s v="840"/>
    <s v="陳宜君"/>
    <s v="賣家宅配：大型/超重物品運送"/>
    <s v=""/>
    <s v=""/>
    <s v="信用卡"/>
    <s v="2026-05-06 23:59"/>
    <s v="新竹物流8179177952"/>
    <s v="2026-05-05 00:08"/>
    <m/>
    <s v="學習"/>
    <s v=""/>
    <m/>
    <s v="學習"/>
    <s v="蝦皮"/>
  </r>
  <r>
    <s v="260505HR5YKHYN"/>
    <x v="1"/>
    <s v=""/>
    <s v=""/>
    <s v="_*****p"/>
    <x v="4"/>
    <s v="2099.00"/>
    <s v="0.00"/>
    <s v="0.00"/>
    <s v="0.00"/>
    <s v="2099.00"/>
    <s v="0.00"/>
    <s v="0"/>
    <s v="0.00"/>
    <s v="XBG8YQ6JR;S2605RSP3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825 高雄市橋頭區甲北里經武路1130巷115號3樓"/>
    <s v="****"/>
    <s v="0928000888,52774569#1"/>
    <s v=""/>
    <s v="高雄市"/>
    <s v="橋頭區"/>
    <s v="825"/>
    <s v="余品璇"/>
    <s v="賣家宅配：大型/超重物品運送"/>
    <s v=""/>
    <s v=""/>
    <s v="信用卡"/>
    <s v="2026-05-06 23:59"/>
    <s v="新竹物流8179177930"/>
    <s v="2026-05-05 00:08"/>
    <m/>
    <s v="學習"/>
    <s v=""/>
    <m/>
    <s v="學習"/>
    <s v="蝦皮"/>
  </r>
  <r>
    <s v="260505HR6DUXN4"/>
    <x v="1"/>
    <s v=""/>
    <s v=""/>
    <s v="i*****v"/>
    <x v="4"/>
    <s v="2099.00"/>
    <s v="0.00"/>
    <s v="0.00"/>
    <s v="0.00"/>
    <s v="2099.00"/>
    <s v="0.00"/>
    <s v="0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24 桃園市平鎮區廣德街259號3樓"/>
    <s v="****"/>
    <s v="0928000888,76764633#1"/>
    <s v=""/>
    <s v="桃園市"/>
    <s v="平鎮區"/>
    <s v="324"/>
    <s v="邱毓芳"/>
    <s v="賣家宅配：大型/超重物品運送"/>
    <s v=""/>
    <s v=""/>
    <s v="信用卡"/>
    <s v="2026-05-06 23:59"/>
    <s v="新竹物流8179177926"/>
    <s v="2026-05-05 00:08"/>
    <m/>
    <s v="學習"/>
    <s v=""/>
    <m/>
    <s v="學習"/>
    <s v="蝦皮"/>
  </r>
  <r>
    <s v="260505HR6PDWGQ"/>
    <x v="4"/>
    <s v=""/>
    <s v=""/>
    <s v="w******8"/>
    <x v="4"/>
    <s v="4999.00"/>
    <s v="0.00"/>
    <s v="0.00"/>
    <s v="0.00"/>
    <s v="4999.00"/>
    <s v="0.00"/>
    <s v="0"/>
    <s v="0.00"/>
    <s v="YEVQ75DKH;S2605RSP3"/>
    <s v="100.00"/>
    <s v="0.00"/>
    <s v="0.00"/>
    <s v="425.00"/>
    <s v="160.00"/>
    <s v="125.00"/>
    <s v="0"/>
    <s v="2.50%"/>
    <s v=""/>
    <x v="4"/>
    <s v="29842502974"/>
    <s v="(加購)巧虎手偶"/>
    <s v="259020882902"/>
    <s v="29842502974_259020882902"/>
    <n v="6799"/>
    <n v="5099"/>
    <x v="4"/>
    <s v="20250FXAR"/>
    <n v="1"/>
    <s v="0"/>
    <s v="N"/>
    <s v="-"/>
    <s v="40******"/>
    <s v="****"/>
    <s v="0928000888,47148971#1"/>
    <s v=""/>
    <s v="臺中市"/>
    <s v="北屯區"/>
    <s v="406"/>
    <s v="曾*妹"/>
    <s v="賣家宅配：大型/超重物品運送"/>
    <s v=""/>
    <s v=""/>
    <s v="信用卡"/>
    <s v="2026-05-06 23:59"/>
    <s v="新竹物流8179177473"/>
    <s v="2026-05-05 00:32"/>
    <m/>
    <s v="學習"/>
    <s v=""/>
    <m/>
    <s v="學習"/>
    <s v="蝦皮"/>
  </r>
  <r>
    <s v="260505HR7K3Q8R"/>
    <x v="1"/>
    <s v=""/>
    <s v=""/>
    <s v="t******2"/>
    <x v="4"/>
    <s v="2087.00"/>
    <s v="0.00"/>
    <s v="0.00"/>
    <s v="0.00"/>
    <s v="2087.00"/>
    <s v="0.00"/>
    <s v="12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20 新北市板橋區龍興街71巷3號4樓"/>
    <s v="****"/>
    <s v="0928000888,82792441#1"/>
    <s v=""/>
    <s v="新北市"/>
    <s v="板橋區"/>
    <s v="220"/>
    <s v="蔡永隆"/>
    <s v="賣家宅配：大型/超重物品運送"/>
    <s v=""/>
    <s v=""/>
    <s v="信用卡"/>
    <s v="2026-05-06 23:59"/>
    <s v="新竹物流8179177915"/>
    <s v="2026-05-05 00:09"/>
    <m/>
    <s v="學習"/>
    <s v=""/>
    <m/>
    <s v="學習"/>
    <s v="蝦皮"/>
  </r>
  <r>
    <s v="260505HRAT3NDN"/>
    <x v="1"/>
    <s v=""/>
    <s v=""/>
    <s v="e******9"/>
    <x v="4"/>
    <s v="1096.00"/>
    <s v="0.00"/>
    <s v="0.00"/>
    <s v="0.00"/>
    <s v="1096.00"/>
    <s v="0.00"/>
    <s v="0"/>
    <s v="0.00"/>
    <s v="S2605RSP3;DNRQW2AKJ"/>
    <s v="100.00"/>
    <s v="0.00"/>
    <s v="0.00"/>
    <s v="93.00"/>
    <s v="43.00"/>
    <s v="27.00"/>
    <s v="0"/>
    <s v="2.50%"/>
    <s v=""/>
    <x v="16"/>
    <s v="40272629657"/>
    <s v=""/>
    <s v="258985690764"/>
    <s v="40272629657_258985690764"/>
    <n v="399"/>
    <n v="299"/>
    <x v="16"/>
    <s v="20250FXAM"/>
    <n v="4"/>
    <s v="0"/>
    <s v="N"/>
    <s v="-"/>
    <s v="414 臺中市烏日區環河路五段268號五樓之2"/>
    <s v="****"/>
    <s v="0928000888,10829144#1"/>
    <s v=""/>
    <s v="臺中市"/>
    <s v="烏日區"/>
    <s v="414"/>
    <s v="施慧姍"/>
    <s v="賣家宅配：大型/超重物品運送"/>
    <s v=""/>
    <s v=""/>
    <s v="信用卡"/>
    <s v="2026-05-06 23:59"/>
    <s v="新竹物流8179177484"/>
    <s v="2026-05-05 00:11"/>
    <m/>
    <s v="周邊商品"/>
    <s v=""/>
    <m/>
    <s v="學習周邊"/>
    <s v="蝦皮"/>
  </r>
  <r>
    <s v="260505HRPSDKE3"/>
    <x v="1"/>
    <s v=""/>
    <s v=""/>
    <s v="w******3"/>
    <x v="4"/>
    <s v="2033.00"/>
    <s v="0.00"/>
    <s v="0.00"/>
    <s v="0.00"/>
    <s v="2033.00"/>
    <s v="0.00"/>
    <s v="66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00 臺北市中正區羅斯福路三段86號八樓"/>
    <s v="****"/>
    <s v="0928000888,88415806#1"/>
    <s v=""/>
    <s v="臺北市"/>
    <s v="中正區"/>
    <s v="100"/>
    <s v="王筱萱"/>
    <s v="賣家宅配：大型/超重物品運送"/>
    <s v=""/>
    <s v=""/>
    <s v="信用卡"/>
    <s v="2026-05-06 23:59"/>
    <s v="新竹物流8179177904"/>
    <s v="2026-05-05 00:18"/>
    <m/>
    <s v="學習"/>
    <s v=""/>
    <m/>
    <s v="學習"/>
    <s v="蝦皮"/>
  </r>
  <r>
    <s v="260505HRT38T6C"/>
    <x v="3"/>
    <s v="被買家取消，原因 : 修改訂單內容"/>
    <s v=""/>
    <s v="a******2"/>
    <x v="4"/>
    <s v="4183.00"/>
    <s v="0.00"/>
    <s v="0.00"/>
    <s v="0.00"/>
    <s v="0.00"/>
    <s v="0.00"/>
    <s v="0"/>
    <s v="0.00"/>
    <s v="S2605RSP3;ZSTX3RGTB"/>
    <s v="0.00"/>
    <s v="0.00"/>
    <s v="0.00"/>
    <s v="0.00"/>
    <s v="0.00"/>
    <s v="0.00"/>
    <s v="0"/>
    <s v="2.50%"/>
    <s v=""/>
    <x v="22"/>
    <s v="26604288508"/>
    <s v="紅"/>
    <s v="256125312895"/>
    <s v="26604288508_256125312895"/>
    <n v="499"/>
    <n v="299"/>
    <x v="22"/>
    <s v="20230EA00"/>
    <n v="1"/>
    <s v="0"/>
    <s v="N"/>
    <s v="-"/>
    <s v="80******"/>
    <s v="****"/>
    <s v=""/>
    <s v=""/>
    <s v="高雄市"/>
    <s v="三民區"/>
    <s v="807"/>
    <s v="林*均"/>
    <s v="賣家宅配：大型/超重物品運送"/>
    <s v=""/>
    <s v=""/>
    <s v="信用卡"/>
    <s v="2026-05-06 23:59"/>
    <s v=""/>
    <s v="2026-05-05 00:19"/>
    <m/>
    <s v="周邊商品"/>
    <s v=""/>
    <m/>
    <s v="生活周邊"/>
    <s v="蝦皮"/>
  </r>
  <r>
    <s v="260505HRT38T6C"/>
    <x v="3"/>
    <s v="被買家取消，原因 : 修改訂單內容"/>
    <s v=""/>
    <s v="a******2"/>
    <x v="4"/>
    <s v="4183.00"/>
    <s v="0.00"/>
    <s v="0.00"/>
    <s v="0.00"/>
    <s v="0.00"/>
    <s v="0.00"/>
    <s v="0"/>
    <s v="0.00"/>
    <s v="S2605RSP3;ZSTX3RGTB"/>
    <s v="0.00"/>
    <s v="0.00"/>
    <s v="0.00"/>
    <s v="0.00"/>
    <s v="0.00"/>
    <s v="0.00"/>
    <s v="0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80******"/>
    <s v="****"/>
    <s v=""/>
    <s v=""/>
    <s v="高雄市"/>
    <s v="三民區"/>
    <s v="807"/>
    <s v="林*均"/>
    <s v="賣家宅配：大型/超重物品運送"/>
    <s v=""/>
    <s v=""/>
    <s v="信用卡"/>
    <s v="2026-05-06 23:59"/>
    <s v=""/>
    <s v="2026-05-05 00:19"/>
    <m/>
    <s v="學習"/>
    <s v=""/>
    <m/>
    <s v="學習"/>
    <s v="蝦皮"/>
  </r>
  <r>
    <s v="260505HRVT2RA4"/>
    <x v="1"/>
    <s v=""/>
    <s v=""/>
    <s v="s******r"/>
    <x v="4"/>
    <s v="2179.00"/>
    <s v="0.00"/>
    <s v="0.00"/>
    <s v="0.00"/>
    <s v="2179.00"/>
    <s v="0.00"/>
    <s v="0"/>
    <s v="0.00"/>
    <s v="SVC-1409016320524312;XBG8YQ6JR"/>
    <s v="20.00"/>
    <s v="0.00"/>
    <s v="200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640 雲林縣斗六市棒球三街18號"/>
    <s v="****"/>
    <s v="0928000888,38774897#1"/>
    <s v=""/>
    <s v="雲林縣"/>
    <s v="斗六市"/>
    <s v="640"/>
    <s v="李昱昕"/>
    <s v="賣家宅配：大型/超重物品運送"/>
    <s v=""/>
    <s v=""/>
    <s v="信用卡"/>
    <s v="2026-05-06 23:59"/>
    <s v="新竹物流8179177893"/>
    <s v="2026-05-05 00:21"/>
    <m/>
    <s v="學習"/>
    <s v=""/>
    <m/>
    <s v="學習"/>
    <s v="蝦皮"/>
  </r>
  <r>
    <s v="260505HRY4F3XQ"/>
    <x v="1"/>
    <s v=""/>
    <s v=""/>
    <s v="v*****5"/>
    <x v="4"/>
    <s v="2323.00"/>
    <s v="0.00"/>
    <s v="0.00"/>
    <s v="0.00"/>
    <s v="2323.00"/>
    <s v="0.00"/>
    <s v="0"/>
    <s v="0.00"/>
    <s v="S2605RSP3;ZSTX3RGTB"/>
    <s v="100.00"/>
    <s v="0.00"/>
    <s v="175.00"/>
    <s v="212.00"/>
    <s v="85.00"/>
    <s v="62.00"/>
    <s v="0"/>
    <s v="2.50%"/>
    <s v=""/>
    <x v="1"/>
    <s v="55104898742"/>
    <s v="(加購)巧虎手偶 $199"/>
    <s v="430504001726"/>
    <s v="55104898742_430504001726"/>
    <n v="3299"/>
    <n v="2598"/>
    <x v="7"/>
    <s v="20250FXBH"/>
    <n v="1"/>
    <s v="0"/>
    <s v="N"/>
    <s v="-"/>
    <s v="806 高雄市前鎮區前鎮區育樂路20號25樓之13"/>
    <s v="****"/>
    <s v="0928000888,94025220#1"/>
    <s v=""/>
    <s v="高雄市"/>
    <s v="前鎮區"/>
    <s v="806"/>
    <s v="郭政瑩"/>
    <s v="賣家宅配：大型/超重物品運送"/>
    <s v=""/>
    <s v=""/>
    <s v="信用卡"/>
    <s v="2026-05-06 23:59"/>
    <s v="新竹物流8179177495"/>
    <s v="2026-05-05 00:22"/>
    <m/>
    <s v="學習"/>
    <s v=""/>
    <m/>
    <s v="學習"/>
    <s v="蝦皮"/>
  </r>
  <r>
    <s v="260505HRYFVG62"/>
    <x v="1"/>
    <s v=""/>
    <s v=""/>
    <s v="m******g"/>
    <x v="4"/>
    <s v="4262.00"/>
    <s v="0.00"/>
    <s v="0.00"/>
    <s v="0.00"/>
    <s v="4262.00"/>
    <s v="0.00"/>
    <s v="438"/>
    <s v="0.00"/>
    <s v="BENE100;YEVQ75DKH"/>
    <s v="100.00"/>
    <s v="0.00"/>
    <s v="0.00"/>
    <s v="400.00"/>
    <s v="151.00"/>
    <s v="118.00"/>
    <s v="0"/>
    <s v="2.50%"/>
    <s v=""/>
    <x v="12"/>
    <s v="28255058293"/>
    <s v="(單購)"/>
    <s v="390543676089"/>
    <s v="28255058293_390543676089"/>
    <n v="6000"/>
    <n v="4800"/>
    <x v="13"/>
    <s v="20230MY00"/>
    <n v="1"/>
    <s v="0"/>
    <s v="N"/>
    <s v="-"/>
    <s v="813 高雄市左營區文天路88號15樓"/>
    <s v="****"/>
    <s v="0928000888,29501774#1"/>
    <s v=""/>
    <s v="高雄市"/>
    <s v="左營區"/>
    <s v="813"/>
    <s v="王建傑"/>
    <s v="賣家宅配：大型/超重物品運送"/>
    <s v=""/>
    <s v=""/>
    <s v="信用卡"/>
    <s v="2026-05-06 23:59"/>
    <s v="新竹物流8179177506"/>
    <s v="2026-05-05 00:22"/>
    <m/>
    <s v="學習"/>
    <s v=""/>
    <m/>
    <s v="學習"/>
    <s v="蝦皮"/>
  </r>
  <r>
    <s v="260505HS5DNDFC"/>
    <x v="1"/>
    <s v=""/>
    <s v=""/>
    <s v="_*****p"/>
    <x v="4"/>
    <s v="4199.00"/>
    <s v="0.00"/>
    <s v="0.00"/>
    <s v="0.00"/>
    <s v="4199.00"/>
    <s v="0.00"/>
    <s v="0"/>
    <s v="0.00"/>
    <s v="YEVQ75DKH;BENE100"/>
    <s v="100.00"/>
    <s v="0.00"/>
    <s v="0.00"/>
    <s v="357.00"/>
    <s v="136.00"/>
    <s v="105.00"/>
    <s v="0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825 高雄市橋頭區甲北里經武路1130巷115號3樓"/>
    <s v="****"/>
    <s v="0928000888,52305657#1"/>
    <s v=""/>
    <s v="高雄市"/>
    <s v="橋頭區"/>
    <s v="825"/>
    <s v="余品璇"/>
    <s v="賣家宅配：大型/超重物品運送"/>
    <s v=""/>
    <s v=""/>
    <s v="信用卡"/>
    <s v="2026-05-06 23:59"/>
    <s v="新竹物流8179177510"/>
    <s v="2026-05-05 00:26"/>
    <m/>
    <s v="學習"/>
    <s v=""/>
    <m/>
    <s v="學習"/>
    <s v="蝦皮"/>
  </r>
  <r>
    <s v="260505HSYJ1PD5"/>
    <x v="1"/>
    <s v=""/>
    <s v=""/>
    <s v="i******a"/>
    <x v="4"/>
    <s v="807.00"/>
    <s v="0.00"/>
    <s v="0.00"/>
    <s v="0.00"/>
    <s v="807.00"/>
    <s v="0.00"/>
    <s v="0"/>
    <s v="0.00"/>
    <s v="S2605RSP3;5K8ENHGSS"/>
    <s v="100.00"/>
    <s v="0.00"/>
    <s v="100.00"/>
    <s v="77.00"/>
    <s v="37.00"/>
    <s v="23.00"/>
    <s v="0"/>
    <s v="2.50%"/>
    <s v=""/>
    <x v="23"/>
    <s v="24735289975"/>
    <s v=""/>
    <s v="251469945373"/>
    <s v="24735289975_251469945373"/>
    <n v="320"/>
    <n v="210"/>
    <x v="23"/>
    <s v="20191C710"/>
    <n v="1"/>
    <s v="0"/>
    <s v="N"/>
    <s v="-"/>
    <s v="649 雲林縣二崙鄉竹圍路5-2號"/>
    <s v="****"/>
    <s v="0928000888,55588257#1"/>
    <s v=""/>
    <s v="雲林縣"/>
    <s v="二崙鄉"/>
    <s v="649"/>
    <s v="莊佳蓉"/>
    <s v="賣家宅配：大型/超重物品運送"/>
    <s v=""/>
    <s v=""/>
    <s v="信用卡"/>
    <s v="2026-05-06 23:59"/>
    <s v="新竹物流8179177521"/>
    <s v="2026-05-05 00:40"/>
    <m/>
    <s v="周邊商品"/>
    <s v=""/>
    <m/>
    <s v="學習周邊"/>
    <s v="蝦皮"/>
  </r>
  <r>
    <s v="260505HSYJ1PD5"/>
    <x v="1"/>
    <s v=""/>
    <s v=""/>
    <s v="i******a"/>
    <x v="4"/>
    <s v="807.00"/>
    <s v="0.00"/>
    <s v="0.00"/>
    <s v="0.00"/>
    <s v="807.00"/>
    <s v="0.00"/>
    <s v="0"/>
    <s v="0.00"/>
    <s v="S2605RSP3;5K8ENHGSS"/>
    <s v="100.00"/>
    <s v="0.00"/>
    <s v="100.00"/>
    <s v="77.00"/>
    <s v="37.00"/>
    <s v="23.00"/>
    <s v="0"/>
    <s v="2.50%"/>
    <s v=""/>
    <x v="13"/>
    <s v="27854297254"/>
    <s v=""/>
    <s v="251123821962"/>
    <s v="27854297254_251123821962"/>
    <n v="250"/>
    <n v="199"/>
    <x v="15"/>
    <s v="20221C611"/>
    <n v="1"/>
    <s v="0"/>
    <s v="N"/>
    <s v="-"/>
    <s v="649 雲林縣二崙鄉竹圍路5-2號"/>
    <s v="****"/>
    <s v="0928000888,55588257#1"/>
    <s v=""/>
    <s v="雲林縣"/>
    <s v="二崙鄉"/>
    <s v="649"/>
    <s v="莊佳蓉"/>
    <s v="賣家宅配：大型/超重物品運送"/>
    <s v=""/>
    <s v=""/>
    <s v="信用卡"/>
    <s v="2026-05-06 23:59"/>
    <s v="新竹物流8179177521"/>
    <s v="2026-05-05 00:40"/>
    <m/>
    <s v="周邊商品"/>
    <s v=""/>
    <m/>
    <s v="學習周邊"/>
    <s v="蝦皮"/>
  </r>
  <r>
    <s v="260505HSYJ1PD5"/>
    <x v="1"/>
    <s v=""/>
    <s v=""/>
    <s v="i******a"/>
    <x v="4"/>
    <s v="807.00"/>
    <s v="0.00"/>
    <s v="0.00"/>
    <s v="0.00"/>
    <s v="807.00"/>
    <s v="0.00"/>
    <s v="0"/>
    <s v="0.00"/>
    <s v="S2605RSP3;5K8ENHGSS"/>
    <s v="100.00"/>
    <s v="0.00"/>
    <s v="100.00"/>
    <s v="77.00"/>
    <s v="37.00"/>
    <s v="23.00"/>
    <s v="0"/>
    <s v="2.50%"/>
    <s v=""/>
    <x v="14"/>
    <s v="28157944827"/>
    <s v="單購"/>
    <s v="276894603061"/>
    <s v="28157944827_276894603061"/>
    <n v="399"/>
    <n v="299"/>
    <x v="16"/>
    <s v="20250FXAM"/>
    <n v="2"/>
    <s v="0"/>
    <s v="N"/>
    <s v="-"/>
    <s v="649 雲林縣二崙鄉竹圍路5-2號"/>
    <s v="****"/>
    <s v="0928000888,55588257#1"/>
    <s v=""/>
    <s v="雲林縣"/>
    <s v="二崙鄉"/>
    <s v="649"/>
    <s v="莊佳蓉"/>
    <s v="賣家宅配：大型/超重物品運送"/>
    <s v=""/>
    <s v=""/>
    <s v="信用卡"/>
    <s v="2026-05-06 23:59"/>
    <s v="新竹物流8179177521"/>
    <s v="2026-05-05 00:40"/>
    <m/>
    <s v="周邊商品"/>
    <s v=""/>
    <m/>
    <s v="學習周邊"/>
    <s v="蝦皮"/>
  </r>
  <r>
    <s v="260505HTEUBHSR"/>
    <x v="1"/>
    <s v=""/>
    <s v=""/>
    <s v="z******g"/>
    <x v="4"/>
    <s v="2054.00"/>
    <s v="0.00"/>
    <s v="0.00"/>
    <s v="0.00"/>
    <s v="2054.00"/>
    <s v="0.00"/>
    <s v="45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638 雲林縣麥寮鄉雲林縣麥寮鄉三盛村仁德西路一段139巷70弄10號"/>
    <s v="****"/>
    <s v="0928000888,71884440#1"/>
    <s v=""/>
    <s v="雲林縣"/>
    <s v="麥寮鄉"/>
    <s v="638"/>
    <s v="許頂傑"/>
    <s v="賣家宅配：大型/超重物品運送"/>
    <s v=""/>
    <s v=""/>
    <s v="信用卡"/>
    <s v="2026-05-06 23:59"/>
    <s v="新竹物流8179177882"/>
    <s v="2026-05-05 00:50"/>
    <m/>
    <s v="學習"/>
    <s v=""/>
    <m/>
    <s v="學習"/>
    <s v="蝦皮"/>
  </r>
  <r>
    <s v="260505HW2WKJGK"/>
    <x v="3"/>
    <s v="被買家取消，原因 : 修改訂單內容"/>
    <s v=""/>
    <s v="k******8"/>
    <x v="4"/>
    <s v="4199.00"/>
    <s v="0.00"/>
    <s v="0.00"/>
    <s v="0.00"/>
    <s v="0.00"/>
    <s v="0.00"/>
    <s v="0"/>
    <s v="0.00"/>
    <s v="BENE100;YEVQ75DKH"/>
    <s v="0.00"/>
    <s v="0.00"/>
    <s v="0.00"/>
    <s v="0.00"/>
    <s v="0.00"/>
    <s v="0.00"/>
    <s v="3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74******"/>
    <s v="****"/>
    <s v=""/>
    <s v=""/>
    <s v="臺南市"/>
    <s v="新市區"/>
    <s v="744"/>
    <s v="廖*綾"/>
    <s v="賣家宅配：大型/超重物品運送"/>
    <s v=""/>
    <s v=""/>
    <s v="信用卡分期付款"/>
    <s v="2026-05-06 23:59"/>
    <s v=""/>
    <s v="2026-05-05 01:36"/>
    <m/>
    <s v="學習"/>
    <s v=""/>
    <m/>
    <s v="學習"/>
    <s v="蝦皮"/>
  </r>
  <r>
    <s v="260505HXJQ951H"/>
    <x v="1"/>
    <s v=""/>
    <s v=""/>
    <s v="y******0"/>
    <x v="4"/>
    <s v="909.00"/>
    <s v="0.00"/>
    <s v="0.00"/>
    <s v="0.00"/>
    <s v="909.00"/>
    <s v="0.00"/>
    <s v="0"/>
    <s v="0.00"/>
    <s v="S2605RSP3;XBG8YQ6JR"/>
    <s v="100.00"/>
    <s v="0.00"/>
    <s v="200.00"/>
    <s v="94.00"/>
    <s v="43.00"/>
    <s v="28.00"/>
    <s v="0"/>
    <s v="2.50%"/>
    <s v=""/>
    <x v="23"/>
    <s v="24735289975"/>
    <s v=""/>
    <s v="251469945373"/>
    <s v="24735289975_251469945373"/>
    <n v="320"/>
    <n v="210"/>
    <x v="23"/>
    <s v="20191C710"/>
    <n v="1"/>
    <s v="0"/>
    <s v="N"/>
    <s v="-"/>
    <s v="600 嘉義市東區中山路154號"/>
    <s v="****"/>
    <s v="0928000888,36365636#1"/>
    <s v=""/>
    <s v="嘉義市"/>
    <s v="東區"/>
    <s v="600"/>
    <s v="蘇郁婷"/>
    <s v="賣家宅配：大型/超重物品運送"/>
    <s v=""/>
    <s v=""/>
    <s v="信用卡"/>
    <s v="2026-05-06 23:59"/>
    <s v="新竹物流8179177532"/>
    <s v="2026-05-05 02:03"/>
    <m/>
    <s v="周邊商品"/>
    <s v=""/>
    <m/>
    <s v="學習周邊"/>
    <s v="蝦皮"/>
  </r>
  <r>
    <s v="260505HXJQ951H"/>
    <x v="1"/>
    <s v=""/>
    <s v=""/>
    <s v="y******0"/>
    <x v="4"/>
    <s v="909.00"/>
    <s v="0.00"/>
    <s v="0.00"/>
    <s v="0.00"/>
    <s v="909.00"/>
    <s v="0.00"/>
    <s v="0"/>
    <s v="0.00"/>
    <s v="S2605RSP3;XBG8YQ6JR"/>
    <s v="100.00"/>
    <s v="0.00"/>
    <s v="200.00"/>
    <s v="94.00"/>
    <s v="43.00"/>
    <s v="28.00"/>
    <s v="0"/>
    <s v="2.50%"/>
    <s v=""/>
    <x v="8"/>
    <s v="26006309303"/>
    <s v="單購"/>
    <s v="166942493928"/>
    <s v="26006309303_166942493928"/>
    <n v="890"/>
    <n v="599"/>
    <x v="9"/>
    <s v="20221C6B6"/>
    <n v="1"/>
    <s v="0"/>
    <s v="N"/>
    <s v="-"/>
    <s v="600 嘉義市東區中山路154號"/>
    <s v="****"/>
    <s v="0928000888,36365636#1"/>
    <s v=""/>
    <s v="嘉義市"/>
    <s v="東區"/>
    <s v="600"/>
    <s v="蘇郁婷"/>
    <s v="賣家宅配：大型/超重物品運送"/>
    <s v=""/>
    <s v=""/>
    <s v="信用卡"/>
    <s v="2026-05-06 23:59"/>
    <s v="新竹物流8179177532"/>
    <s v="2026-05-05 02:03"/>
    <m/>
    <s v="周邊商品"/>
    <s v=""/>
    <m/>
    <s v="學習周邊"/>
    <s v="蝦皮"/>
  </r>
  <r>
    <s v="260505HXJQ951H"/>
    <x v="1"/>
    <s v=""/>
    <s v=""/>
    <s v="y******0"/>
    <x v="4"/>
    <s v="909.00"/>
    <s v="0.00"/>
    <s v="0.00"/>
    <s v="0.00"/>
    <s v="909.00"/>
    <s v="0.00"/>
    <s v="0"/>
    <s v="0.00"/>
    <s v="S2605RSP3;XBG8YQ6JR"/>
    <s v="100.00"/>
    <s v="0.00"/>
    <s v="200.00"/>
    <s v="94.00"/>
    <s v="43.00"/>
    <s v="28.00"/>
    <s v="0"/>
    <s v="2.50%"/>
    <s v=""/>
    <x v="24"/>
    <s v="26209479351"/>
    <s v=""/>
    <s v="197764287525"/>
    <s v="26209479351_197764287525"/>
    <n v="620"/>
    <n v="400"/>
    <x v="24"/>
    <s v="20245CXAB"/>
    <n v="1"/>
    <s v="0"/>
    <s v="N"/>
    <s v="-"/>
    <s v="600 嘉義市東區中山路154號"/>
    <s v="****"/>
    <s v="0928000888,36365636#1"/>
    <s v=""/>
    <s v="嘉義市"/>
    <s v="東區"/>
    <s v="600"/>
    <s v="蘇郁婷"/>
    <s v="賣家宅配：大型/超重物品運送"/>
    <s v=""/>
    <s v=""/>
    <s v="信用卡"/>
    <s v="2026-05-06 23:59"/>
    <s v="新竹物流8179177532"/>
    <s v="2026-05-05 02:03"/>
    <m/>
    <s v="周邊商品"/>
    <s v=""/>
    <m/>
    <s v="學習周邊"/>
    <s v="蝦皮"/>
  </r>
  <r>
    <s v="260505HXSKKR1M"/>
    <x v="1"/>
    <s v=""/>
    <s v=""/>
    <s v="m******n"/>
    <x v="4"/>
    <s v="1748.00"/>
    <s v="0.00"/>
    <s v="0.00"/>
    <s v="0.00"/>
    <s v="1748.00"/>
    <s v="0.00"/>
    <s v="151"/>
    <s v="0.00"/>
    <s v="S2605RSP3;XBG8YQ6JR"/>
    <s v="100.00"/>
    <s v="0.00"/>
    <s v="200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300 新竹市東區龍山東路79號24樓"/>
    <s v="****"/>
    <s v="0928000888,29082750#1"/>
    <s v=""/>
    <s v="新竹市"/>
    <s v="東區"/>
    <s v="300"/>
    <s v="曾裕騰"/>
    <s v="賣家宅配：大型/超重物品運送"/>
    <s v=""/>
    <s v=""/>
    <s v="信用卡"/>
    <s v="2026-05-06 23:59"/>
    <s v="新竹物流8179177543"/>
    <s v="2026-05-05 02:07"/>
    <m/>
    <s v="學習"/>
    <s v=""/>
    <m/>
    <s v="學習"/>
    <s v="蝦皮"/>
  </r>
  <r>
    <s v="260505HXY34TVF"/>
    <x v="1"/>
    <s v=""/>
    <s v=""/>
    <s v="y******2"/>
    <x v="4"/>
    <s v="2299.00"/>
    <s v="0.00"/>
    <s v="0.00"/>
    <s v="0.00"/>
    <s v="2299.00"/>
    <s v="0.00"/>
    <s v="0"/>
    <s v="0.00"/>
    <s v="YEVQ75DKH;S2605RSP3"/>
    <s v="100.00"/>
    <s v="0.00"/>
    <s v="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38 新北市樹林區學勤路593號12樓"/>
    <s v="****"/>
    <s v="0928000888,37534978#1"/>
    <s v=""/>
    <s v="新北市"/>
    <s v="樹林區"/>
    <s v="238"/>
    <s v="鄭雅方"/>
    <s v="賣家宅配：大型/超重物品運送"/>
    <s v=""/>
    <s v=""/>
    <s v="信用卡"/>
    <s v="2026-05-06 23:59"/>
    <s v="新竹物流8179177790"/>
    <s v="2026-05-05 02:10"/>
    <m/>
    <s v="學習"/>
    <s v=""/>
    <m/>
    <s v="學習"/>
    <s v="蝦皮"/>
  </r>
  <r>
    <s v="260505HYFS3Q9H"/>
    <x v="3"/>
    <s v="系統自動判定訂單不成立，原因 : 未收到款項"/>
    <s v=""/>
    <s v="j******2"/>
    <x v="4"/>
    <s v="4417.00"/>
    <s v="0.00"/>
    <s v="0.00"/>
    <s v="0.00"/>
    <s v="0.00"/>
    <s v="0.00"/>
    <s v="0"/>
    <s v="0.00"/>
    <s v="V7UTYZV26;ZSTX3RGTB"/>
    <s v="0.00"/>
    <s v="0.00"/>
    <s v="0.00"/>
    <s v="0.00"/>
    <s v="0.00"/>
    <s v="0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30******"/>
    <s v="****"/>
    <s v=""/>
    <s v=""/>
    <s v="新竹縣"/>
    <s v="寶山鄉"/>
    <s v="308"/>
    <s v="陳*詩"/>
    <s v="賣家宅配：大型/超重物品運送"/>
    <s v=""/>
    <s v=""/>
    <s v="信用卡"/>
    <s v=""/>
    <s v=""/>
    <s v="-"/>
    <m/>
    <s v="學習"/>
    <s v=""/>
    <m/>
    <s v="學習"/>
    <s v="蝦皮"/>
  </r>
  <r>
    <s v="260505J0PKRFB9"/>
    <x v="1"/>
    <s v=""/>
    <s v=""/>
    <s v="q******5"/>
    <x v="4"/>
    <s v="1575.00"/>
    <s v="0.00"/>
    <s v="0.00"/>
    <s v="0.00"/>
    <s v="1575.00"/>
    <s v="0.00"/>
    <s v="524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00 新竹市東區東竹路38號8樓"/>
    <s v="****"/>
    <s v="0928000888,03636739#1"/>
    <s v=""/>
    <s v="新竹市"/>
    <s v="東區"/>
    <s v="300"/>
    <s v="呂亞欣"/>
    <s v="賣家宅配：大型/超重物品運送"/>
    <s v=""/>
    <s v=""/>
    <s v="信用卡"/>
    <s v="2026-05-06 23:59"/>
    <s v="新竹物流8179177786"/>
    <s v="2026-05-05 02:41"/>
    <m/>
    <s v="學習"/>
    <s v=""/>
    <m/>
    <s v="學習"/>
    <s v="蝦皮"/>
  </r>
  <r>
    <s v="260505J9V0R4K7"/>
    <x v="1"/>
    <s v=""/>
    <s v=""/>
    <s v="s******8"/>
    <x v="4"/>
    <s v="675.00"/>
    <s v="0.00"/>
    <s v="0.00"/>
    <s v="0.00"/>
    <s v="675.00"/>
    <s v="0.00"/>
    <s v="224"/>
    <s v="0.00"/>
    <s v="S2605RSP3;XBG8YQ6JR"/>
    <s v="100.00"/>
    <s v="0.00"/>
    <s v="200.00"/>
    <s v="93.00"/>
    <s v="43.00"/>
    <s v="27.00"/>
    <s v="0"/>
    <s v="2.50%"/>
    <s v=""/>
    <x v="6"/>
    <s v="44908808383"/>
    <s v=""/>
    <s v="277535675661"/>
    <s v="44908808383_277535675661"/>
    <n v="1199"/>
    <n v="1199"/>
    <x v="6"/>
    <s v="20260H001"/>
    <n v="1"/>
    <s v="0"/>
    <s v="N"/>
    <s v="-"/>
    <s v="406 臺中市北屯區敦富路201號A5-3樓"/>
    <s v="****"/>
    <s v="0928000888,32225674#1"/>
    <s v=""/>
    <s v="臺中市"/>
    <s v="北屯區"/>
    <s v="406"/>
    <s v="林心韻"/>
    <s v="賣家宅配：大型/超重物品運送"/>
    <s v=""/>
    <s v=""/>
    <s v="信用卡"/>
    <s v="2026-05-06 23:59"/>
    <s v="新竹物流8179177554"/>
    <s v="2026-05-05 05:25"/>
    <m/>
    <s v="周邊商品"/>
    <s v=""/>
    <m/>
    <s v="生活周邊"/>
    <s v="蝦皮"/>
  </r>
  <r>
    <s v="260505JAN4P3TG"/>
    <x v="1"/>
    <s v=""/>
    <s v=""/>
    <s v="h****6"/>
    <x v="4"/>
    <s v="675.00"/>
    <s v="0.00"/>
    <s v="0.00"/>
    <s v="0.00"/>
    <s v="675.00"/>
    <s v="0.00"/>
    <s v="224"/>
    <s v="0.00"/>
    <s v="S2605RSP3;XBG8YQ6JR"/>
    <s v="100.00"/>
    <s v="0.00"/>
    <s v="200.00"/>
    <s v="93.00"/>
    <s v="43.00"/>
    <s v="27.00"/>
    <s v="0"/>
    <s v="2.50%"/>
    <s v=""/>
    <x v="6"/>
    <s v="44908808383"/>
    <s v=""/>
    <s v="277535675661"/>
    <s v="44908808383_277535675661"/>
    <n v="1199"/>
    <n v="1199"/>
    <x v="6"/>
    <s v="20260H001"/>
    <n v="1"/>
    <s v="0"/>
    <s v="N"/>
    <s v="-"/>
    <s v="701 臺南市東區崇明13街11巷15號2樓"/>
    <s v="****"/>
    <s v="0928000888,68947671#1"/>
    <s v=""/>
    <s v="臺南市"/>
    <s v="東區"/>
    <s v="701"/>
    <s v="鄭婷勻"/>
    <s v="賣家宅配：大型/超重物品運送"/>
    <s v=""/>
    <s v=""/>
    <s v="信用卡"/>
    <s v="2026-05-06 23:59"/>
    <s v="新竹物流8179178965"/>
    <s v="2026-05-05 05:39"/>
    <m/>
    <s v="周邊商品"/>
    <s v=""/>
    <m/>
    <s v="生活周邊"/>
    <s v="蝦皮"/>
  </r>
  <r>
    <s v="260505JFDPGQ5Q"/>
    <x v="1"/>
    <s v=""/>
    <s v=""/>
    <s v="z******5"/>
    <x v="4"/>
    <s v="2779.00"/>
    <s v="0.00"/>
    <s v="0.00"/>
    <s v="0.00"/>
    <s v="2779.00"/>
    <s v="0.00"/>
    <s v="0"/>
    <s v="0.00"/>
    <s v="SVC-1409016320524312;XBG8YQ6JR"/>
    <s v="20.00"/>
    <s v="0.00"/>
    <s v="200.00"/>
    <s v="253.00"/>
    <s v="99.00"/>
    <s v="74.00"/>
    <s v="3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302 新竹縣竹北市勝利七街二段142號9樓"/>
    <s v="****"/>
    <s v="0928000888,21008982#1"/>
    <s v=""/>
    <s v="新竹縣"/>
    <s v="竹北市"/>
    <s v="302"/>
    <s v="黃柔盈"/>
    <s v="賣家宅配：大型/超重物品運送"/>
    <s v=""/>
    <s v=""/>
    <s v="信用卡分期付款"/>
    <s v="2026-05-06 23:59"/>
    <s v="新竹物流8179177646"/>
    <s v="2026-05-05 07:04"/>
    <m/>
    <s v="學習"/>
    <s v=""/>
    <m/>
    <s v="學習"/>
    <s v="蝦皮"/>
  </r>
  <r>
    <s v="260505JFYD1UVK"/>
    <x v="3"/>
    <s v="被買家取消，原因 : 修改訂單內容"/>
    <s v=""/>
    <s v="b******8"/>
    <x v="4"/>
    <s v="2688.00"/>
    <s v="0.00"/>
    <s v="0.00"/>
    <s v="0.00"/>
    <s v="0.00"/>
    <s v="0.00"/>
    <s v="211"/>
    <s v="0.00"/>
    <s v="S2605RSP3;YEVQ75DKH"/>
    <s v="0.00"/>
    <s v="0.00"/>
    <s v="0.00"/>
    <s v="0.00"/>
    <s v="0.00"/>
    <s v="0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3******"/>
    <s v="****"/>
    <s v=""/>
    <s v=""/>
    <s v="新北市"/>
    <s v="鶯歌區"/>
    <s v="239"/>
    <s v="賴*妏"/>
    <s v="賣家宅配：大型/超重物品運送"/>
    <s v=""/>
    <s v=""/>
    <s v="信用卡"/>
    <s v="2026-05-06 23:59"/>
    <s v=""/>
    <s v="2026-05-05 07:14"/>
    <m/>
    <s v="學習"/>
    <s v=""/>
    <m/>
    <s v="學習"/>
    <s v="蝦皮"/>
  </r>
  <r>
    <s v="260505JG59SDR8"/>
    <x v="3"/>
    <s v="被買家取消，原因 : 修改訂單內容"/>
    <s v=""/>
    <s v="b******8"/>
    <x v="4"/>
    <s v="2688.00"/>
    <s v="0.00"/>
    <s v="0.00"/>
    <s v="0.00"/>
    <s v="0.00"/>
    <s v="0.00"/>
    <s v="211"/>
    <s v="0.00"/>
    <s v="S2605RSP3;YEVQ75DKH"/>
    <s v="0.00"/>
    <s v="0.00"/>
    <s v="0.00"/>
    <s v="0.00"/>
    <s v="0.00"/>
    <s v="0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3******"/>
    <s v="****"/>
    <s v=""/>
    <s v=""/>
    <s v="新北市"/>
    <s v="鶯歌區"/>
    <s v="239"/>
    <s v="賴*妏"/>
    <s v="賣家宅配：大型/超重物品運送"/>
    <s v=""/>
    <s v=""/>
    <s v="信用卡"/>
    <s v="2026-05-06 23:59"/>
    <s v=""/>
    <s v="2026-05-05 07:17"/>
    <m/>
    <s v="學習"/>
    <s v=""/>
    <m/>
    <s v="學習"/>
    <s v="蝦皮"/>
  </r>
  <r>
    <s v="260505JGUFATSA"/>
    <x v="1"/>
    <s v=""/>
    <s v=""/>
    <s v="t******9"/>
    <x v="4"/>
    <s v="2378.00"/>
    <s v="0.00"/>
    <s v="0.00"/>
    <s v="0.00"/>
    <s v="2378.00"/>
    <s v="0.00"/>
    <s v="0"/>
    <s v="0.00"/>
    <s v="SVC-1409016320524312;XBG8YQ6JR"/>
    <s v="20.00"/>
    <s v="0.00"/>
    <s v="200.00"/>
    <s v="219.00"/>
    <s v="87.00"/>
    <s v="64.00"/>
    <s v="0"/>
    <s v="2.50%"/>
    <s v=""/>
    <x v="1"/>
    <s v="55104898742"/>
    <s v="(加購)巧虎手偶 $199"/>
    <s v="430504001726"/>
    <s v="55104898742_430504001726"/>
    <n v="3299"/>
    <n v="2598"/>
    <x v="7"/>
    <s v="20250FXBH"/>
    <n v="1"/>
    <s v="0"/>
    <s v="N"/>
    <s v="-"/>
    <s v="802 高雄市苓雅區中正一路228號8F-1"/>
    <s v="****"/>
    <s v="0928000888,72785415#1"/>
    <s v=""/>
    <s v="高雄市"/>
    <s v="苓雅區"/>
    <s v="802"/>
    <s v="張允馨"/>
    <s v="賣家宅配：大型/超重物品運送"/>
    <s v=""/>
    <s v=""/>
    <s v="信用卡"/>
    <s v="2026-05-06 23:59"/>
    <s v="新竹物流8179179326"/>
    <s v="2026-05-05 07:30"/>
    <m/>
    <s v="學習"/>
    <s v=""/>
    <m/>
    <s v="學習"/>
    <s v="蝦皮"/>
  </r>
  <r>
    <s v="260505JHEMKTAG"/>
    <x v="1"/>
    <s v=""/>
    <s v=""/>
    <s v="w******9"/>
    <x v="4"/>
    <s v="2299.00"/>
    <s v="0.00"/>
    <s v="0.00"/>
    <s v="0.00"/>
    <s v="2299.00"/>
    <s v="0.00"/>
    <s v="0"/>
    <s v="0.00"/>
    <s v="S2605RSP3;UW39KMHQU"/>
    <s v="100.00"/>
    <s v="0.00"/>
    <s v="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37 桃園市大園區水源路865巷6號"/>
    <s v="****"/>
    <s v="0928000888,80755291#1"/>
    <s v=""/>
    <s v="桃園市"/>
    <s v="大園區"/>
    <s v="337"/>
    <s v="孫勝秋"/>
    <s v="賣家宅配：大型/超重物品運送"/>
    <s v=""/>
    <s v=""/>
    <s v="信用卡"/>
    <s v="2026-05-06 23:59"/>
    <s v="新竹物流8179177871"/>
    <s v="2026-05-05 07:42"/>
    <m/>
    <s v="學習"/>
    <s v=""/>
    <m/>
    <s v="學習"/>
    <s v="蝦皮"/>
  </r>
  <r>
    <s v="260505JHF6QNAG"/>
    <x v="1"/>
    <s v=""/>
    <s v=""/>
    <s v="t******5"/>
    <x v="4"/>
    <s v="2099.00"/>
    <s v="0.00"/>
    <s v="0.00"/>
    <s v="0.00"/>
    <s v="2099.00"/>
    <s v="0.00"/>
    <s v="0"/>
    <s v="0.00"/>
    <s v="S2605RSP3;XBG8YQ6JR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21 新北市汐止區新台五路一段179號18樓之一"/>
    <s v="****"/>
    <s v="0928000888,11508611#1"/>
    <s v=""/>
    <s v="新北市"/>
    <s v="汐止區"/>
    <s v="221"/>
    <s v="林婷婷"/>
    <s v="賣家宅配：大型/超重物品運送"/>
    <s v=""/>
    <s v=""/>
    <s v="信用卡"/>
    <s v="2026-05-06 23:59"/>
    <s v="新竹物流8179177764"/>
    <s v="2026-05-05 07:41"/>
    <m/>
    <s v="學習"/>
    <s v=""/>
    <m/>
    <s v="學習"/>
    <s v="蝦皮"/>
  </r>
  <r>
    <s v="260505JJY38KGA"/>
    <x v="1"/>
    <s v=""/>
    <s v=""/>
    <s v="c******u"/>
    <x v="4"/>
    <s v="1899.00"/>
    <s v="0.00"/>
    <s v="0.00"/>
    <s v="0.00"/>
    <s v="1899.00"/>
    <s v="0.00"/>
    <s v="0"/>
    <s v="0.00"/>
    <s v="S2605RSP3;XBG8YQ6JR"/>
    <s v="100.00"/>
    <s v="0.00"/>
    <s v="200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801 高雄市前金區市中一路33號15樓"/>
    <s v="****"/>
    <s v="0928000888,51127663#1"/>
    <s v=""/>
    <s v="高雄市"/>
    <s v="前金區"/>
    <s v="801"/>
    <s v="蘇家慧"/>
    <s v="賣家宅配：大型/超重物品運送"/>
    <s v=""/>
    <s v=""/>
    <s v="信用卡"/>
    <s v="2026-05-06 23:59"/>
    <s v="新竹物流8179178906"/>
    <s v="2026-05-05 08:08"/>
    <m/>
    <s v="學習"/>
    <s v=""/>
    <m/>
    <s v="學習"/>
    <s v="蝦皮"/>
  </r>
  <r>
    <s v="260505JKRB20AD"/>
    <x v="1"/>
    <s v=""/>
    <s v=""/>
    <s v="j*****e"/>
    <x v="4"/>
    <s v="2098.00"/>
    <s v="0.00"/>
    <s v="0.00"/>
    <s v="0.00"/>
    <s v="2098.00"/>
    <s v="0.00"/>
    <s v="0"/>
    <s v="0.00"/>
    <s v="S2605RSP3;XBG8YQ6JR"/>
    <s v="100.00"/>
    <s v="0.00"/>
    <s v="200.00"/>
    <s v="195.00"/>
    <s v="79.00"/>
    <s v="57.00"/>
    <s v="3"/>
    <s v="2.50%"/>
    <s v=""/>
    <x v="0"/>
    <s v="43300564167"/>
    <s v="(加購)巧虎手偶"/>
    <s v="208744991582"/>
    <s v="43300564167_208744991582"/>
    <n v="3199"/>
    <n v="2398"/>
    <x v="25"/>
    <s v="20250FXAN"/>
    <n v="1"/>
    <s v="0"/>
    <s v="N"/>
    <s v="-"/>
    <s v="428 臺中市大雅區中清北街70號5樓之7"/>
    <s v="****"/>
    <s v="0928000888,05654949#1"/>
    <s v=""/>
    <s v="臺中市"/>
    <s v="大雅區"/>
    <s v="428"/>
    <s v="蔣嘉珍"/>
    <s v="賣家宅配：大型/超重物品運送"/>
    <s v=""/>
    <s v=""/>
    <s v="信用卡分期付款"/>
    <s v="2026-05-06 23:59"/>
    <s v="新竹物流8179179256"/>
    <s v="2026-05-05 08:22"/>
    <m/>
    <s v="學習"/>
    <s v=""/>
    <m/>
    <s v="學習"/>
    <s v="蝦皮"/>
  </r>
  <r>
    <s v="260505JMCQBG0C"/>
    <x v="1"/>
    <s v=""/>
    <s v=""/>
    <s v="z******g"/>
    <x v="4"/>
    <s v="2298.00"/>
    <s v="0.00"/>
    <s v="0.00"/>
    <s v="0.00"/>
    <s v="2298.00"/>
    <s v="0.00"/>
    <s v="0"/>
    <s v="0.00"/>
    <s v="XBG8YQ6JR;S2605RSP3"/>
    <s v="100.00"/>
    <s v="0.00"/>
    <s v="200.00"/>
    <s v="212.00"/>
    <s v="85.00"/>
    <s v="62.00"/>
    <s v="0"/>
    <s v="2.50%"/>
    <s v=""/>
    <x v="1"/>
    <s v="55104898742"/>
    <s v="(加購)巧虎手偶 $199"/>
    <s v="430504001726"/>
    <s v="55104898742_430504001726"/>
    <n v="3299"/>
    <n v="2598"/>
    <x v="7"/>
    <s v="20250FXBH"/>
    <n v="1"/>
    <s v="0"/>
    <s v="N"/>
    <s v="-"/>
    <s v="420 臺中市豐原區鎌村路271巷129-16號"/>
    <s v="****"/>
    <s v="0928000888,58215094#1"/>
    <s v=""/>
    <s v="臺中市"/>
    <s v="豐原區"/>
    <s v="420"/>
    <s v="王子宸"/>
    <s v="賣家宅配：大型/超重物品運送"/>
    <s v=""/>
    <s v=""/>
    <s v="信用卡"/>
    <s v="2026-05-06 23:59"/>
    <s v="新竹物流8179179341"/>
    <s v="2026-05-05 08:34"/>
    <m/>
    <s v="學習"/>
    <s v=""/>
    <m/>
    <s v="學習"/>
    <s v="蝦皮"/>
  </r>
  <r>
    <s v="260505JNRWMRQU"/>
    <x v="1"/>
    <s v=""/>
    <s v=""/>
    <s v="k******2"/>
    <x v="4"/>
    <s v="299.00"/>
    <s v="100.00"/>
    <s v="0.00"/>
    <s v="0.00"/>
    <s v="399.00"/>
    <s v="0.00"/>
    <s v="0"/>
    <s v="0.00"/>
    <s v=""/>
    <s v="0.00"/>
    <s v="0.00"/>
    <s v="0.00"/>
    <s v="25.00"/>
    <s v="19.00"/>
    <s v="10.00"/>
    <s v="0"/>
    <s v="2.50%"/>
    <s v=""/>
    <x v="14"/>
    <s v="28157944827"/>
    <s v="單購"/>
    <s v="276894603061"/>
    <s v="28157944827_276894603061"/>
    <n v="399"/>
    <n v="299"/>
    <x v="16"/>
    <s v="20250FXAM"/>
    <n v="1"/>
    <s v="0"/>
    <s v="N"/>
    <s v="-"/>
    <s v="235 新北市中和區景新街335-2號13樓"/>
    <s v="****"/>
    <s v="0928000888,31566131#1"/>
    <s v=""/>
    <s v="新北市"/>
    <s v="中和區"/>
    <s v="235"/>
    <s v="郭宜甄"/>
    <s v="賣家宅配：大型/超重物品運送"/>
    <s v=""/>
    <s v=""/>
    <s v="信用卡"/>
    <s v="2026-05-06 23:59"/>
    <s v="新竹物流8179178232"/>
    <s v="2026-05-05 08:58"/>
    <m/>
    <s v="周邊商品"/>
    <s v=""/>
    <m/>
    <s v="學習周邊"/>
    <s v="蝦皮"/>
  </r>
  <r>
    <s v="260505JPN4Q469"/>
    <x v="1"/>
    <s v=""/>
    <s v=""/>
    <s v="m******2"/>
    <x v="4"/>
    <s v="2099.00"/>
    <s v="0.00"/>
    <s v="0.00"/>
    <s v="0.00"/>
    <s v="2099.00"/>
    <s v="0.00"/>
    <s v="0"/>
    <s v="0.00"/>
    <s v="XBG8YQ6JR;S2605RSP3"/>
    <s v="100.00"/>
    <s v="0.00"/>
    <s v="20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00 新竹市北區光華二街80巷22弄19號"/>
    <s v="****"/>
    <s v="0928000888,97794097#1"/>
    <s v=""/>
    <s v="新竹市"/>
    <s v="北區"/>
    <s v="300"/>
    <s v="彭柏錚"/>
    <s v="賣家宅配：大型/超重物品運送"/>
    <s v=""/>
    <s v=""/>
    <s v="信用卡"/>
    <s v="2026-05-06 23:59"/>
    <s v="新竹物流8179177860"/>
    <s v="2026-05-05 09:14"/>
    <m/>
    <s v="學習"/>
    <s v=""/>
    <m/>
    <s v="學習"/>
    <s v="蝦皮"/>
  </r>
  <r>
    <s v="260505JQNR1FC2"/>
    <x v="1"/>
    <s v=""/>
    <s v=""/>
    <s v="k******6"/>
    <x v="4"/>
    <s v="675.00"/>
    <s v="0.00"/>
    <s v="0.00"/>
    <s v="0.00"/>
    <s v="675.00"/>
    <s v="0.00"/>
    <s v="224"/>
    <s v="0.00"/>
    <s v="S2605RSP3;XBG8YQ6JR"/>
    <s v="100.00"/>
    <s v="0.00"/>
    <s v="200.00"/>
    <s v="93.00"/>
    <s v="43.00"/>
    <s v="27.00"/>
    <s v="0"/>
    <s v="2.50%"/>
    <s v=""/>
    <x v="6"/>
    <s v="44908808383"/>
    <s v=""/>
    <s v="277535675661"/>
    <s v="44908808383_277535675661"/>
    <n v="1199"/>
    <n v="1199"/>
    <x v="6"/>
    <s v="20260H001"/>
    <n v="1"/>
    <s v="0"/>
    <s v="N"/>
    <s v="-"/>
    <s v="106 臺北市大安區基隆路二段134號10樓"/>
    <s v="****"/>
    <s v="0928000888,96881418#1"/>
    <s v=""/>
    <s v="臺北市"/>
    <s v="大安區"/>
    <s v="106"/>
    <s v="何詩婷"/>
    <s v="賣家宅配：大型/超重物品運送"/>
    <s v=""/>
    <s v=""/>
    <s v="信用卡"/>
    <s v="2026-05-06 23:59"/>
    <s v="新竹物流8179178932"/>
    <s v="2026-05-05 09:32"/>
    <m/>
    <s v="周邊商品"/>
    <s v=""/>
    <m/>
    <s v="生活周邊"/>
    <s v="蝦皮"/>
  </r>
  <r>
    <s v="260505JRPUN0VN"/>
    <x v="1"/>
    <s v=""/>
    <s v=""/>
    <s v="a******2"/>
    <x v="4"/>
    <s v="2699.00"/>
    <s v="0.00"/>
    <s v="0.00"/>
    <s v="0.00"/>
    <s v="2699.00"/>
    <s v="0.00"/>
    <s v="0"/>
    <s v="0.00"/>
    <s v="S2605RSP3;XBG8YQ6JR"/>
    <s v="100.00"/>
    <s v="0.00"/>
    <s v="200.00"/>
    <s v="246.00"/>
    <s v="97.00"/>
    <s v="7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330 桃園市桃園區博愛路155號6樓"/>
    <s v="****"/>
    <s v="0928000888,78007191#1"/>
    <s v=""/>
    <s v="桃園市"/>
    <s v="桃園區"/>
    <s v="330"/>
    <s v="宋玉安"/>
    <s v="賣家宅配：大型/超重物品運送"/>
    <s v=""/>
    <s v=""/>
    <s v="信用卡"/>
    <s v="2026-05-06 23:59"/>
    <s v="新竹物流8179177635"/>
    <s v="2026-05-05 09:51"/>
    <m/>
    <s v="學習"/>
    <s v=""/>
    <m/>
    <s v="學習"/>
    <s v="蝦皮"/>
  </r>
  <r>
    <s v="260505JS7W3CBY"/>
    <x v="1"/>
    <s v=""/>
    <s v=""/>
    <s v="f******d"/>
    <x v="4"/>
    <s v="887.00"/>
    <s v="0.00"/>
    <s v="0.00"/>
    <s v="0.00"/>
    <s v="887.00"/>
    <s v="0.00"/>
    <s v="11"/>
    <s v="0.00"/>
    <s v="S2605RSP3;XBG8YQ6JR"/>
    <s v="100.00"/>
    <s v="0.00"/>
    <s v="200.00"/>
    <s v="93.00"/>
    <s v="43.00"/>
    <s v="27.00"/>
    <s v="0"/>
    <s v="2.50%"/>
    <s v=""/>
    <x v="3"/>
    <s v="29672846571"/>
    <s v="(加購)巧虎手偶 $199"/>
    <s v="355543703692"/>
    <s v="29672846571_355543703692"/>
    <n v="1599"/>
    <n v="1198"/>
    <x v="3"/>
    <s v="20250FXBN"/>
    <n v="1"/>
    <s v="0"/>
    <s v="N"/>
    <s v="-"/>
    <s v="330 桃園市桃園區幸福路230號5樓"/>
    <s v="****"/>
    <s v="0928000888,00432829#1"/>
    <s v=""/>
    <s v="桃園市"/>
    <s v="桃園區"/>
    <s v="330"/>
    <s v="吳雅雯"/>
    <s v="賣家宅配：大型/超重物品運送"/>
    <s v=""/>
    <s v=""/>
    <s v="信用卡"/>
    <s v="2026-05-06 23:59"/>
    <s v="新竹物流8179178291"/>
    <s v="2026-05-05 10:00"/>
    <m/>
    <s v="周邊商品"/>
    <s v=""/>
    <m/>
    <s v="學習周邊"/>
    <s v="蝦皮"/>
  </r>
  <r>
    <s v="260505JSUGNBC5"/>
    <x v="1"/>
    <s v=""/>
    <s v=""/>
    <s v="o******f"/>
    <x v="4"/>
    <s v="2790.00"/>
    <s v="0.00"/>
    <s v="0.00"/>
    <s v="0.00"/>
    <s v="2790.00"/>
    <s v="0.00"/>
    <s v="0"/>
    <s v="0.00"/>
    <s v="S2605RSP3;BW8K7CC35"/>
    <s v="100.00"/>
    <s v="0.00"/>
    <s v="310.00"/>
    <s v="264.00"/>
    <s v="103.00"/>
    <s v="78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334 桃園市八德區新興路113號"/>
    <s v="****"/>
    <s v="0928000888,69994314#1"/>
    <s v=""/>
    <s v="桃園市"/>
    <s v="八德區"/>
    <s v="334"/>
    <s v="莊雯媚"/>
    <s v="賣家宅配：大型/超重物品運送"/>
    <s v=""/>
    <s v=""/>
    <s v="信用卡"/>
    <s v="2026-05-06 23:59"/>
    <s v="新竹物流8179179422"/>
    <s v="2026-05-05 10:11"/>
    <m/>
    <s v="學習"/>
    <s v=""/>
    <m/>
    <s v="學習"/>
    <s v="蝦皮"/>
  </r>
  <r>
    <s v="260505JV7GGA8E"/>
    <x v="1"/>
    <s v=""/>
    <s v=""/>
    <s v="t******n"/>
    <x v="4"/>
    <s v="2769.00"/>
    <s v="0.00"/>
    <s v="0.00"/>
    <s v="0.00"/>
    <s v="2769.00"/>
    <s v="0.00"/>
    <s v="0"/>
    <s v="0.00"/>
    <s v="SVC-1409016320524312;BW8K7CC35"/>
    <s v="20.00"/>
    <s v="0.00"/>
    <s v="308.00"/>
    <s v="262.00"/>
    <s v="102.00"/>
    <s v="77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330 桃園市桃園區經國路741-8號4樓"/>
    <s v="****"/>
    <s v="0928000888,89734558#1"/>
    <s v=""/>
    <s v="桃園市"/>
    <s v="桃園區"/>
    <s v="330"/>
    <s v="林建均"/>
    <s v="賣家宅配：大型/超重物品運送"/>
    <s v=""/>
    <s v=""/>
    <s v="信用卡"/>
    <s v="2026-05-06 23:59"/>
    <s v="新竹物流8179179304"/>
    <s v="2026-05-05 10:55"/>
    <m/>
    <s v="周邊商品"/>
    <s v=""/>
    <m/>
    <s v="學習周邊"/>
    <s v="蝦皮"/>
  </r>
  <r>
    <s v="260505JV7GGA8E"/>
    <x v="1"/>
    <s v=""/>
    <s v=""/>
    <s v="t******n"/>
    <x v="4"/>
    <s v="2769.00"/>
    <s v="0.00"/>
    <s v="0.00"/>
    <s v="0.00"/>
    <s v="2769.00"/>
    <s v="0.00"/>
    <s v="0"/>
    <s v="0.00"/>
    <s v="SVC-1409016320524312;BW8K7CC35"/>
    <s v="20.00"/>
    <s v="0.00"/>
    <s v="308.00"/>
    <s v="262.00"/>
    <s v="102.00"/>
    <s v="77.00"/>
    <s v="0"/>
    <s v="2.50%"/>
    <s v=""/>
    <x v="0"/>
    <s v="43300564167"/>
    <s v="(加購)巧虎手偶"/>
    <s v="208744991582"/>
    <s v="43300564167_208744991582"/>
    <n v="3199"/>
    <n v="2398"/>
    <x v="25"/>
    <s v="20250FXAN"/>
    <n v="1"/>
    <s v="0"/>
    <s v="N"/>
    <s v="-"/>
    <s v="330 桃園市桃園區經國路741-8號4樓"/>
    <s v="****"/>
    <s v="0928000888,89734558#1"/>
    <s v=""/>
    <s v="桃園市"/>
    <s v="桃園區"/>
    <s v="330"/>
    <s v="林建均"/>
    <s v="賣家宅配：大型/超重物品運送"/>
    <s v=""/>
    <s v=""/>
    <s v="信用卡"/>
    <s v="2026-05-06 23:59"/>
    <s v="新竹物流8179179304"/>
    <s v="2026-05-05 10:55"/>
    <m/>
    <s v="學習"/>
    <s v=""/>
    <m/>
    <s v="學習"/>
    <s v="蝦皮"/>
  </r>
  <r>
    <s v="260505JWNGYEBP"/>
    <x v="1"/>
    <s v=""/>
    <s v=""/>
    <s v="v******3"/>
    <x v="4"/>
    <s v="7589.00"/>
    <s v="0.00"/>
    <s v="0.00"/>
    <s v="0.00"/>
    <s v="7589.00"/>
    <s v="0.00"/>
    <s v="60"/>
    <s v="0.00"/>
    <s v="S2605RSP3;BW8K7CC35"/>
    <s v="100.00"/>
    <s v="0.00"/>
    <s v="850.00"/>
    <s v="722.00"/>
    <s v="265.00"/>
    <s v="212.00"/>
    <s v="0"/>
    <s v="2.50%"/>
    <s v=""/>
    <x v="21"/>
    <s v="28215382311"/>
    <s v="(單購)"/>
    <s v="440877363278"/>
    <s v="28215382311_440877363278"/>
    <n v="4000"/>
    <n v="3200"/>
    <x v="21"/>
    <s v="20240FM00"/>
    <n v="1"/>
    <s v="0"/>
    <s v="N"/>
    <s v="-"/>
    <s v="403 臺中市西區模範街34巷3號7樓之二"/>
    <s v="****"/>
    <s v="0928000888,14067555#1"/>
    <s v=""/>
    <s v="臺中市"/>
    <s v="西區"/>
    <s v="403"/>
    <s v="陳人瑜"/>
    <s v="賣家宅配：大型/超重物品運送"/>
    <s v=""/>
    <s v=""/>
    <s v="信用卡"/>
    <s v="2026-05-06 23:59"/>
    <s v="新竹物流8179178313"/>
    <s v="2026-05-05 11:19"/>
    <m/>
    <s v="學習"/>
    <s v=""/>
    <m/>
    <s v="學習"/>
    <s v="蝦皮"/>
  </r>
  <r>
    <s v="260505JWNGYEBP"/>
    <x v="1"/>
    <s v=""/>
    <s v=""/>
    <s v="v******3"/>
    <x v="4"/>
    <s v="7589.00"/>
    <s v="0.00"/>
    <s v="0.00"/>
    <s v="0.00"/>
    <s v="7589.00"/>
    <s v="0.00"/>
    <s v="60"/>
    <s v="0.00"/>
    <s v="S2605RSP3;BW8K7CC35"/>
    <s v="100.00"/>
    <s v="0.00"/>
    <s v="850.00"/>
    <s v="722.00"/>
    <s v="265.00"/>
    <s v="21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403 臺中市西區模範街34巷3號7樓之二"/>
    <s v="****"/>
    <s v="0928000888,14067555#1"/>
    <s v=""/>
    <s v="臺中市"/>
    <s v="西區"/>
    <s v="403"/>
    <s v="陳人瑜"/>
    <s v="賣家宅配：大型/超重物品運送"/>
    <s v=""/>
    <s v=""/>
    <s v="信用卡"/>
    <s v="2026-05-06 23:59"/>
    <s v="新竹物流8179178313"/>
    <s v="2026-05-05 11:19"/>
    <m/>
    <s v="學習"/>
    <s v=""/>
    <m/>
    <s v="學習"/>
    <s v="蝦皮"/>
  </r>
  <r>
    <s v="260505JWNGYEBP"/>
    <x v="1"/>
    <s v=""/>
    <s v=""/>
    <s v="v******3"/>
    <x v="4"/>
    <s v="7589.00"/>
    <s v="0.00"/>
    <s v="0.00"/>
    <s v="0.00"/>
    <s v="7589.00"/>
    <s v="0.00"/>
    <s v="60"/>
    <s v="0.00"/>
    <s v="S2605RSP3;BW8K7CC35"/>
    <s v="100.00"/>
    <s v="0.00"/>
    <s v="850.00"/>
    <s v="722.00"/>
    <s v="265.00"/>
    <s v="212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403 臺中市西區模範街34巷3號7樓之二"/>
    <s v="****"/>
    <s v="0928000888,14067555#1"/>
    <s v=""/>
    <s v="臺中市"/>
    <s v="西區"/>
    <s v="403"/>
    <s v="陳人瑜"/>
    <s v="賣家宅配：大型/超重物品運送"/>
    <s v=""/>
    <s v=""/>
    <s v="信用卡"/>
    <s v="2026-05-06 23:59"/>
    <s v="新竹物流8179178313"/>
    <s v="2026-05-05 11:19"/>
    <m/>
    <s v="學習"/>
    <s v=""/>
    <m/>
    <s v="學習"/>
    <s v="蝦皮"/>
  </r>
  <r>
    <s v="260505JYKYV2RA"/>
    <x v="1"/>
    <s v=""/>
    <s v=""/>
    <s v="p******g"/>
    <x v="4"/>
    <s v="3779.00"/>
    <s v="0.00"/>
    <s v="0.00"/>
    <s v="0.00"/>
    <s v="3779.00"/>
    <s v="0.00"/>
    <s v="0"/>
    <s v="0.00"/>
    <s v="S2605RSP3;BW8K7CC35"/>
    <s v="100.00"/>
    <s v="0.00"/>
    <s v="420.00"/>
    <s v="357.00"/>
    <s v="136.00"/>
    <s v="105.00"/>
    <s v="0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251 新北市淡水區新市一路一段10號3樓"/>
    <s v="****"/>
    <s v="0928000888,89250861#1"/>
    <s v=""/>
    <s v="新北市"/>
    <s v="淡水區"/>
    <s v="251"/>
    <s v="金佩璇"/>
    <s v="賣家宅配：大型/超重物品運送"/>
    <s v=""/>
    <s v=""/>
    <s v="信用卡"/>
    <s v="2026-05-06 23:59"/>
    <s v="新竹物流8179179466"/>
    <s v="2026-05-05 11:54"/>
    <m/>
    <s v="學習"/>
    <s v=""/>
    <m/>
    <s v="學習"/>
    <s v="蝦皮"/>
  </r>
  <r>
    <s v="260505JYYNR1GE"/>
    <x v="3"/>
    <s v="被買家取消，原因 : 改變心意(例如:不想買了,發現更便宜的價格....)"/>
    <s v=""/>
    <s v="r******1"/>
    <x v="4"/>
    <s v="1900.00"/>
    <s v="0.00"/>
    <s v="0.00"/>
    <s v="0.00"/>
    <s v="0.00"/>
    <s v="0.00"/>
    <s v="0"/>
    <s v="0.00"/>
    <s v="S2605RSP3;R2EP2JPXW"/>
    <s v="0.00"/>
    <s v="0.00"/>
    <s v="0.00"/>
    <s v="0.00"/>
    <s v="0.00"/>
    <s v="0.00"/>
    <s v="0"/>
    <s v="2.50%"/>
    <s v=""/>
    <x v="25"/>
    <s v="40729917165"/>
    <s v="6/27(六)14:30,$500/張 共4張(無優惠)"/>
    <s v="277562774486"/>
    <s v="40729917165_277562774486"/>
    <n v="3000"/>
    <n v="2000"/>
    <x v="26"/>
    <s v="20260WA01"/>
    <n v="1"/>
    <s v="0"/>
    <s v="N"/>
    <s v="-"/>
    <s v="22******"/>
    <s v="****"/>
    <s v=""/>
    <s v=""/>
    <s v="新北市"/>
    <s v="汐止區"/>
    <s v="221"/>
    <s v="徐*婷"/>
    <s v="賣家宅配：大型/超重物品運送"/>
    <s v=""/>
    <s v=""/>
    <s v="信用卡"/>
    <s v="2026-05-06 23:59"/>
    <s v=""/>
    <s v="2026-05-05 12:01"/>
    <m/>
    <s v="舞台劇"/>
    <s v=""/>
    <m/>
    <s v="舞台劇"/>
    <s v="蝦皮"/>
  </r>
  <r>
    <s v="260505K02WN1C5"/>
    <x v="1"/>
    <s v=""/>
    <s v=""/>
    <s v="f******4"/>
    <x v="4"/>
    <s v="2293.00"/>
    <s v="0.00"/>
    <s v="0.00"/>
    <s v="0.00"/>
    <s v="2293.00"/>
    <s v="0.00"/>
    <s v="0"/>
    <s v="0.00"/>
    <s v="S2605RSP3;TRFJEUUSB"/>
    <s v="100.00"/>
    <s v="0.00"/>
    <s v="71.00"/>
    <s v="154.00"/>
    <s v="81.00"/>
    <s v="59.00"/>
    <s v="0"/>
    <s v="2.50%"/>
    <s v=""/>
    <x v="25"/>
    <s v="40729917165"/>
    <s v="6/27(六)10:30,$700/張 共2張(88折)"/>
    <s v="277562774485"/>
    <s v="40729917165_277562774485"/>
    <n v="2000"/>
    <n v="1232"/>
    <x v="27"/>
    <s v="20260WA02"/>
    <n v="2"/>
    <s v="0"/>
    <s v="N"/>
    <s v="-"/>
    <s v="360 苗栗縣苗栗市水源里6鄰金像園5號5樓之3"/>
    <s v="****"/>
    <s v="0928000888,32892427#1"/>
    <s v=""/>
    <s v="苗栗縣"/>
    <s v="苗栗市"/>
    <s v="360"/>
    <s v="陳媺媱"/>
    <s v="賣家宅配：大型/超重物品運送"/>
    <s v=""/>
    <s v=""/>
    <s v="信用卡"/>
    <s v="2026-05-06 23:59"/>
    <s v="49453410203318"/>
    <s v="2026-05-05 12:04"/>
    <m/>
    <s v="舞台劇"/>
    <s v=""/>
    <m/>
    <s v="舞台劇"/>
    <s v="蝦皮"/>
  </r>
  <r>
    <s v="260505K1CHWNES"/>
    <x v="1"/>
    <s v=""/>
    <s v=""/>
    <s v="y******e"/>
    <x v="4"/>
    <s v="2790.00"/>
    <s v="0.00"/>
    <s v="0.00"/>
    <s v="0.00"/>
    <s v="2790.00"/>
    <s v="0.00"/>
    <s v="0"/>
    <s v="0.00"/>
    <s v="S2605RSP3;BW8K7CC35"/>
    <s v="100.00"/>
    <s v="0.00"/>
    <s v="310.00"/>
    <s v="264.00"/>
    <s v="103.00"/>
    <s v="78.00"/>
    <s v="0"/>
    <s v="2.50%"/>
    <s v=""/>
    <x v="21"/>
    <s v="28215382311"/>
    <s v="(單購)"/>
    <s v="440877363278"/>
    <s v="28215382311_440877363278"/>
    <n v="4000"/>
    <n v="3200"/>
    <x v="21"/>
    <s v="20240FM00"/>
    <n v="1"/>
    <s v="0"/>
    <s v="N"/>
    <s v="-"/>
    <s v="302 新竹縣竹北市六家六街90號3樓"/>
    <s v="****"/>
    <s v="0928000888,26721005#1"/>
    <s v=""/>
    <s v="新竹縣"/>
    <s v="竹北市"/>
    <s v="302"/>
    <s v="廖盈甄"/>
    <s v="賣家宅配：大型/超重物品運送"/>
    <s v=""/>
    <s v=""/>
    <s v="信用卡"/>
    <s v="2026-05-06 23:59"/>
    <s v="新竹物流8179179035"/>
    <s v="2026-05-05 12:26"/>
    <m/>
    <s v="學習"/>
    <s v=""/>
    <m/>
    <s v="學習"/>
    <s v="蝦皮"/>
  </r>
  <r>
    <s v="260505K1N3MMUE"/>
    <x v="1"/>
    <s v=""/>
    <s v=""/>
    <s v="6****e"/>
    <x v="4"/>
    <s v="2047.00"/>
    <s v="0.00"/>
    <s v="0.00"/>
    <s v="0.00"/>
    <s v="2047.00"/>
    <s v="0.00"/>
    <s v="22"/>
    <s v="0.00"/>
    <s v="BW8K7CC35;S2605RSP3"/>
    <s v="100.00"/>
    <s v="0.00"/>
    <s v="23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701 臺南市東區東光路二段58巷16號3樓"/>
    <s v="****"/>
    <s v="0928000888,67557528#1"/>
    <s v=""/>
    <s v="臺南市"/>
    <s v="東區"/>
    <s v="701"/>
    <s v="李文宜"/>
    <s v="賣家宅配：大型/超重物品運送"/>
    <s v=""/>
    <s v=""/>
    <s v="信用卡"/>
    <s v="2026-05-06 23:59"/>
    <s v="新竹物流8179177753"/>
    <s v="2026-05-05 12:31"/>
    <m/>
    <s v="學習"/>
    <s v=""/>
    <m/>
    <s v="學習"/>
    <s v="蝦皮"/>
  </r>
  <r>
    <s v="260505K1R5UA32"/>
    <x v="3"/>
    <s v="被買家取消，原因 : 需要修改訂單內容"/>
    <s v=""/>
    <s v="v******6"/>
    <x v="4"/>
    <s v="2024.00"/>
    <s v="0.00"/>
    <s v="0.00"/>
    <s v="0.00"/>
    <s v="0.00"/>
    <s v="0.00"/>
    <s v="0"/>
    <s v="0.00"/>
    <s v="V7UTYZV26;BW8K7CC35"/>
    <s v="0.00"/>
    <s v="0.00"/>
    <s v="0.00"/>
    <s v="0.00"/>
    <s v="0.00"/>
    <s v="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0******"/>
    <s v="****"/>
    <s v=""/>
    <s v=""/>
    <s v="臺北市"/>
    <s v="中山區"/>
    <s v="104"/>
    <s v="王*文"/>
    <s v="賣家宅配：大型/超重物品運送"/>
    <s v=""/>
    <s v=""/>
    <s v="信用卡"/>
    <s v=""/>
    <s v=""/>
    <s v="-"/>
    <m/>
    <s v="學習"/>
    <s v=""/>
    <m/>
    <s v="學習"/>
    <s v="蝦皮"/>
  </r>
  <r>
    <s v="260505K28BP8XT"/>
    <x v="3"/>
    <s v="被買家取消，原因 : 改變心意(例如:不想買了,發現更便宜的價格....)"/>
    <s v=""/>
    <s v="v******6"/>
    <x v="4"/>
    <s v="2024.00"/>
    <s v="0.00"/>
    <s v="0.00"/>
    <s v="0.00"/>
    <s v="0.00"/>
    <s v="0.00"/>
    <s v="0"/>
    <s v="0.00"/>
    <s v="V7UTYZV26;BW8K7CC35"/>
    <s v="0.00"/>
    <s v="0.00"/>
    <s v="0.00"/>
    <s v="0.00"/>
    <s v="0.00"/>
    <s v="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0******"/>
    <s v="****"/>
    <s v=""/>
    <s v=""/>
    <s v="臺北市"/>
    <s v="中山區"/>
    <s v="104"/>
    <s v="王*文"/>
    <s v="賣家宅配：大型/超重物品運送"/>
    <s v=""/>
    <s v=""/>
    <s v="信用卡"/>
    <s v="2026-05-06 23:59"/>
    <s v=""/>
    <s v="2026-05-05 12:41"/>
    <m/>
    <s v="學習"/>
    <s v=""/>
    <m/>
    <s v="學習"/>
    <s v="蝦皮"/>
  </r>
  <r>
    <s v="260505K2KGBMDR"/>
    <x v="1"/>
    <s v=""/>
    <s v=""/>
    <s v="k******6"/>
    <x v="4"/>
    <s v="6515.00"/>
    <s v="0.00"/>
    <s v="0.00"/>
    <s v="0.00"/>
    <s v="6515.00"/>
    <s v="0.00"/>
    <s v="0"/>
    <s v="0.00"/>
    <s v="BENE100;BW8K7CC35"/>
    <s v="100.00"/>
    <s v="0.00"/>
    <s v="724.00"/>
    <s v="615.00"/>
    <s v="227.00"/>
    <s v="181.00"/>
    <s v="0"/>
    <s v="2.50%"/>
    <s v=""/>
    <x v="26"/>
    <s v="26554306114"/>
    <s v="幾何"/>
    <s v="236556659084"/>
    <s v="26554306114_236556659084"/>
    <n v="20"/>
    <n v="20"/>
    <x v="28"/>
    <s v="20220EA00"/>
    <n v="1"/>
    <s v="0"/>
    <s v="N"/>
    <s v="-"/>
    <s v="106 臺北市大安區基隆路二段134號10樓"/>
    <s v="****"/>
    <s v="0928000888,22167862#1"/>
    <s v=""/>
    <s v="臺北市"/>
    <s v="大安區"/>
    <s v="106"/>
    <s v="何詩婷"/>
    <s v="賣家宅配：大型/超重物品運送"/>
    <s v=""/>
    <s v=""/>
    <s v="信用卡"/>
    <s v="2026-05-06 23:59"/>
    <s v="新竹物流8179177580"/>
    <s v="2026-05-05 12:58"/>
    <m/>
    <s v="周邊商品"/>
    <s v=""/>
    <m/>
    <s v="生活周邊"/>
    <s v="蝦皮"/>
  </r>
  <r>
    <s v="260505K2KGBMDR"/>
    <x v="1"/>
    <s v=""/>
    <s v=""/>
    <s v="k******6"/>
    <x v="4"/>
    <s v="6515.00"/>
    <s v="0.00"/>
    <s v="0.00"/>
    <s v="0.00"/>
    <s v="6515.00"/>
    <s v="0.00"/>
    <s v="0"/>
    <s v="0.00"/>
    <s v="BENE100;BW8K7CC35"/>
    <s v="100.00"/>
    <s v="0.00"/>
    <s v="724.00"/>
    <s v="615.00"/>
    <s v="227.00"/>
    <s v="181.00"/>
    <s v="0"/>
    <s v="2.50%"/>
    <s v=""/>
    <x v="26"/>
    <s v="26554306114"/>
    <s v="水果"/>
    <s v="236556659085"/>
    <s v="26554306114_236556659085"/>
    <n v="20"/>
    <n v="20"/>
    <x v="29"/>
    <s v="20220EB00"/>
    <n v="1"/>
    <s v="0"/>
    <s v="N"/>
    <s v="-"/>
    <s v="106 臺北市大安區基隆路二段134號10樓"/>
    <s v="****"/>
    <s v="0928000888,22167862#1"/>
    <s v=""/>
    <s v="臺北市"/>
    <s v="大安區"/>
    <s v="106"/>
    <s v="何詩婷"/>
    <s v="賣家宅配：大型/超重物品運送"/>
    <s v=""/>
    <s v=""/>
    <s v="信用卡"/>
    <s v="2026-05-06 23:59"/>
    <s v="新竹物流8179177580"/>
    <s v="2026-05-05 12:58"/>
    <m/>
    <s v="周邊商品"/>
    <s v=""/>
    <m/>
    <s v="生活周邊"/>
    <s v="蝦皮"/>
  </r>
  <r>
    <s v="260505K2KGBMDR"/>
    <x v="1"/>
    <s v=""/>
    <s v=""/>
    <s v="k******6"/>
    <x v="4"/>
    <s v="6515.00"/>
    <s v="0.00"/>
    <s v="0.00"/>
    <s v="0.00"/>
    <s v="6515.00"/>
    <s v="0.00"/>
    <s v="0"/>
    <s v="0.00"/>
    <s v="BENE100;BW8K7CC35"/>
    <s v="100.00"/>
    <s v="0.00"/>
    <s v="724.00"/>
    <s v="615.00"/>
    <s v="227.00"/>
    <s v="181.00"/>
    <s v="0"/>
    <s v="2.50%"/>
    <s v=""/>
    <x v="21"/>
    <s v="28215382311"/>
    <s v="(單購)"/>
    <s v="440877363278"/>
    <s v="28215382311_440877363278"/>
    <n v="4000"/>
    <n v="3200"/>
    <x v="21"/>
    <s v="20240FM00"/>
    <n v="1"/>
    <s v="0"/>
    <s v="N"/>
    <s v="-"/>
    <s v="106 臺北市大安區基隆路二段134號10樓"/>
    <s v="****"/>
    <s v="0928000888,22167862#1"/>
    <s v=""/>
    <s v="臺北市"/>
    <s v="大安區"/>
    <s v="106"/>
    <s v="何詩婷"/>
    <s v="賣家宅配：大型/超重物品運送"/>
    <s v=""/>
    <s v=""/>
    <s v="信用卡"/>
    <s v="2026-05-06 23:59"/>
    <s v="新竹物流8179177580"/>
    <s v="2026-05-05 12:58"/>
    <m/>
    <s v="學習"/>
    <s v=""/>
    <m/>
    <s v="學習"/>
    <s v="蝦皮"/>
  </r>
  <r>
    <s v="260505K2KGBMDR"/>
    <x v="1"/>
    <s v=""/>
    <s v=""/>
    <s v="k******6"/>
    <x v="4"/>
    <s v="6515.00"/>
    <s v="0.00"/>
    <s v="0.00"/>
    <s v="0.00"/>
    <s v="6515.00"/>
    <s v="0.00"/>
    <s v="0"/>
    <s v="0.00"/>
    <s v="BENE100;BW8K7CC35"/>
    <s v="100.00"/>
    <s v="0.00"/>
    <s v="724.00"/>
    <s v="615.00"/>
    <s v="227.00"/>
    <s v="181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106 臺北市大安區基隆路二段134號10樓"/>
    <s v="****"/>
    <s v="0928000888,22167862#1"/>
    <s v=""/>
    <s v="臺北市"/>
    <s v="大安區"/>
    <s v="106"/>
    <s v="何詩婷"/>
    <s v="賣家宅配：大型/超重物品運送"/>
    <s v=""/>
    <s v=""/>
    <s v="信用卡"/>
    <s v="2026-05-06 23:59"/>
    <s v="新竹物流8179177580"/>
    <s v="2026-05-05 12:58"/>
    <m/>
    <s v="學習"/>
    <s v=""/>
    <m/>
    <s v="學習"/>
    <s v="蝦皮"/>
  </r>
  <r>
    <s v="260505K2KGBMDR"/>
    <x v="1"/>
    <s v=""/>
    <s v=""/>
    <s v="k******6"/>
    <x v="4"/>
    <s v="6515.00"/>
    <s v="0.00"/>
    <s v="0.00"/>
    <s v="0.00"/>
    <s v="6515.00"/>
    <s v="0.00"/>
    <s v="0"/>
    <s v="0.00"/>
    <s v="BENE100;BW8K7CC35"/>
    <s v="100.00"/>
    <s v="0.00"/>
    <s v="724.00"/>
    <s v="615.00"/>
    <s v="227.00"/>
    <s v="181.00"/>
    <s v="0"/>
    <s v="2.50%"/>
    <s v=""/>
    <x v="2"/>
    <s v="52408787601"/>
    <s v=""/>
    <s v="198823956357"/>
    <s v="52408787601_198823956357"/>
    <n v="899"/>
    <n v="899"/>
    <x v="2"/>
    <s v="20250H002"/>
    <n v="1"/>
    <s v="0"/>
    <s v="N"/>
    <s v="-"/>
    <s v="106 臺北市大安區基隆路二段134號10樓"/>
    <s v="****"/>
    <s v="0928000888,22167862#1"/>
    <s v=""/>
    <s v="臺北市"/>
    <s v="大安區"/>
    <s v="106"/>
    <s v="何詩婷"/>
    <s v="賣家宅配：大型/超重物品運送"/>
    <s v=""/>
    <s v=""/>
    <s v="信用卡"/>
    <s v="2026-05-06 23:59"/>
    <s v="新竹物流8179177580"/>
    <s v="2026-05-05 12:58"/>
    <m/>
    <s v="周邊商品"/>
    <s v=""/>
    <m/>
    <s v="生活周邊"/>
    <s v="蝦皮"/>
  </r>
  <r>
    <s v="260505K2RU41KP"/>
    <x v="1"/>
    <s v=""/>
    <s v=""/>
    <s v="g******n"/>
    <x v="4"/>
    <s v="2141.00"/>
    <s v="0.00"/>
    <s v="0.00"/>
    <s v="0.00"/>
    <s v="2141.00"/>
    <s v="0.00"/>
    <s v="0"/>
    <s v="0.00"/>
    <s v="SVC-1409016320524312;BW8K7CC35"/>
    <s v="20.00"/>
    <s v="0.00"/>
    <s v="238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950 臺東縣臺東市知本路一段561號"/>
    <s v="****"/>
    <s v="0928000888,25674632#1"/>
    <s v=""/>
    <s v="臺東縣"/>
    <s v="臺東市"/>
    <s v="950"/>
    <s v="楊貫宇"/>
    <s v="賣家宅配：大型/超重物品運送"/>
    <s v=""/>
    <s v=""/>
    <s v="信用卡"/>
    <s v="2026-05-06 23:59"/>
    <s v="新竹物流8179177856"/>
    <s v="2026-05-05 12:50"/>
    <m/>
    <s v="學習"/>
    <s v=""/>
    <m/>
    <s v="學習"/>
    <s v="蝦皮"/>
  </r>
  <r>
    <s v="260505K2SJY3MX"/>
    <x v="1"/>
    <s v=""/>
    <s v=""/>
    <s v="k******u"/>
    <x v="4"/>
    <s v="5309.00"/>
    <s v="0.00"/>
    <s v="0.00"/>
    <s v="0.00"/>
    <s v="5309.00"/>
    <s v="0.00"/>
    <s v="0"/>
    <s v="0.00"/>
    <s v="S2605RSP3;BW8K7CC35"/>
    <s v="100.00"/>
    <s v="0.00"/>
    <s v="590.00"/>
    <s v="501.00"/>
    <s v="187.00"/>
    <s v="147.00"/>
    <s v="0"/>
    <s v="2.50%"/>
    <s v=""/>
    <x v="27"/>
    <s v="27004843078"/>
    <s v="(限時合購優惠)注音套組 現省$1701"/>
    <s v="330877385408"/>
    <s v="27004843078_330877385408"/>
    <n v="9000"/>
    <n v="5999"/>
    <x v="30"/>
    <s v="20260FXAA"/>
    <n v="1"/>
    <s v="0"/>
    <s v="N"/>
    <s v="-"/>
    <s v="647 雲林縣莿桐鄉興桐村新莊86-15號"/>
    <s v="****"/>
    <s v="0928000888,12607506#1"/>
    <s v=""/>
    <s v="雲林縣"/>
    <s v="莿桐鄉"/>
    <s v="647"/>
    <s v="朱芳儀"/>
    <s v="賣家宅配：大型/超重物品運送"/>
    <s v=""/>
    <s v=""/>
    <s v="信用卡"/>
    <s v="2026-05-06 23:59"/>
    <s v="新竹物流8179177576"/>
    <s v="2026-05-05 12:51"/>
    <m/>
    <s v="學習"/>
    <s v=""/>
    <m/>
    <s v="學習"/>
    <s v="蝦皮"/>
  </r>
  <r>
    <s v="260505K34TE6MP"/>
    <x v="1"/>
    <s v=""/>
    <s v=""/>
    <s v="k******6"/>
    <x v="4"/>
    <s v="360.00"/>
    <s v="0.00"/>
    <s v="0.00"/>
    <s v="0.00"/>
    <s v="360.00"/>
    <s v="0.00"/>
    <s v="119"/>
    <s v="0.00"/>
    <s v="SVC-1409016320524312;5K8ENHGSS"/>
    <s v="20.00"/>
    <s v="0.00"/>
    <s v="100.00"/>
    <s v="49.00"/>
    <s v="27.00"/>
    <s v="14.00"/>
    <s v="0"/>
    <s v="2.50%"/>
    <s v=""/>
    <x v="28"/>
    <s v="26004461505"/>
    <s v=""/>
    <s v="222957909377"/>
    <s v="26004461505_222957909377"/>
    <n v="690"/>
    <n v="599"/>
    <x v="31"/>
    <s v="20230H008"/>
    <n v="1"/>
    <s v="0"/>
    <s v="N"/>
    <s v="-"/>
    <s v="106 臺北市大安區基隆路二段134號10樓"/>
    <s v="****"/>
    <s v="0928000888,43200647#1"/>
    <s v=""/>
    <s v="臺北市"/>
    <s v="大安區"/>
    <s v="106"/>
    <s v="何詩婷"/>
    <s v="賣家宅配：大型/超重物品運送"/>
    <s v=""/>
    <s v=""/>
    <s v="信用卡"/>
    <s v="2026-05-06 23:59"/>
    <s v="新竹物流8179177716"/>
    <s v="2026-05-05 12:57"/>
    <m/>
    <s v="周邊商品"/>
    <s v=""/>
    <m/>
    <s v="生活周邊"/>
    <s v="蝦皮"/>
  </r>
  <r>
    <s v="260505K3DTG73V"/>
    <x v="1"/>
    <s v=""/>
    <s v=""/>
    <s v="y******g"/>
    <x v="4"/>
    <s v="4394.00"/>
    <s v="0.00"/>
    <s v="0.00"/>
    <s v="0.00"/>
    <s v="4394.00"/>
    <s v="0.00"/>
    <s v="15"/>
    <s v="0.00"/>
    <s v="BENE100;BW8K7CC35"/>
    <s v="100.00"/>
    <s v="0.00"/>
    <s v="490.00"/>
    <s v="416.00"/>
    <s v="157.00"/>
    <s v="122.00"/>
    <s v="0"/>
    <s v="2.50%"/>
    <s v=""/>
    <x v="12"/>
    <s v="28255058293"/>
    <s v="(加購)巧虎手偶 $199"/>
    <s v="390543676090"/>
    <s v="28255058293_390543676090"/>
    <n v="6399"/>
    <n v="4999"/>
    <x v="32"/>
    <s v="20250FXBM"/>
    <n v="1"/>
    <s v="0"/>
    <s v="N"/>
    <s v="-"/>
    <s v="744 臺南市新市區信義街180號6樓之9"/>
    <s v="****"/>
    <s v="0928000888,99531905#1"/>
    <s v=""/>
    <s v="臺南市"/>
    <s v="新市區"/>
    <s v="744"/>
    <s v="黃皇雁"/>
    <s v="賣家宅配：大型/超重物品運送"/>
    <s v=""/>
    <s v=""/>
    <s v="信用卡"/>
    <s v="2026-05-06 23:59"/>
    <s v="新竹物流8179177602"/>
    <s v="2026-05-05 13:02"/>
    <m/>
    <s v="學習"/>
    <s v=""/>
    <m/>
    <s v="學習"/>
    <s v="蝦皮"/>
  </r>
  <r>
    <s v="260505K3K813KE"/>
    <x v="1"/>
    <s v=""/>
    <s v=""/>
    <s v="e******6"/>
    <x v="4"/>
    <s v="2082.00"/>
    <s v="0.00"/>
    <s v="0.00"/>
    <s v="0.00"/>
    <s v="2082.00"/>
    <s v="0.00"/>
    <s v="59"/>
    <s v="0.00"/>
    <s v="SVC-1409016320524312;BW8K7CC35"/>
    <s v="20.00"/>
    <s v="0.00"/>
    <s v="238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44 新北市林口區文林一街39號9樓"/>
    <s v="****"/>
    <s v="0928000888,22378224#1"/>
    <s v=""/>
    <s v="新北市"/>
    <s v="林口區"/>
    <s v="244"/>
    <s v="詹雨秋"/>
    <s v="賣家宅配：大型/超重物品運送"/>
    <s v=""/>
    <s v=""/>
    <s v="信用卡"/>
    <s v="2026-05-06 23:59"/>
    <s v="新竹物流8179177742"/>
    <s v="2026-05-05 13:05"/>
    <m/>
    <s v="學習"/>
    <s v=""/>
    <m/>
    <s v="學習"/>
    <s v="蝦皮"/>
  </r>
  <r>
    <s v="260505K4BCH9RV"/>
    <x v="1"/>
    <s v=""/>
    <s v=""/>
    <s v="p*****i"/>
    <x v="4"/>
    <s v="2790.00"/>
    <s v="0.00"/>
    <s v="0.00"/>
    <s v="0.00"/>
    <s v="2790.00"/>
    <s v="0.00"/>
    <s v="0"/>
    <s v="0.00"/>
    <s v="S2605RSP3;BW8K7CC35"/>
    <s v="100.00"/>
    <s v="0.00"/>
    <s v="310.00"/>
    <s v="264.00"/>
    <s v="103.00"/>
    <s v="78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600 嘉義市西區友義街5號"/>
    <s v="****"/>
    <s v="0928000888,59101040#1"/>
    <s v=""/>
    <s v="嘉義市"/>
    <s v="西區"/>
    <s v="600"/>
    <s v="何莉婷"/>
    <s v="賣家宅配：大型/超重物品運送"/>
    <s v=""/>
    <s v=""/>
    <s v="信用卡"/>
    <s v="2026-05-06 23:59"/>
    <s v="新竹物流8179179105"/>
    <s v="2026-05-05 13:19"/>
    <m/>
    <s v="學習"/>
    <s v=""/>
    <m/>
    <s v="學習"/>
    <s v="蝦皮"/>
  </r>
  <r>
    <s v="260505K4G8XUYV"/>
    <x v="1"/>
    <s v=""/>
    <s v=""/>
    <s v="c******5"/>
    <x v="4"/>
    <s v="2681.00"/>
    <s v="0.00"/>
    <s v="0.00"/>
    <s v="0.00"/>
    <s v="2681.00"/>
    <s v="0.00"/>
    <s v="0"/>
    <s v="0.00"/>
    <s v="SVC-1409016320524312;BW8K7CC35"/>
    <s v="20.00"/>
    <s v="0.00"/>
    <s v="298.00"/>
    <s v="253.00"/>
    <s v="99.00"/>
    <s v="74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20 新北市板橋區永豐街55巷29弄4號2樓"/>
    <s v="****"/>
    <s v="0928000888,96462909#1"/>
    <s v=""/>
    <s v="新北市"/>
    <s v="板橋區"/>
    <s v="220"/>
    <s v="江依真"/>
    <s v="賣家宅配：大型/超重物品運送"/>
    <s v=""/>
    <s v=""/>
    <s v="信用卡"/>
    <s v="2026-05-06 23:59"/>
    <s v="新竹物流8179177624"/>
    <s v="2026-05-05 13:22"/>
    <m/>
    <s v="學習"/>
    <s v=""/>
    <m/>
    <s v="學習"/>
    <s v="蝦皮"/>
  </r>
  <r>
    <s v="260505K619PCMC"/>
    <x v="1"/>
    <s v=""/>
    <s v=""/>
    <s v="b******8"/>
    <x v="4"/>
    <s v="2398.00"/>
    <s v="0.00"/>
    <s v="0.00"/>
    <s v="0.00"/>
    <s v="2398.00"/>
    <s v="0.00"/>
    <s v="211"/>
    <s v="0.00"/>
    <s v="S2605RSP3;BW8K7CC35"/>
    <s v="100.00"/>
    <s v="0.00"/>
    <s v="290.00"/>
    <s v="246.00"/>
    <s v="97.00"/>
    <s v="7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39 新北市鶯歌區鳳七路32號9樓"/>
    <s v="****"/>
    <s v="0928000888,56031978#1"/>
    <s v=""/>
    <s v="新北市"/>
    <s v="鶯歌區"/>
    <s v="239"/>
    <s v="賴姵妏"/>
    <s v="賣家宅配：大型/超重物品運送"/>
    <s v=""/>
    <s v=""/>
    <s v="信用卡"/>
    <s v="2026-05-06 23:59"/>
    <s v="新竹物流8179177613"/>
    <s v="2026-05-05 13:49"/>
    <m/>
    <s v="學習"/>
    <s v=""/>
    <m/>
    <s v="學習"/>
    <s v="蝦皮"/>
  </r>
  <r>
    <s v="260505K6FKF11C"/>
    <x v="1"/>
    <s v=""/>
    <s v=""/>
    <s v="i******e"/>
    <x v="4"/>
    <s v="1098.00"/>
    <s v="0.00"/>
    <s v="0.00"/>
    <s v="0.00"/>
    <s v="1098.00"/>
    <s v="0.00"/>
    <s v="0"/>
    <s v="0.00"/>
    <s v="S2605RSP3;TRFJEUUSB"/>
    <s v="100.00"/>
    <s v="0.00"/>
    <s v="34.00"/>
    <s v="74.00"/>
    <s v="44.00"/>
    <s v="28.00"/>
    <s v="0"/>
    <s v="2.50%"/>
    <s v=""/>
    <x v="25"/>
    <s v="40729917165"/>
    <s v="6/27(六)10:30,$700/張 共2張(88折)"/>
    <s v="277562774485"/>
    <s v="40729917165_277562774485"/>
    <n v="2000"/>
    <n v="1232"/>
    <x v="27"/>
    <s v="20260WA02"/>
    <n v="1"/>
    <s v="0"/>
    <s v="N"/>
    <s v="-"/>
    <s v="221 新北市汐止區新台五路一段88號8樓#2833"/>
    <s v="****"/>
    <s v="0928000888,39489043#1"/>
    <s v=""/>
    <s v="新北市"/>
    <s v="汐止區"/>
    <s v="221"/>
    <s v="游雅婷"/>
    <s v="賣家宅配：大型/超重物品運送"/>
    <s v=""/>
    <s v=""/>
    <s v="信用卡"/>
    <s v="2026-05-06 23:59"/>
    <s v="49453510203318"/>
    <s v="2026-05-05 13:57"/>
    <m/>
    <s v="舞台劇"/>
    <s v=""/>
    <m/>
    <s v="舞台劇"/>
    <s v="蝦皮"/>
  </r>
  <r>
    <s v="260505K6Q1XEKK"/>
    <x v="1"/>
    <s v=""/>
    <s v=""/>
    <s v="c******o"/>
    <x v="4"/>
    <s v="2606.00"/>
    <s v="0.00"/>
    <s v="0.00"/>
    <s v="0.00"/>
    <s v="2606.00"/>
    <s v="0.00"/>
    <s v="3"/>
    <s v="0.00"/>
    <s v="S2605RSP3;BW8K7CC35"/>
    <s v="100.00"/>
    <s v="0.00"/>
    <s v="290.00"/>
    <s v="246.00"/>
    <s v="97.00"/>
    <s v="7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49 新北市八里區龍米路二段38號4樓之3"/>
    <s v="****"/>
    <s v="0928000888,31944499#1"/>
    <s v=""/>
    <s v="新北市"/>
    <s v="八里區"/>
    <s v="249"/>
    <s v="郭千雅"/>
    <s v="賣家宅配：大型/超重物品運送"/>
    <s v=""/>
    <s v=""/>
    <s v="信用卡"/>
    <s v="2026-05-06 23:59"/>
    <s v="新竹物流8179177650"/>
    <s v="2026-05-05 14:01"/>
    <m/>
    <s v="學習"/>
    <s v=""/>
    <m/>
    <s v="學習"/>
    <s v="蝦皮"/>
  </r>
  <r>
    <s v="260505K7MBB1HM"/>
    <x v="1"/>
    <s v=""/>
    <s v=""/>
    <s v="c******4"/>
    <x v="4"/>
    <s v="2680.00"/>
    <s v="0.00"/>
    <s v="0.00"/>
    <s v="0.00"/>
    <s v="2680.00"/>
    <s v="0.00"/>
    <s v="0"/>
    <s v="0.00"/>
    <s v="SVC-1409016320524312;BW8K7CC35"/>
    <s v="20.00"/>
    <s v="0.00"/>
    <s v="298.00"/>
    <s v="253.00"/>
    <s v="99.00"/>
    <s v="74.00"/>
    <s v="0"/>
    <s v="2.50%"/>
    <s v=""/>
    <x v="1"/>
    <s v="55104898742"/>
    <s v="(加購)獅兔象語彙小火車"/>
    <s v="307431421632"/>
    <s v="55104898742_307431421632"/>
    <n v="3800"/>
    <n v="2998"/>
    <x v="14"/>
    <s v="20250FXCH"/>
    <n v="1"/>
    <s v="0"/>
    <s v="N"/>
    <s v="-"/>
    <s v="351 苗栗縣頭份市德義路189號8樓"/>
    <s v="****"/>
    <s v="0928000888,64549428#1"/>
    <s v=""/>
    <s v="苗栗縣"/>
    <s v="頭份市"/>
    <s v="351"/>
    <s v="江侑恩"/>
    <s v="賣家宅配：大型/超重物品運送"/>
    <s v=""/>
    <s v=""/>
    <s v="信用卡"/>
    <s v="2026-05-06 23:59"/>
    <s v="新竹物流8179177720"/>
    <s v="2026-05-05 14:17"/>
    <m/>
    <s v="學習"/>
    <s v=""/>
    <m/>
    <s v="學習"/>
    <s v="蝦皮"/>
  </r>
  <r>
    <s v="260505K8XV9PBJ"/>
    <x v="1"/>
    <s v=""/>
    <s v=""/>
    <s v="k****6"/>
    <x v="4"/>
    <s v="1478.00"/>
    <s v="0.00"/>
    <s v="0.00"/>
    <s v="0.00"/>
    <s v="1478.00"/>
    <s v="0.00"/>
    <s v="0"/>
    <s v="0.00"/>
    <s v="SVC-1409016320524312;HD4BCXGXB"/>
    <s v="20.00"/>
    <s v="0.00"/>
    <s v="200.00"/>
    <s v="143.00"/>
    <s v="60.00"/>
    <s v="42.00"/>
    <s v="0"/>
    <s v="2.50%"/>
    <s v=""/>
    <x v="16"/>
    <s v="40272629657"/>
    <s v=""/>
    <s v="258985690764"/>
    <s v="40272629657_258985690764"/>
    <n v="399"/>
    <n v="299"/>
    <x v="16"/>
    <s v="20250FXAM"/>
    <n v="1"/>
    <s v="0"/>
    <s v="N"/>
    <s v="-"/>
    <s v="414 臺中市烏日區興祥街191巷19號10樓"/>
    <s v="****"/>
    <s v="0928000888,87715290#1"/>
    <s v=""/>
    <s v="臺中市"/>
    <s v="烏日區"/>
    <s v="414"/>
    <s v="廖子婷"/>
    <s v="賣家宅配：大型/超重物品運送"/>
    <s v=""/>
    <s v=""/>
    <s v="信用卡"/>
    <s v="2026-05-06 23:59"/>
    <s v="新竹物流8179177565"/>
    <s v="2026-05-05 14:41"/>
    <m/>
    <s v="周邊商品"/>
    <s v=""/>
    <m/>
    <s v="學習周邊"/>
    <s v="蝦皮"/>
  </r>
  <r>
    <s v="260505K8XV9PBJ"/>
    <x v="1"/>
    <s v=""/>
    <s v=""/>
    <s v="k****6"/>
    <x v="4"/>
    <s v="1478.00"/>
    <s v="0.00"/>
    <s v="0.00"/>
    <s v="0.00"/>
    <s v="1478.00"/>
    <s v="0.00"/>
    <s v="0"/>
    <s v="0.00"/>
    <s v="SVC-1409016320524312;HD4BCXGXB"/>
    <s v="20.00"/>
    <s v="0.00"/>
    <s v="200.00"/>
    <s v="143.00"/>
    <s v="60.00"/>
    <s v="42.00"/>
    <s v="0"/>
    <s v="2.50%"/>
    <s v=""/>
    <x v="29"/>
    <s v="45401805147"/>
    <s v=""/>
    <s v="425164888594"/>
    <s v="45401805147_425164888594"/>
    <n v="1399"/>
    <n v="1399"/>
    <x v="33"/>
    <s v="20250H004"/>
    <n v="1"/>
    <s v="0"/>
    <s v="N"/>
    <s v="-"/>
    <s v="414 臺中市烏日區興祥街191巷19號10樓"/>
    <s v="****"/>
    <s v="0928000888,87715290#1"/>
    <s v=""/>
    <s v="臺中市"/>
    <s v="烏日區"/>
    <s v="414"/>
    <s v="廖子婷"/>
    <s v="賣家宅配：大型/超重物品運送"/>
    <s v=""/>
    <s v=""/>
    <s v="信用卡"/>
    <s v="2026-05-06 23:59"/>
    <s v="新竹物流8179177565"/>
    <s v="2026-05-05 14:41"/>
    <m/>
    <s v="周邊商品"/>
    <s v=""/>
    <m/>
    <s v="生活周邊"/>
    <s v="蝦皮"/>
  </r>
  <r>
    <s v="260505K90BXEGK"/>
    <x v="3"/>
    <s v="被買家取消，原因 : 修改訂單內容"/>
    <s v=""/>
    <s v="w******7"/>
    <x v="4"/>
    <s v="2299.00"/>
    <s v="0.00"/>
    <s v="0.00"/>
    <s v="0.00"/>
    <s v="0.00"/>
    <s v="0.00"/>
    <s v="0"/>
    <s v="0.00"/>
    <s v="S2605RSP3"/>
    <s v="0.00"/>
    <s v="0.00"/>
    <s v="0.00"/>
    <s v="0.00"/>
    <s v="0.00"/>
    <s v="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2******"/>
    <s v="****"/>
    <s v=""/>
    <s v=""/>
    <s v="桃園市"/>
    <s v="平鎮區"/>
    <s v="324"/>
    <s v="黃*智"/>
    <s v="賣家宅配：大型/超重物品運送"/>
    <s v=""/>
    <s v=""/>
    <s v="信用卡"/>
    <s v="2026-05-06 23:59"/>
    <s v=""/>
    <s v="2026-05-05 14:42"/>
    <m/>
    <s v="學習"/>
    <s v=""/>
    <m/>
    <s v="學習"/>
    <s v="蝦皮"/>
  </r>
  <r>
    <s v="260505KAHATUV2"/>
    <x v="1"/>
    <s v=""/>
    <s v=""/>
    <s v="t******4"/>
    <x v="4"/>
    <s v="2187.00"/>
    <s v="0.00"/>
    <s v="0.00"/>
    <s v="0.00"/>
    <s v="2187.00"/>
    <s v="0.00"/>
    <s v="61"/>
    <s v="0.00"/>
    <s v="S2605RSP3;BW8K7CC35"/>
    <s v="100.00"/>
    <s v="0.00"/>
    <s v="250.00"/>
    <s v="212.00"/>
    <s v="85.00"/>
    <s v="62.00"/>
    <s v="0"/>
    <s v="2.50%"/>
    <s v=""/>
    <x v="1"/>
    <s v="55104898742"/>
    <s v="(加購)巧虎手偶 $199"/>
    <s v="430504001726"/>
    <s v="55104898742_430504001726"/>
    <n v="3299"/>
    <n v="2598"/>
    <x v="7"/>
    <s v="20250FXBH"/>
    <n v="1"/>
    <s v="0"/>
    <s v="N"/>
    <s v="-"/>
    <s v="540 南投縣南投市八卦路1521號"/>
    <s v="****"/>
    <s v="0928000888,16992767#1"/>
    <s v=""/>
    <s v="南投縣"/>
    <s v="南投市"/>
    <s v="540"/>
    <s v="石曉燁"/>
    <s v="賣家宅配：大型/超重物品運送"/>
    <s v=""/>
    <s v=""/>
    <s v="信用卡"/>
    <s v="2026-05-06 23:59"/>
    <s v="新竹物流8179179385"/>
    <s v="2026-05-05 15:09"/>
    <m/>
    <s v="學習"/>
    <s v=""/>
    <m/>
    <s v="學習"/>
    <s v="蝦皮"/>
  </r>
  <r>
    <s v="260505KB000B9Y"/>
    <x v="1"/>
    <s v=""/>
    <s v=""/>
    <s v="l******4"/>
    <x v="4"/>
    <s v="2141.00"/>
    <s v="0.00"/>
    <s v="0.00"/>
    <s v="0.00"/>
    <s v="2141.00"/>
    <s v="0.00"/>
    <s v="0"/>
    <s v="0.00"/>
    <s v="SVC-1409016320524312;BW8K7CC35"/>
    <s v="20.00"/>
    <s v="0.00"/>
    <s v="238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14 臺北市內湖區文德路66巷101號3樓之7"/>
    <s v="****"/>
    <s v="0928000888,23957361#1"/>
    <s v=""/>
    <s v="臺北市"/>
    <s v="內湖區"/>
    <s v="114"/>
    <s v="楊婕"/>
    <s v="賣家宅配：大型/超重物品運送"/>
    <s v=""/>
    <s v=""/>
    <s v="信用卡"/>
    <s v="2026-05-06 23:59"/>
    <s v="新竹物流8179178114"/>
    <s v="2026-05-05 15:18"/>
    <m/>
    <s v="學習"/>
    <s v=""/>
    <m/>
    <s v="學習"/>
    <s v="蝦皮"/>
  </r>
  <r>
    <s v="260505KB3R81V1"/>
    <x v="1"/>
    <s v=""/>
    <s v=""/>
    <s v="j******s"/>
    <x v="4"/>
    <s v="518.00"/>
    <s v="0.00"/>
    <s v="0.00"/>
    <s v="0.00"/>
    <s v="518.00"/>
    <s v="0.00"/>
    <s v="0"/>
    <s v="0.00"/>
    <s v="HTUWZA5UR"/>
    <s v="0.00"/>
    <s v="0.00"/>
    <s v="0.00"/>
    <s v="36.00"/>
    <s v="26.00"/>
    <s v="13.00"/>
    <s v="0"/>
    <s v="2.50%"/>
    <s v=""/>
    <x v="26"/>
    <s v="26554306114"/>
    <s v="幾何"/>
    <s v="236556659084"/>
    <s v="26554306114_236556659084"/>
    <n v="20"/>
    <n v="20"/>
    <x v="28"/>
    <s v="20220EA00"/>
    <n v="1"/>
    <s v="0"/>
    <s v="N"/>
    <s v="-"/>
    <s v="832 高雄市林園區港嘴二路99號"/>
    <s v="****"/>
    <s v="0928000888,37715290#1"/>
    <s v=""/>
    <s v="高雄市"/>
    <s v="林園區"/>
    <s v="832"/>
    <s v="吳彥融"/>
    <s v="賣家宅配：大型/超重物品運送"/>
    <s v=""/>
    <s v=""/>
    <s v="信用卡"/>
    <s v="2026-05-06 23:59"/>
    <s v="新竹物流8179177683"/>
    <s v="2026-05-05 15:20"/>
    <m/>
    <s v="周邊商品"/>
    <s v=""/>
    <m/>
    <s v="生活周邊"/>
    <s v="蝦皮"/>
  </r>
  <r>
    <s v="260505KB3R81V1"/>
    <x v="1"/>
    <s v=""/>
    <s v=""/>
    <s v="j******s"/>
    <x v="4"/>
    <s v="518.00"/>
    <s v="0.00"/>
    <s v="0.00"/>
    <s v="0.00"/>
    <s v="518.00"/>
    <s v="0.00"/>
    <s v="0"/>
    <s v="0.00"/>
    <s v="HTUWZA5UR"/>
    <s v="0.00"/>
    <s v="0.00"/>
    <s v="0.00"/>
    <s v="36.00"/>
    <s v="26.00"/>
    <s v="13.00"/>
    <s v="0"/>
    <s v="2.50%"/>
    <s v=""/>
    <x v="14"/>
    <s v="28157944827"/>
    <s v="單購"/>
    <s v="276894603061"/>
    <s v="28157944827_276894603061"/>
    <n v="399"/>
    <n v="299"/>
    <x v="16"/>
    <s v="20250FXAM"/>
    <n v="1"/>
    <s v="0"/>
    <s v="N"/>
    <s v="-"/>
    <s v="832 高雄市林園區港嘴二路99號"/>
    <s v="****"/>
    <s v="0928000888,37715290#1"/>
    <s v=""/>
    <s v="高雄市"/>
    <s v="林園區"/>
    <s v="832"/>
    <s v="吳彥融"/>
    <s v="賣家宅配：大型/超重物品運送"/>
    <s v=""/>
    <s v=""/>
    <s v="信用卡"/>
    <s v="2026-05-06 23:59"/>
    <s v="新竹物流8179177683"/>
    <s v="2026-05-05 15:20"/>
    <m/>
    <s v="周邊商品"/>
    <s v=""/>
    <m/>
    <s v="學習周邊"/>
    <s v="蝦皮"/>
  </r>
  <r>
    <s v="260505KB3R81V1"/>
    <x v="1"/>
    <s v=""/>
    <s v=""/>
    <s v="j******s"/>
    <x v="4"/>
    <s v="518.00"/>
    <s v="0.00"/>
    <s v="0.00"/>
    <s v="0.00"/>
    <s v="518.00"/>
    <s v="0.00"/>
    <s v="0"/>
    <s v="0.00"/>
    <s v="HTUWZA5UR"/>
    <s v="0.00"/>
    <s v="0.00"/>
    <s v="0.00"/>
    <s v="36.00"/>
    <s v="26.00"/>
    <s v="13.00"/>
    <s v="0"/>
    <s v="2.50%"/>
    <s v=""/>
    <x v="9"/>
    <s v="29404284709"/>
    <s v=""/>
    <s v="158690870458"/>
    <s v="29404284709_158690870458"/>
    <n v="299"/>
    <n v="199"/>
    <x v="10"/>
    <s v="20230H003"/>
    <n v="1"/>
    <s v="0"/>
    <s v="N"/>
    <s v="-"/>
    <s v="832 高雄市林園區港嘴二路99號"/>
    <s v="****"/>
    <s v="0928000888,37715290#1"/>
    <s v=""/>
    <s v="高雄市"/>
    <s v="林園區"/>
    <s v="832"/>
    <s v="吳彥融"/>
    <s v="賣家宅配：大型/超重物品運送"/>
    <s v=""/>
    <s v=""/>
    <s v="信用卡"/>
    <s v="2026-05-06 23:59"/>
    <s v="新竹物流8179177683"/>
    <s v="2026-05-05 15:20"/>
    <m/>
    <s v="周邊商品"/>
    <s v=""/>
    <m/>
    <s v="生活周邊"/>
    <s v="蝦皮"/>
  </r>
  <r>
    <s v="260505KEA604WN"/>
    <x v="1"/>
    <s v=""/>
    <s v=""/>
    <s v="y******h"/>
    <x v="4"/>
    <s v="2609.00"/>
    <s v="0.00"/>
    <s v="0.00"/>
    <s v="0.00"/>
    <s v="2609.00"/>
    <s v="0.00"/>
    <s v="0"/>
    <s v="0.00"/>
    <s v="BW8K7CC35;S2605RSP3"/>
    <s v="100.00"/>
    <s v="0.00"/>
    <s v="290.00"/>
    <s v="246.00"/>
    <s v="97.00"/>
    <s v="7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300 新竹市東區埔頂三路38號29樓之5"/>
    <s v="****"/>
    <s v="0928000888,39317481#1"/>
    <s v=""/>
    <s v="新竹市"/>
    <s v="東區"/>
    <s v="300"/>
    <s v="陳宥君"/>
    <s v="賣家宅配：大型/超重物品運送"/>
    <s v=""/>
    <s v=""/>
    <s v="信用卡"/>
    <s v="2026-05-06 23:59"/>
    <s v="新竹物流8179177672"/>
    <s v="2026-05-05 16:17"/>
    <m/>
    <s v="學習"/>
    <s v=""/>
    <m/>
    <s v="學習"/>
    <s v="蝦皮"/>
  </r>
  <r>
    <s v="260505KEBMNVYU"/>
    <x v="1"/>
    <s v=""/>
    <s v=""/>
    <s v="y******v"/>
    <x v="4"/>
    <s v="898.00"/>
    <s v="0.00"/>
    <s v="0.00"/>
    <s v="0.00"/>
    <s v="898.00"/>
    <s v="0.00"/>
    <s v="0"/>
    <s v="0.00"/>
    <s v="S2605RSP3;HD4BCXGXB"/>
    <s v="100.00"/>
    <s v="0.00"/>
    <s v="200.00"/>
    <s v="93.00"/>
    <s v="43.00"/>
    <s v="27.00"/>
    <s v="0"/>
    <s v="2.50%"/>
    <s v=""/>
    <x v="3"/>
    <s v="29672846571"/>
    <s v="(加購)巧虎手偶 $199"/>
    <s v="355543703692"/>
    <s v="29672846571_355543703692"/>
    <n v="1599"/>
    <n v="1198"/>
    <x v="3"/>
    <s v="20250FXBN"/>
    <n v="1"/>
    <s v="0"/>
    <s v="N"/>
    <s v="-"/>
    <s v="324 桃園市平鎮區德育路二段104巷22號5樓"/>
    <s v="****"/>
    <s v="0928000888,97602540#1"/>
    <s v=""/>
    <s v="桃園市"/>
    <s v="平鎮區"/>
    <s v="324"/>
    <s v="黃鈺欣"/>
    <s v="賣家宅配：大型/超重物品運送"/>
    <s v=""/>
    <s v=""/>
    <s v="信用卡"/>
    <s v="2026-05-06 23:59"/>
    <s v="新竹物流8179179374"/>
    <s v="2026-05-05 16:18"/>
    <m/>
    <s v="周邊商品"/>
    <s v=""/>
    <m/>
    <s v="學習周邊"/>
    <s v="蝦皮"/>
  </r>
  <r>
    <s v="260505KEG1UKUX"/>
    <x v="1"/>
    <s v=""/>
    <s v=""/>
    <s v="j******a"/>
    <x v="4"/>
    <s v="2069.00"/>
    <s v="0.00"/>
    <s v="0.00"/>
    <s v="0.00"/>
    <s v="2069.00"/>
    <s v="0.00"/>
    <s v="0"/>
    <s v="0.00"/>
    <s v="S2605RSP3;BW8K7CC35"/>
    <s v="100.00"/>
    <s v="0.00"/>
    <s v="23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112 臺北市北投區立功街80巷1號2樓"/>
    <s v="****"/>
    <s v="0928000888,83137137#1"/>
    <s v=""/>
    <s v="臺北市"/>
    <s v="北投區"/>
    <s v="112"/>
    <s v="馬郁涵"/>
    <s v="賣家宅配：大型/超重物品運送"/>
    <s v=""/>
    <s v=""/>
    <s v="信用卡"/>
    <s v="2026-05-06 23:59"/>
    <s v="新竹物流8179178092"/>
    <s v="2026-05-05 16:21"/>
    <m/>
    <s v="學習"/>
    <s v=""/>
    <m/>
    <s v="學習"/>
    <s v="蝦皮"/>
  </r>
  <r>
    <s v="260505KEUF52W9"/>
    <x v="1"/>
    <s v=""/>
    <s v=""/>
    <s v="k******8"/>
    <x v="4"/>
    <s v="3779.00"/>
    <s v="0.00"/>
    <s v="0.00"/>
    <s v="0.00"/>
    <s v="3779.00"/>
    <s v="0.00"/>
    <s v="0"/>
    <s v="0.00"/>
    <s v="BW8K7CC35;BENE100"/>
    <s v="100.00"/>
    <s v="0.00"/>
    <s v="420.00"/>
    <s v="357.00"/>
    <s v="136.00"/>
    <s v="105.00"/>
    <s v="3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744 臺南市新市區三舍里復興路700巷18號706室（耀群科技旁邊的庭院住宅706室）"/>
    <s v="****"/>
    <s v="0928000888,14848144#1"/>
    <s v=""/>
    <s v="臺南市"/>
    <s v="新市區"/>
    <s v="744"/>
    <s v="廖文綾"/>
    <s v="賣家宅配：大型/超重物品運送"/>
    <s v=""/>
    <s v=""/>
    <s v="信用卡分期付款"/>
    <s v="2026-05-06 23:59"/>
    <s v="新竹物流8179179492"/>
    <s v="2026-05-05 16:27"/>
    <m/>
    <s v="學習"/>
    <s v=""/>
    <m/>
    <s v="學習"/>
    <s v="蝦皮"/>
  </r>
  <r>
    <s v="260505KFMNVHD5"/>
    <x v="1"/>
    <s v=""/>
    <s v=""/>
    <s v="w******6"/>
    <x v="4"/>
    <s v="9089.00"/>
    <s v="0.00"/>
    <s v="0.00"/>
    <s v="0.00"/>
    <s v="9089.00"/>
    <s v="0.00"/>
    <s v="0"/>
    <s v="0.00"/>
    <s v="S2605RSP3;BW8K7CC35"/>
    <s v="100.00"/>
    <s v="0.00"/>
    <s v="1010.00"/>
    <s v="858.00"/>
    <s v="313.00"/>
    <s v="252.00"/>
    <s v="0"/>
    <s v="2.50%"/>
    <s v=""/>
    <x v="12"/>
    <s v="28255058293"/>
    <s v="(單購)"/>
    <s v="390543676089"/>
    <s v="28255058293_390543676089"/>
    <n v="6000"/>
    <n v="4800"/>
    <x v="13"/>
    <s v="20230MY00"/>
    <n v="1"/>
    <s v="0"/>
    <s v="N"/>
    <s v="-"/>
    <s v="407 臺中市西屯區福中15街15巷29號"/>
    <s v="****"/>
    <s v="0928000888,56377424#1"/>
    <s v=""/>
    <s v="臺中市"/>
    <s v="西屯區"/>
    <s v="407"/>
    <s v="阮婷妤"/>
    <s v="賣家宅配：大型/超重物品運送"/>
    <s v=""/>
    <s v=""/>
    <s v="信用卡"/>
    <s v="2026-05-06 23:59"/>
    <s v="新竹物流8179179142"/>
    <s v="2026-05-05 16:41"/>
    <m/>
    <s v="學習"/>
    <s v=""/>
    <m/>
    <s v="學習"/>
    <s v="蝦皮"/>
  </r>
  <r>
    <s v="260505KFMNVHD5"/>
    <x v="1"/>
    <s v=""/>
    <s v=""/>
    <s v="w******6"/>
    <x v="4"/>
    <s v="9089.00"/>
    <s v="0.00"/>
    <s v="0.00"/>
    <s v="0.00"/>
    <s v="9089.00"/>
    <s v="0.00"/>
    <s v="0"/>
    <s v="0.00"/>
    <s v="S2605RSP3;BW8K7CC35"/>
    <s v="100.00"/>
    <s v="0.00"/>
    <s v="1010.00"/>
    <s v="858.00"/>
    <s v="313.00"/>
    <s v="2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407 臺中市西屯區福中15街15巷29號"/>
    <s v="****"/>
    <s v="0928000888,56377424#1"/>
    <s v=""/>
    <s v="臺中市"/>
    <s v="西屯區"/>
    <s v="407"/>
    <s v="阮婷妤"/>
    <s v="賣家宅配：大型/超重物品運送"/>
    <s v=""/>
    <s v=""/>
    <s v="信用卡"/>
    <s v="2026-05-06 23:59"/>
    <s v="新竹物流8179179142"/>
    <s v="2026-05-05 16:41"/>
    <m/>
    <s v="學習"/>
    <s v=""/>
    <m/>
    <s v="學習"/>
    <s v="蝦皮"/>
  </r>
  <r>
    <s v="260505KFMNVHD5"/>
    <x v="1"/>
    <s v=""/>
    <s v=""/>
    <s v="w******6"/>
    <x v="4"/>
    <s v="9089.00"/>
    <s v="0.00"/>
    <s v="0.00"/>
    <s v="0.00"/>
    <s v="9089.00"/>
    <s v="0.00"/>
    <s v="0"/>
    <s v="0.00"/>
    <s v="S2605RSP3;BW8K7CC35"/>
    <s v="100.00"/>
    <s v="0.00"/>
    <s v="1010.00"/>
    <s v="858.00"/>
    <s v="313.00"/>
    <s v="252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407 臺中市西屯區福中15街15巷29號"/>
    <s v="****"/>
    <s v="0928000888,56377424#1"/>
    <s v=""/>
    <s v="臺中市"/>
    <s v="西屯區"/>
    <s v="407"/>
    <s v="阮婷妤"/>
    <s v="賣家宅配：大型/超重物品運送"/>
    <s v=""/>
    <s v=""/>
    <s v="信用卡"/>
    <s v="2026-05-06 23:59"/>
    <s v="新竹物流8179179142"/>
    <s v="2026-05-05 16:41"/>
    <m/>
    <s v="學習"/>
    <s v=""/>
    <m/>
    <s v="學習"/>
    <s v="蝦皮"/>
  </r>
  <r>
    <s v="260505KFUUT71G"/>
    <x v="1"/>
    <s v=""/>
    <s v=""/>
    <s v="p******f"/>
    <x v="4"/>
    <s v="2862.00"/>
    <s v="0.00"/>
    <s v="0.00"/>
    <s v="0.00"/>
    <s v="2862.00"/>
    <s v="0.00"/>
    <s v="0"/>
    <s v="0.00"/>
    <s v="SVC-1409016320524312;BW8K7CC35"/>
    <s v="20.00"/>
    <s v="0.00"/>
    <s v="318.00"/>
    <s v="270.00"/>
    <s v="105.00"/>
    <s v="80.00"/>
    <s v="0"/>
    <s v="2.50%"/>
    <s v=""/>
    <x v="21"/>
    <s v="28215382311"/>
    <s v="(單購)"/>
    <s v="440877363278"/>
    <s v="28215382311_440877363278"/>
    <n v="4000"/>
    <n v="3200"/>
    <x v="21"/>
    <s v="20240FM00"/>
    <n v="1"/>
    <s v="0"/>
    <s v="N"/>
    <s v="-"/>
    <s v="412 臺中市大里區草堤路311巷1號"/>
    <s v="****"/>
    <s v="0928000888,90063164#1"/>
    <s v=""/>
    <s v="臺中市"/>
    <s v="大里區"/>
    <s v="412"/>
    <s v="施懿庭"/>
    <s v="賣家宅配：大型/超重物品運送"/>
    <s v=""/>
    <s v=""/>
    <s v="信用卡"/>
    <s v="2026-05-06 23:59"/>
    <s v="新竹物流8179179013"/>
    <s v="2026-05-05 16:46"/>
    <m/>
    <s v="學習"/>
    <s v=""/>
    <m/>
    <s v="學習"/>
    <s v="蝦皮"/>
  </r>
  <r>
    <s v="260505KG65QBWB"/>
    <x v="1"/>
    <s v=""/>
    <s v=""/>
    <s v="i***c"/>
    <x v="4"/>
    <s v="5299.00"/>
    <s v="0.00"/>
    <s v="0.00"/>
    <s v="0.00"/>
    <s v="5299.00"/>
    <s v="0.00"/>
    <s v="10"/>
    <s v="0.00"/>
    <s v="BW8K7CC35;S2605RSP3"/>
    <s v="100.00"/>
    <s v="0.00"/>
    <s v="590.00"/>
    <s v="501.00"/>
    <s v="187.00"/>
    <s v="147.00"/>
    <s v="3"/>
    <s v="2.50%"/>
    <s v=""/>
    <x v="27"/>
    <s v="27004843078"/>
    <s v="(限時合購優惠)注音套組 現省$1701"/>
    <s v="330877385408"/>
    <s v="27004843078_330877385408"/>
    <n v="9000"/>
    <n v="5999"/>
    <x v="30"/>
    <s v="20260FXAA"/>
    <n v="1"/>
    <s v="0"/>
    <s v="N"/>
    <s v="-"/>
    <s v="105 臺北市松山區八德路四段245巷32弄57號6樓"/>
    <s v="****"/>
    <s v="0928000888,79138080#1"/>
    <s v=""/>
    <s v="臺北市"/>
    <s v="松山區"/>
    <s v="105"/>
    <s v="尹禎"/>
    <s v="賣家宅配：大型/超重物品運送"/>
    <s v=""/>
    <s v=""/>
    <s v="信用卡分期付款"/>
    <s v="2026-05-06 23:59"/>
    <s v="新竹物流8179178346"/>
    <s v="2026-05-05 16:53"/>
    <m/>
    <s v="學習"/>
    <s v=""/>
    <m/>
    <s v="學習"/>
    <s v="蝦皮"/>
  </r>
  <r>
    <s v="260505KGT3QNVY"/>
    <x v="1"/>
    <s v=""/>
    <s v=""/>
    <s v="r******0"/>
    <x v="4"/>
    <s v="2543.00"/>
    <s v="0.00"/>
    <s v="0.00"/>
    <s v="0.00"/>
    <s v="2543.00"/>
    <s v="0.00"/>
    <s v="21"/>
    <s v="0.00"/>
    <s v="V7UTYZV26;BW8K7CC35"/>
    <s v="150.00"/>
    <s v="0.00"/>
    <s v="285.00"/>
    <s v="242.00"/>
    <s v="95.00"/>
    <s v="71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704 臺南市北區西門路四段273-2號11樓"/>
    <s v="****"/>
    <s v="0928000888,43802766#1"/>
    <s v=""/>
    <s v="臺南市"/>
    <s v="北區"/>
    <s v="704"/>
    <s v="李婉如"/>
    <s v="賣家宅配：大型/超重物品運送"/>
    <s v=""/>
    <s v=""/>
    <s v="信用卡"/>
    <s v="2026-05-06 23:59"/>
    <s v="新竹物流8179177661"/>
    <s v="2026-05-05 17:02"/>
    <m/>
    <s v="學習"/>
    <s v=""/>
    <m/>
    <s v="學習"/>
    <s v="蝦皮"/>
  </r>
  <r>
    <s v="260505KK83J05C"/>
    <x v="1"/>
    <s v=""/>
    <s v=""/>
    <s v="c******g"/>
    <x v="4"/>
    <s v="2069.00"/>
    <s v="0.00"/>
    <s v="0.00"/>
    <s v="0.00"/>
    <s v="2069.00"/>
    <s v="0.00"/>
    <s v="0"/>
    <s v="0.00"/>
    <s v="S2605RSP3;BW8K7CC35"/>
    <s v="100.00"/>
    <s v="0.00"/>
    <s v="23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41 新北市三重區重新路五段481號5樓之9"/>
    <s v="****"/>
    <s v="0928000888,46562294#1"/>
    <s v=""/>
    <s v="新北市"/>
    <s v="三重區"/>
    <s v="241"/>
    <s v="吳尚燁"/>
    <s v="賣家宅配：大型/超重物品運送"/>
    <s v=""/>
    <s v=""/>
    <s v="信用卡"/>
    <s v="2026-05-06 23:59"/>
    <s v="新竹物流8179178066"/>
    <s v="2026-05-05 17:46"/>
    <m/>
    <s v="學習"/>
    <s v=""/>
    <m/>
    <s v="學習"/>
    <s v="蝦皮"/>
  </r>
  <r>
    <s v="260505KMM26WSY"/>
    <x v="3"/>
    <s v="系統自動判定訂單不成立，原因 : 未收到款項"/>
    <s v=""/>
    <s v="y******3"/>
    <x v="4"/>
    <s v="2862.00"/>
    <s v="0.00"/>
    <s v="0.00"/>
    <s v="0.00"/>
    <s v="0.00"/>
    <s v="0.00"/>
    <s v="0"/>
    <s v="0.00"/>
    <s v="SVC-1409016320524312;BW8K7CC35"/>
    <s v="0.00"/>
    <s v="0.00"/>
    <s v="0.00"/>
    <s v="0.00"/>
    <s v="0.00"/>
    <s v="0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40******"/>
    <s v="****"/>
    <s v=""/>
    <s v=""/>
    <s v="臺中市"/>
    <s v="西屯區"/>
    <s v="407"/>
    <s v="劉*玲"/>
    <s v="賣家宅配：大型/超重物品運送"/>
    <s v=""/>
    <s v=""/>
    <s v="信用卡"/>
    <s v=""/>
    <s v=""/>
    <s v="-"/>
    <m/>
    <s v="學習"/>
    <s v=""/>
    <m/>
    <s v="學習"/>
    <s v="蝦皮"/>
  </r>
  <r>
    <s v="260505KPFB0BY7"/>
    <x v="1"/>
    <s v=""/>
    <s v=""/>
    <s v="j******2"/>
    <x v="4"/>
    <s v="4275.00"/>
    <s v="0.00"/>
    <s v="0.00"/>
    <s v="0.00"/>
    <s v="4275.00"/>
    <s v="0.00"/>
    <s v="0"/>
    <s v="0.00"/>
    <s v="V7UTYZV26;BW8K7CC35"/>
    <s v="150.00"/>
    <s v="0.00"/>
    <s v="475.00"/>
    <s v="404.00"/>
    <s v="153.00"/>
    <s v="119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308 新竹縣寶山鄉嵩翠路80巷22弄2號"/>
    <s v="****"/>
    <s v="0928000888,20125525#1"/>
    <s v=""/>
    <s v="新竹縣"/>
    <s v="寶山鄉"/>
    <s v="308"/>
    <s v="陳筱詩"/>
    <s v="賣家宅配：大型/超重物品運送"/>
    <s v=""/>
    <s v=""/>
    <s v="信用卡"/>
    <s v="2026-05-06 23:59"/>
    <s v="新竹物流8179179551"/>
    <s v="2026-05-05 18:43"/>
    <m/>
    <s v="學習"/>
    <s v=""/>
    <m/>
    <s v="學習"/>
    <s v="蝦皮"/>
  </r>
  <r>
    <s v="260505KR405XPF"/>
    <x v="1"/>
    <s v=""/>
    <s v=""/>
    <s v="w******1"/>
    <x v="4"/>
    <s v="2862.00"/>
    <s v="0.00"/>
    <s v="0.00"/>
    <s v="0.00"/>
    <s v="2862.00"/>
    <s v="0.00"/>
    <s v="0"/>
    <s v="0.00"/>
    <s v="BW8K7CC35;SVC-1409016320524312"/>
    <s v="20.00"/>
    <s v="0.00"/>
    <s v="318.00"/>
    <s v="270.00"/>
    <s v="105.00"/>
    <s v="80.00"/>
    <s v="0"/>
    <s v="2.50%"/>
    <s v=""/>
    <x v="21"/>
    <s v="28215382311"/>
    <s v="(單購)"/>
    <s v="440877363278"/>
    <s v="28215382311_440877363278"/>
    <n v="4000"/>
    <n v="3200"/>
    <x v="21"/>
    <s v="20240FM00"/>
    <n v="1"/>
    <s v="0"/>
    <s v="N"/>
    <s v="-"/>
    <s v="812 高雄市小港區小港區二苓路218號"/>
    <s v="****"/>
    <s v="0928000888,69058983#1"/>
    <s v=""/>
    <s v="高雄市"/>
    <s v="小港區"/>
    <s v="812"/>
    <s v="東方特調"/>
    <s v="賣家宅配：大型/超重物品運送"/>
    <s v=""/>
    <s v=""/>
    <s v="信用卡"/>
    <s v="2026-05-06 23:59"/>
    <s v="新竹物流8179179002"/>
    <s v="2026-05-05 19:13"/>
    <m/>
    <s v="學習"/>
    <s v=""/>
    <m/>
    <s v="學習"/>
    <s v="蝦皮"/>
  </r>
  <r>
    <s v="260505KRQW6V7X"/>
    <x v="1"/>
    <s v=""/>
    <s v=""/>
    <s v="m******e"/>
    <x v="4"/>
    <s v="5279.00"/>
    <s v="0.00"/>
    <s v="0.00"/>
    <s v="0.00"/>
    <s v="5279.00"/>
    <s v="0.00"/>
    <s v="30"/>
    <s v="0.00"/>
    <s v="S2605RSP3;BW8K7CC35"/>
    <s v="100.00"/>
    <s v="0.00"/>
    <s v="590.00"/>
    <s v="501.00"/>
    <s v="187.00"/>
    <s v="147.00"/>
    <s v="0"/>
    <s v="2.50%"/>
    <s v=""/>
    <x v="21"/>
    <s v="28215382311"/>
    <s v="(限時合購優惠)英語進階 現省$1701"/>
    <s v="267592015407"/>
    <s v="28215382311_267592015407"/>
    <n v="9000"/>
    <n v="5999"/>
    <x v="21"/>
    <s v="20260FXAA"/>
    <n v="1"/>
    <s v="0"/>
    <s v="N"/>
    <s v="-"/>
    <s v="300 新竹市東區東新路122號2樓"/>
    <s v="****"/>
    <s v="0928000888,01396920#1"/>
    <s v=""/>
    <s v="新竹市"/>
    <s v="東區"/>
    <s v="300"/>
    <s v="吳及仕"/>
    <s v="賣家宅配：大型/超重物品運送"/>
    <s v=""/>
    <s v=""/>
    <s v="信用卡"/>
    <s v="2026-05-06 23:59"/>
    <s v="新竹物流8179179260"/>
    <s v="2026-05-05 19:23"/>
    <m/>
    <s v="學習"/>
    <s v=""/>
    <m/>
    <s v="學習"/>
    <s v="蝦皮"/>
  </r>
  <r>
    <s v="260505KSBJNE5X"/>
    <x v="1"/>
    <s v=""/>
    <s v=""/>
    <s v="c******7"/>
    <x v="4"/>
    <s v="2508.00"/>
    <s v="0.00"/>
    <s v="0.00"/>
    <s v="0.00"/>
    <s v="2508.00"/>
    <s v="0.00"/>
    <s v="100"/>
    <s v="0.00"/>
    <s v="S2605RSP3;BW8K7CC35"/>
    <s v="100.00"/>
    <s v="0.00"/>
    <s v="290.00"/>
    <s v="246.00"/>
    <s v="97.00"/>
    <s v="72.00"/>
    <s v="0"/>
    <s v="2.50%"/>
    <s v=""/>
    <x v="1"/>
    <s v="55104898742"/>
    <s v="(加購)獅兔象語彙小火車"/>
    <s v="307431421632"/>
    <s v="55104898742_307431421632"/>
    <n v="3800"/>
    <n v="2998"/>
    <x v="14"/>
    <s v="20250FXCH"/>
    <n v="1"/>
    <s v="0"/>
    <s v="N"/>
    <s v="-"/>
    <s v="807 高雄市三民區義華路171號7樓"/>
    <s v="****"/>
    <s v="0928000888,24041618#1"/>
    <s v=""/>
    <s v="高雄市"/>
    <s v="三民區"/>
    <s v="807"/>
    <s v="王雅琪"/>
    <s v="賣家宅配：大型/超重物品運送"/>
    <s v=""/>
    <s v=""/>
    <s v="信用卡"/>
    <s v="2026-05-06 23:59"/>
    <s v="新竹物流8179179315"/>
    <s v="2026-05-05 19:35"/>
    <m/>
    <s v="學習"/>
    <s v=""/>
    <m/>
    <s v="學習"/>
    <s v="蝦皮"/>
  </r>
  <r>
    <s v="260505KSNSQEKC"/>
    <x v="1"/>
    <s v=""/>
    <s v=""/>
    <s v="k*****g"/>
    <x v="4"/>
    <s v="4768.00"/>
    <s v="0.00"/>
    <s v="0.00"/>
    <s v="0.00"/>
    <s v="4768.00"/>
    <s v="0.00"/>
    <s v="0"/>
    <s v="0.00"/>
    <s v="S2605RSP3;BW8K7CC35"/>
    <s v="100.00"/>
    <s v="0.00"/>
    <s v="530.00"/>
    <s v="450.00"/>
    <s v="169.00"/>
    <s v="13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328 桃園市觀音區忠愛路一段240號"/>
    <s v="****"/>
    <s v="0928000888,99533582#1"/>
    <s v=""/>
    <s v="桃園市"/>
    <s v="觀音區"/>
    <s v="328"/>
    <s v="黃郁晴"/>
    <s v="賣家宅配：大型/超重物品運送"/>
    <s v=""/>
    <s v=""/>
    <s v="信用卡"/>
    <s v="2026-05-06 23:59"/>
    <s v="新竹物流8179179223"/>
    <s v="2026-05-05 19:40"/>
    <m/>
    <s v="學習"/>
    <s v=""/>
    <m/>
    <s v="學習"/>
    <s v="蝦皮"/>
  </r>
  <r>
    <s v="260505KSNSQEKC"/>
    <x v="1"/>
    <s v=""/>
    <s v=""/>
    <s v="k*****g"/>
    <x v="4"/>
    <s v="4768.00"/>
    <s v="0.00"/>
    <s v="0.00"/>
    <s v="0.00"/>
    <s v="4768.00"/>
    <s v="0.00"/>
    <s v="0"/>
    <s v="0.00"/>
    <s v="S2605RSP3;BW8K7CC35"/>
    <s v="100.00"/>
    <s v="0.00"/>
    <s v="530.00"/>
    <s v="450.00"/>
    <s v="169.00"/>
    <s v="132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28 桃園市觀音區忠愛路一段240號"/>
    <s v="****"/>
    <s v="0928000888,99533582#1"/>
    <s v=""/>
    <s v="桃園市"/>
    <s v="觀音區"/>
    <s v="328"/>
    <s v="黃郁晴"/>
    <s v="賣家宅配：大型/超重物品運送"/>
    <s v=""/>
    <s v=""/>
    <s v="信用卡"/>
    <s v="2026-05-06 23:59"/>
    <s v="新竹物流8179179223"/>
    <s v="2026-05-05 19:40"/>
    <m/>
    <s v="學習"/>
    <s v=""/>
    <m/>
    <s v="學習"/>
    <s v="蝦皮"/>
  </r>
  <r>
    <s v="260505KSWCXQBG"/>
    <x v="1"/>
    <s v=""/>
    <s v=""/>
    <s v="k****1"/>
    <x v="4"/>
    <s v="959.00"/>
    <s v="0.00"/>
    <s v="0.00"/>
    <s v="0.00"/>
    <s v="959.00"/>
    <s v="0.00"/>
    <s v="0"/>
    <s v="0.00"/>
    <s v="SVC-1409016320524312;DXQRUU93M"/>
    <s v="20.00"/>
    <s v="0.00"/>
    <s v="20.00"/>
    <s v="83.00"/>
    <s v="39.00"/>
    <s v="24.00"/>
    <s v="0"/>
    <s v="2.50%"/>
    <s v=""/>
    <x v="3"/>
    <s v="29672846571"/>
    <s v="(單購)"/>
    <s v="385265149350"/>
    <s v="29672846571_385265149350"/>
    <n v="1300"/>
    <n v="999"/>
    <x v="3"/>
    <s v="20240FB00"/>
    <n v="1"/>
    <s v="0"/>
    <s v="N"/>
    <s v="-"/>
    <s v="324 桃園市平鎮區大連街122號14樓"/>
    <s v="****"/>
    <s v="0928000888,72822890#1"/>
    <s v=""/>
    <s v="桃園市"/>
    <s v="平鎮區"/>
    <s v="324"/>
    <s v="紀潔"/>
    <s v="賣家宅配：大型/超重物品運送"/>
    <s v=""/>
    <s v=""/>
    <s v="信用卡"/>
    <s v="2026-05-06 23:59"/>
    <s v="新竹物流8179178980"/>
    <s v="2026-05-05 19:45"/>
    <m/>
    <s v="周邊商品"/>
    <s v=""/>
    <m/>
    <s v="學習周邊"/>
    <s v="蝦皮"/>
  </r>
  <r>
    <s v="260505KTBXBQVJ"/>
    <x v="1"/>
    <s v=""/>
    <s v=""/>
    <s v="c******e"/>
    <x v="4"/>
    <s v="4047.00"/>
    <s v="0.00"/>
    <s v="0.00"/>
    <s v="0.00"/>
    <s v="4047.00"/>
    <s v="0.00"/>
    <s v="541"/>
    <s v="0.00"/>
    <s v="S2605RSP3;BW8K7CC35"/>
    <s v="100.00"/>
    <s v="0.00"/>
    <s v="510.00"/>
    <s v="433.00"/>
    <s v="163.00"/>
    <s v="127.00"/>
    <s v="0"/>
    <s v="2.50%"/>
    <s v=""/>
    <x v="18"/>
    <s v="28604287513"/>
    <s v=""/>
    <s v="256123210658"/>
    <s v="28604287513_256123210658"/>
    <n v="300"/>
    <n v="200"/>
    <x v="17"/>
    <s v="20211C608"/>
    <n v="1"/>
    <s v="0"/>
    <s v="N"/>
    <s v="-"/>
    <s v="238 新北市樹林區大義路8號5樓（哲里）"/>
    <s v="****"/>
    <s v="0928000888,37887342#1"/>
    <s v=""/>
    <s v="新北市"/>
    <s v="樹林區"/>
    <s v="238"/>
    <s v="王宏銘"/>
    <s v="賣家宅配：大型/超重物品運送"/>
    <s v=""/>
    <s v=""/>
    <s v="信用卡"/>
    <s v="2026-05-06 23:59"/>
    <s v="新竹物流8179179175"/>
    <s v="2026-05-05 19:53"/>
    <m/>
    <s v="周邊商品"/>
    <s v=""/>
    <m/>
    <s v="學習周邊"/>
    <s v="蝦皮"/>
  </r>
  <r>
    <s v="260505KTBXBQVJ"/>
    <x v="1"/>
    <s v=""/>
    <s v=""/>
    <s v="c******e"/>
    <x v="4"/>
    <s v="4047.00"/>
    <s v="0.00"/>
    <s v="0.00"/>
    <s v="0.00"/>
    <s v="4047.00"/>
    <s v="0.00"/>
    <s v="541"/>
    <s v="0.00"/>
    <s v="S2605RSP3;BW8K7CC35"/>
    <s v="100.00"/>
    <s v="0.00"/>
    <s v="510.00"/>
    <s v="433.00"/>
    <s v="163.00"/>
    <s v="127.00"/>
    <s v="0"/>
    <s v="2.50%"/>
    <s v=""/>
    <x v="11"/>
    <s v="29710271443"/>
    <s v="(加購)專心吃飯立體書套組"/>
    <s v="301830926959"/>
    <s v="29710271443_301830926959"/>
    <n v="6199"/>
    <n v="4998"/>
    <x v="34"/>
    <s v="20250FXAJ"/>
    <n v="1"/>
    <s v="0"/>
    <s v="N"/>
    <s v="-"/>
    <s v="238 新北市樹林區大義路8號5樓（哲里）"/>
    <s v="****"/>
    <s v="0928000888,37887342#1"/>
    <s v=""/>
    <s v="新北市"/>
    <s v="樹林區"/>
    <s v="238"/>
    <s v="王宏銘"/>
    <s v="賣家宅配：大型/超重物品運送"/>
    <s v=""/>
    <s v=""/>
    <s v="信用卡"/>
    <s v="2026-05-06 23:59"/>
    <s v="新竹物流8179179175"/>
    <s v="2026-05-05 19:53"/>
    <m/>
    <s v="學習"/>
    <s v=""/>
    <m/>
    <s v="學習"/>
    <s v="蝦皮"/>
  </r>
  <r>
    <s v="260505KU5NBQWA"/>
    <x v="1"/>
    <s v=""/>
    <s v=""/>
    <s v="a******2"/>
    <x v="4"/>
    <s v="4048.00"/>
    <s v="0.00"/>
    <s v="0.00"/>
    <s v="0.00"/>
    <s v="4048.00"/>
    <s v="0.00"/>
    <s v="0"/>
    <s v="0.00"/>
    <s v="BENE100;BW8K7CC35"/>
    <s v="100.00"/>
    <s v="0.00"/>
    <s v="450.00"/>
    <s v="382.00"/>
    <s v="145.00"/>
    <s v="112.00"/>
    <s v="0"/>
    <s v="2.50%"/>
    <s v=""/>
    <x v="22"/>
    <s v="26604288508"/>
    <s v="紅"/>
    <s v="256125312895"/>
    <s v="26604288508_256125312895"/>
    <n v="499"/>
    <n v="299"/>
    <x v="22"/>
    <s v="20230EA00"/>
    <n v="1"/>
    <s v="0"/>
    <s v="N"/>
    <s v="-"/>
    <s v="807 高雄市三民區鼎貴路62巷5弄3號"/>
    <s v="****"/>
    <s v="0928000888,74716055#1"/>
    <s v=""/>
    <s v="高雄市"/>
    <s v="三民區"/>
    <s v="807"/>
    <s v="林怡均"/>
    <s v="賣家宅配：大型/超重物品運送"/>
    <s v=""/>
    <s v=""/>
    <s v="信用卡"/>
    <s v="2026-05-06 23:59"/>
    <s v="新竹物流8179179503"/>
    <s v="2026-05-05 20:07"/>
    <m/>
    <s v="周邊商品"/>
    <s v=""/>
    <m/>
    <s v="生活周邊"/>
    <s v="蝦皮"/>
  </r>
  <r>
    <s v="260505KU5NBQWA"/>
    <x v="1"/>
    <s v=""/>
    <s v=""/>
    <s v="a******2"/>
    <x v="4"/>
    <s v="4048.00"/>
    <s v="0.00"/>
    <s v="0.00"/>
    <s v="0.00"/>
    <s v="4048.00"/>
    <s v="0.00"/>
    <s v="0"/>
    <s v="0.00"/>
    <s v="BENE100;BW8K7CC35"/>
    <s v="100.00"/>
    <s v="0.00"/>
    <s v="450.00"/>
    <s v="382.00"/>
    <s v="145.00"/>
    <s v="112.00"/>
    <s v="0"/>
    <s v="2.50%"/>
    <s v=""/>
    <x v="11"/>
    <s v="29710271443"/>
    <s v="(單套)"/>
    <s v="187914014572"/>
    <s v="29710271443_187914014572"/>
    <n v="5500"/>
    <n v="4299"/>
    <x v="12"/>
    <s v="20240FA00"/>
    <n v="1"/>
    <s v="0"/>
    <s v="N"/>
    <s v="-"/>
    <s v="807 高雄市三民區鼎貴路62巷5弄3號"/>
    <s v="****"/>
    <s v="0928000888,74716055#1"/>
    <s v=""/>
    <s v="高雄市"/>
    <s v="三民區"/>
    <s v="807"/>
    <s v="林怡均"/>
    <s v="賣家宅配：大型/超重物品運送"/>
    <s v=""/>
    <s v=""/>
    <s v="信用卡"/>
    <s v="2026-05-06 23:59"/>
    <s v="新竹物流8179179503"/>
    <s v="2026-05-05 20:07"/>
    <m/>
    <s v="學習"/>
    <s v=""/>
    <m/>
    <s v="學習"/>
    <s v="蝦皮"/>
  </r>
  <r>
    <s v="260505KUJFDNBA"/>
    <x v="1"/>
    <s v=""/>
    <s v=""/>
    <s v="b******6"/>
    <x v="4"/>
    <s v="2069.00"/>
    <s v="0.00"/>
    <s v="0.00"/>
    <s v="0.00"/>
    <s v="2069.00"/>
    <s v="0.00"/>
    <s v="0"/>
    <s v="0.00"/>
    <s v="S2605RSP3;BW8K7CC35"/>
    <s v="100.00"/>
    <s v="0.00"/>
    <s v="23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44 新北市林口區民族路128號18樓"/>
    <s v="****"/>
    <s v="0928000888,34544455#1"/>
    <s v=""/>
    <s v="新北市"/>
    <s v="林口區"/>
    <s v="244"/>
    <s v="陳一晴"/>
    <s v="賣家宅配：大型/超重物品運送"/>
    <s v=""/>
    <s v=""/>
    <s v="信用卡"/>
    <s v="2026-05-06 23:59"/>
    <s v="新竹物流8179178044"/>
    <s v="2026-05-05 20:15"/>
    <m/>
    <s v="學習"/>
    <s v=""/>
    <m/>
    <s v="學習"/>
    <s v="蝦皮"/>
  </r>
  <r>
    <s v="260505KUVY688V"/>
    <x v="1"/>
    <s v=""/>
    <s v=""/>
    <s v="s******5"/>
    <x v="4"/>
    <s v="383.00"/>
    <s v="0.00"/>
    <s v="0.00"/>
    <s v="0.00"/>
    <s v="383.00"/>
    <s v="0.00"/>
    <s v="126"/>
    <s v="0.00"/>
    <s v=""/>
    <s v="0.00"/>
    <s v="0.00"/>
    <s v="0.00"/>
    <s v="43.00"/>
    <s v="25.00"/>
    <s v="13.00"/>
    <s v="0"/>
    <s v="2.50%"/>
    <s v=""/>
    <x v="23"/>
    <s v="24735289975"/>
    <s v=""/>
    <s v="251469945373"/>
    <s v="24735289975_251469945373"/>
    <n v="320"/>
    <n v="210"/>
    <x v="23"/>
    <s v="20191C710"/>
    <n v="1"/>
    <s v="0"/>
    <s v="N"/>
    <s v="-"/>
    <s v="103 臺北市大同區承德路二段81號14樓（崇源建設）"/>
    <s v="****"/>
    <s v="0928000888,53990626#1"/>
    <s v=""/>
    <s v="臺北市"/>
    <s v="大同區"/>
    <s v="103"/>
    <s v="李柏佑"/>
    <s v="賣家宅配：大型/超重物品運送"/>
    <s v=""/>
    <s v=""/>
    <s v="信用卡"/>
    <s v="2026-05-06 23:59"/>
    <s v="新竹物流8179178265"/>
    <s v="2026-05-05 20:20"/>
    <m/>
    <s v="周邊商品"/>
    <s v=""/>
    <m/>
    <s v="學習周邊"/>
    <s v="蝦皮"/>
  </r>
  <r>
    <s v="260505KUVY688V"/>
    <x v="1"/>
    <s v=""/>
    <s v=""/>
    <s v="s******5"/>
    <x v="4"/>
    <s v="383.00"/>
    <s v="0.00"/>
    <s v="0.00"/>
    <s v="0.00"/>
    <s v="383.00"/>
    <s v="0.00"/>
    <s v="126"/>
    <s v="0.00"/>
    <s v=""/>
    <s v="0.00"/>
    <s v="0.00"/>
    <s v="0.00"/>
    <s v="43.00"/>
    <s v="25.00"/>
    <s v="13.00"/>
    <s v="0"/>
    <s v="2.50%"/>
    <s v=""/>
    <x v="14"/>
    <s v="28157944827"/>
    <s v="單購"/>
    <s v="276894603061"/>
    <s v="28157944827_276894603061"/>
    <n v="399"/>
    <n v="299"/>
    <x v="16"/>
    <s v="20250FXAM"/>
    <n v="1"/>
    <s v="0"/>
    <s v="N"/>
    <s v="-"/>
    <s v="103 臺北市大同區承德路二段81號14樓（崇源建設）"/>
    <s v="****"/>
    <s v="0928000888,53990626#1"/>
    <s v=""/>
    <s v="臺北市"/>
    <s v="大同區"/>
    <s v="103"/>
    <s v="李柏佑"/>
    <s v="賣家宅配：大型/超重物品運送"/>
    <s v=""/>
    <s v=""/>
    <s v="信用卡"/>
    <s v="2026-05-06 23:59"/>
    <s v="新竹物流8179178265"/>
    <s v="2026-05-05 20:20"/>
    <m/>
    <s v="周邊商品"/>
    <s v=""/>
    <m/>
    <s v="學習周邊"/>
    <s v="蝦皮"/>
  </r>
  <r>
    <s v="260505KV88KEM7"/>
    <x v="1"/>
    <s v=""/>
    <s v=""/>
    <s v="m****u"/>
    <x v="4"/>
    <s v="2862.00"/>
    <s v="0.00"/>
    <s v="0.00"/>
    <s v="0.00"/>
    <s v="2862.00"/>
    <s v="0.00"/>
    <s v="0"/>
    <s v="0.00"/>
    <s v="SVC-1409016320524312;BW8K7CC35"/>
    <s v="20.00"/>
    <s v="0.00"/>
    <s v="318.00"/>
    <s v="270.00"/>
    <s v="105.00"/>
    <s v="80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744 臺南市新市區綠園二街8號3樓之一"/>
    <s v="****"/>
    <s v="0928000888,14085639#1"/>
    <s v=""/>
    <s v="臺南市"/>
    <s v="新市區"/>
    <s v="744"/>
    <s v="廖豪偉"/>
    <s v="賣家宅配：大型/超重物品運送"/>
    <s v=""/>
    <s v=""/>
    <s v="信用卡"/>
    <s v="2026-05-06 23:59"/>
    <s v="新竹物流8179179083"/>
    <s v="2026-05-05 20:27"/>
    <m/>
    <s v="學習"/>
    <s v=""/>
    <m/>
    <s v="學習"/>
    <s v="蝦皮"/>
  </r>
  <r>
    <s v="260505KXKW1XQN"/>
    <x v="1"/>
    <s v=""/>
    <s v=""/>
    <s v="s****y"/>
    <x v="4"/>
    <s v="2024.00"/>
    <s v="0.00"/>
    <s v="0.00"/>
    <s v="0.00"/>
    <s v="2024.00"/>
    <s v="0.00"/>
    <s v="0"/>
    <s v="0.00"/>
    <s v="V7UTYZV26;BW8K7CC35"/>
    <s v="150.00"/>
    <s v="0.00"/>
    <s v="225.00"/>
    <s v="191.00"/>
    <s v="77.00"/>
    <s v="56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44 新北市林口區文化三路一段617巷65號6樓"/>
    <s v="****"/>
    <s v="0928000888,44986556#1"/>
    <s v=""/>
    <s v="新北市"/>
    <s v="林口區"/>
    <s v="244"/>
    <s v="張柏奇"/>
    <s v="賣家宅配：大型/超重物品運送"/>
    <s v=""/>
    <s v=""/>
    <s v="信用卡"/>
    <s v="2026-05-06 23:59"/>
    <s v="新竹物流8179178022"/>
    <s v="2026-05-05 21:09"/>
    <m/>
    <s v="學習"/>
    <s v=""/>
    <m/>
    <s v="學習"/>
    <s v="蝦皮"/>
  </r>
  <r>
    <s v="260505KY4CDGGE"/>
    <x v="1"/>
    <s v=""/>
    <s v=""/>
    <s v="c******h"/>
    <x v="4"/>
    <s v="1889.00"/>
    <s v="0.00"/>
    <s v="0.00"/>
    <s v="0.00"/>
    <s v="1889.00"/>
    <s v="0.00"/>
    <s v="0"/>
    <s v="0.00"/>
    <s v="S2605RSP3;BW8K7CC35"/>
    <s v="100.00"/>
    <s v="0.00"/>
    <s v="210.00"/>
    <s v="178.00"/>
    <s v="73.00"/>
    <s v="52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220 新北市板橋區文化路一段366號37樓之2"/>
    <s v="****"/>
    <s v="0928000888,33831170#1"/>
    <s v=""/>
    <s v="新北市"/>
    <s v="板橋區"/>
    <s v="220"/>
    <s v="謝宜杉"/>
    <s v="賣家宅配：大型/超重物品運送"/>
    <s v=""/>
    <s v=""/>
    <s v="信用卡"/>
    <s v="2026-05-06 23:59"/>
    <s v="新竹物流8179179536"/>
    <s v="2026-05-05 21:20"/>
    <m/>
    <s v="學習"/>
    <s v=""/>
    <m/>
    <s v="學習"/>
    <s v="蝦皮"/>
  </r>
  <r>
    <s v="260505KYFWFE22"/>
    <x v="1"/>
    <s v=""/>
    <s v=""/>
    <s v="c******1"/>
    <x v="4"/>
    <s v="2033.00"/>
    <s v="0.00"/>
    <s v="0.00"/>
    <s v="0.00"/>
    <s v="2033.00"/>
    <s v="0.00"/>
    <s v="0"/>
    <s v="0.00"/>
    <s v="V7UTYZV26;BW8K7CC35"/>
    <s v="150.00"/>
    <s v="0.00"/>
    <s v="226.00"/>
    <s v="192.00"/>
    <s v="78.00"/>
    <s v="56.00"/>
    <s v="0"/>
    <s v="2.50%"/>
    <s v=""/>
    <x v="23"/>
    <s v="24735289975"/>
    <s v=""/>
    <s v="251469945373"/>
    <s v="24735289975_251469945373"/>
    <n v="320"/>
    <n v="210"/>
    <x v="23"/>
    <s v="20191C710"/>
    <n v="1"/>
    <s v="0"/>
    <s v="N"/>
    <s v="-"/>
    <s v="420 臺中市豐原區三民路190巷2-1號"/>
    <s v="****"/>
    <s v="0928000888,00266816#1"/>
    <s v=""/>
    <s v="臺中市"/>
    <s v="豐原區"/>
    <s v="420"/>
    <s v="吳怡亞"/>
    <s v="賣家宅配：大型/超重物品運送"/>
    <s v=""/>
    <s v=""/>
    <s v="信用卡"/>
    <s v="2026-05-06 23:59"/>
    <s v="新竹物流8179179514"/>
    <s v="2026-05-05 21:25"/>
    <m/>
    <s v="周邊商品"/>
    <s v=""/>
    <m/>
    <s v="學習周邊"/>
    <s v="蝦皮"/>
  </r>
  <r>
    <s v="260505KYFWFE22"/>
    <x v="1"/>
    <s v=""/>
    <s v=""/>
    <s v="c******1"/>
    <x v="4"/>
    <s v="2033.00"/>
    <s v="0.00"/>
    <s v="0.00"/>
    <s v="0.00"/>
    <s v="2033.00"/>
    <s v="0.00"/>
    <s v="0"/>
    <s v="0.00"/>
    <s v="V7UTYZV26;BW8K7CC35"/>
    <s v="150.00"/>
    <s v="0.00"/>
    <s v="226.00"/>
    <s v="192.00"/>
    <s v="78.00"/>
    <s v="56.00"/>
    <s v="0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420 臺中市豐原區三民路190巷2-1號"/>
    <s v="****"/>
    <s v="0928000888,00266816#1"/>
    <s v=""/>
    <s v="臺中市"/>
    <s v="豐原區"/>
    <s v="420"/>
    <s v="吳怡亞"/>
    <s v="賣家宅配：大型/超重物品運送"/>
    <s v=""/>
    <s v=""/>
    <s v="信用卡"/>
    <s v="2026-05-06 23:59"/>
    <s v="新竹物流8179179514"/>
    <s v="2026-05-05 21:25"/>
    <m/>
    <s v="學習"/>
    <s v=""/>
    <m/>
    <s v="學習"/>
    <s v="蝦皮"/>
  </r>
  <r>
    <s v="260505KYKPMF7Y"/>
    <x v="1"/>
    <s v=""/>
    <s v=""/>
    <s v="y******3"/>
    <x v="4"/>
    <s v="2862.00"/>
    <s v="0.00"/>
    <s v="0.00"/>
    <s v="0.00"/>
    <s v="2862.00"/>
    <s v="0.00"/>
    <s v="0"/>
    <s v="0.00"/>
    <s v="SVC-1409016320524312;BW8K7CC35"/>
    <s v="20.00"/>
    <s v="0.00"/>
    <s v="318.00"/>
    <s v="270.00"/>
    <s v="105.00"/>
    <s v="80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407 臺中市西屯區國安一路235巷9號8樓之3"/>
    <s v="****"/>
    <s v="0928000888,99649992#1"/>
    <s v=""/>
    <s v="臺中市"/>
    <s v="西屯區"/>
    <s v="407"/>
    <s v="劉怡玲"/>
    <s v="賣家宅配：大型/超重物品運送"/>
    <s v=""/>
    <s v=""/>
    <s v="信用卡"/>
    <s v="2026-05-06 23:59"/>
    <s v="新竹物流8179179072"/>
    <s v="2026-05-05 21:28"/>
    <m/>
    <s v="學習"/>
    <s v=""/>
    <m/>
    <s v="學習"/>
    <s v="蝦皮"/>
  </r>
  <r>
    <s v="260505KYQ9YN0P"/>
    <x v="1"/>
    <s v=""/>
    <s v=""/>
    <s v="l******1"/>
    <x v="4"/>
    <s v="2609.00"/>
    <s v="0.00"/>
    <s v="0.00"/>
    <s v="0.00"/>
    <s v="2609.00"/>
    <s v="0.00"/>
    <s v="0"/>
    <s v="0.00"/>
    <s v="BW8K7CC35;S2605RSP3"/>
    <s v="100.00"/>
    <s v="0.00"/>
    <s v="290.00"/>
    <s v="246.00"/>
    <s v="97.00"/>
    <s v="7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411 臺中市太平區新興一街7號4樓之6"/>
    <s v="****"/>
    <s v="0928000888,14395222#1"/>
    <s v=""/>
    <s v="臺中市"/>
    <s v="太平區"/>
    <s v="411"/>
    <s v="張敏瑜"/>
    <s v="賣家宅配：大型/超重物品運送"/>
    <s v=""/>
    <s v=""/>
    <s v="信用卡"/>
    <s v="2026-05-06 23:59"/>
    <s v="新竹物流8179177731"/>
    <s v="2026-05-05 21:28"/>
    <m/>
    <s v="學習"/>
    <s v=""/>
    <m/>
    <s v="學習"/>
    <s v="蝦皮"/>
  </r>
  <r>
    <s v="260505KYWN4AFH"/>
    <x v="1"/>
    <s v=""/>
    <s v=""/>
    <s v="w******7"/>
    <x v="4"/>
    <s v="2141.00"/>
    <s v="0.00"/>
    <s v="0.00"/>
    <s v="0.00"/>
    <s v="2141.00"/>
    <s v="0.00"/>
    <s v="0"/>
    <s v="0.00"/>
    <s v="SVC-1409016320524312;BW8K7CC35"/>
    <s v="20.00"/>
    <s v="0.00"/>
    <s v="238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24 桃園市平鎮區環南路186巷40號"/>
    <s v="****"/>
    <s v="0928000888,10299227#1"/>
    <s v=""/>
    <s v="桃園市"/>
    <s v="平鎮區"/>
    <s v="324"/>
    <s v="黃政智"/>
    <s v="賣家宅配：大型/超重物品運送"/>
    <s v=""/>
    <s v=""/>
    <s v="信用卡"/>
    <s v="2026-05-06 23:59"/>
    <s v="新竹物流8179178000"/>
    <s v="2026-05-05 22:50"/>
    <m/>
    <s v="學習"/>
    <s v=""/>
    <m/>
    <s v="學習"/>
    <s v="蝦皮"/>
  </r>
  <r>
    <s v="260505KYX68Q3X"/>
    <x v="1"/>
    <s v=""/>
    <s v=""/>
    <s v="c******g"/>
    <x v="4"/>
    <s v="2069.00"/>
    <s v="0.00"/>
    <s v="0.00"/>
    <s v="0.00"/>
    <s v="2069.00"/>
    <s v="0.00"/>
    <s v="0"/>
    <s v="0.00"/>
    <s v="S2605RSP3;BW8K7CC35"/>
    <s v="100.00"/>
    <s v="0.00"/>
    <s v="23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804 高雄市鼓山區明誠四路27號13樓"/>
    <s v="****"/>
    <s v="0928000888,09513285#1"/>
    <s v=""/>
    <s v="高雄市"/>
    <s v="鼓山區"/>
    <s v="804"/>
    <s v="楊斯淇"/>
    <s v="賣家宅配：大型/超重物品運送"/>
    <s v=""/>
    <s v=""/>
    <s v="信用卡"/>
    <s v="2026-05-06 23:59"/>
    <s v="新竹物流8179177996"/>
    <s v="2026-05-05 21:32"/>
    <m/>
    <s v="學習"/>
    <s v=""/>
    <m/>
    <s v="學習"/>
    <s v="蝦皮"/>
  </r>
  <r>
    <s v="260505M033MN33"/>
    <x v="1"/>
    <s v=""/>
    <s v=""/>
    <s v="s******5"/>
    <x v="4"/>
    <s v="1911.00"/>
    <s v="0.00"/>
    <s v="0.00"/>
    <s v="0.00"/>
    <s v="1911.00"/>
    <s v="0.00"/>
    <s v="230"/>
    <s v="0.00"/>
    <s v="BW8K7CC35;SVC-1409016320524312"/>
    <s v="20.00"/>
    <s v="0.00"/>
    <s v="238.00"/>
    <s v="202.00"/>
    <s v="81.00"/>
    <s v="59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01 基隆市信義區教孝街75號4樓之2"/>
    <s v="****"/>
    <s v="0928000888,45112597#1"/>
    <s v=""/>
    <s v="基隆市"/>
    <s v="信義區"/>
    <s v="201"/>
    <s v="林雅蓁"/>
    <s v="賣家宅配：大型/超重物品運送"/>
    <s v=""/>
    <s v=""/>
    <s v="信用卡"/>
    <s v="2026-05-06 23:59"/>
    <s v="新竹物流8179177985"/>
    <s v="2026-05-05 21:35"/>
    <m/>
    <s v="學習"/>
    <s v=""/>
    <m/>
    <s v="學習"/>
    <s v="蝦皮"/>
  </r>
  <r>
    <s v="260505M0VTMK67"/>
    <x v="1"/>
    <s v=""/>
    <s v=""/>
    <s v="a******7"/>
    <x v="4"/>
    <s v="4320.00"/>
    <s v="0.00"/>
    <s v="0.00"/>
    <s v="0.00"/>
    <s v="4320.00"/>
    <s v="0.00"/>
    <s v="0"/>
    <s v="0.00"/>
    <s v="BENE100;BW8K7CC35"/>
    <s v="100.00"/>
    <s v="0.00"/>
    <s v="480.00"/>
    <s v="408.00"/>
    <s v="154.00"/>
    <s v="120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542 南投縣草屯鎮石川路7-1號6樓之6"/>
    <s v="****"/>
    <s v="0928000888,51042687#1"/>
    <s v=""/>
    <s v="南投縣"/>
    <s v="草屯鎮"/>
    <s v="542"/>
    <s v="程聖閔"/>
    <s v="賣家宅配：大型/超重物品運送"/>
    <s v=""/>
    <s v=""/>
    <s v="信用卡"/>
    <s v="2026-05-06 23:59"/>
    <s v="新竹物流8179179562"/>
    <s v="2026-05-05 21:49"/>
    <m/>
    <s v="學習"/>
    <s v=""/>
    <m/>
    <s v="學習"/>
    <s v="蝦皮"/>
  </r>
  <r>
    <s v="260505M18KC3QN"/>
    <x v="1"/>
    <s v=""/>
    <s v=""/>
    <s v="r******4"/>
    <x v="4"/>
    <s v="4493.00"/>
    <s v="0.00"/>
    <s v="0.00"/>
    <s v="0.00"/>
    <s v="4493.00"/>
    <s v="0.00"/>
    <s v="0"/>
    <s v="0.00"/>
    <s v="BW8K7CC35;BENE100"/>
    <s v="100.00"/>
    <s v="0.00"/>
    <s v="500.00"/>
    <s v="409.00"/>
    <s v="160.00"/>
    <s v="125.00"/>
    <s v="0"/>
    <s v="2.50%"/>
    <s v=""/>
    <x v="18"/>
    <s v="28604287513"/>
    <s v=""/>
    <s v="256123210658"/>
    <s v="28604287513_256123210658"/>
    <n v="300"/>
    <n v="200"/>
    <x v="17"/>
    <s v="20211C608"/>
    <n v="5"/>
    <s v="0"/>
    <s v="N"/>
    <s v="-"/>
    <s v="320 桃園市中壢區成功路156巷35弄38號"/>
    <s v="****"/>
    <s v="0928000888,21171416#1"/>
    <s v=""/>
    <s v="桃園市"/>
    <s v="中壢區"/>
    <s v="320"/>
    <s v="陳敏萱"/>
    <s v="賣家宅配：大型/超重物品運送"/>
    <s v=""/>
    <s v=""/>
    <s v="信用卡"/>
    <s v="2026-05-06 23:59"/>
    <s v="新竹物流8179177591"/>
    <s v="2026-05-05 21:56"/>
    <m/>
    <s v="周邊商品"/>
    <s v=""/>
    <m/>
    <s v="學習周邊"/>
    <s v="蝦皮"/>
  </r>
  <r>
    <s v="260505M18KC3QN"/>
    <x v="1"/>
    <s v=""/>
    <s v=""/>
    <s v="r******4"/>
    <x v="4"/>
    <s v="4493.00"/>
    <s v="0.00"/>
    <s v="0.00"/>
    <s v="0.00"/>
    <s v="4493.00"/>
    <s v="0.00"/>
    <s v="0"/>
    <s v="0.00"/>
    <s v="BW8K7CC35;BENE100"/>
    <s v="100.00"/>
    <s v="0.00"/>
    <s v="500.00"/>
    <s v="409.00"/>
    <s v="160.00"/>
    <s v="125.00"/>
    <s v="0"/>
    <s v="2.50%"/>
    <s v=""/>
    <x v="9"/>
    <s v="29404284709"/>
    <s v=""/>
    <s v="158690870458"/>
    <s v="29404284709_158690870458"/>
    <n v="299"/>
    <n v="199"/>
    <x v="10"/>
    <s v="20230H003"/>
    <n v="2"/>
    <s v="0"/>
    <s v="N"/>
    <s v="-"/>
    <s v="320 桃園市中壢區成功路156巷35弄38號"/>
    <s v="****"/>
    <s v="0928000888,21171416#1"/>
    <s v=""/>
    <s v="桃園市"/>
    <s v="中壢區"/>
    <s v="320"/>
    <s v="陳敏萱"/>
    <s v="賣家宅配：大型/超重物品運送"/>
    <s v=""/>
    <s v=""/>
    <s v="信用卡"/>
    <s v="2026-05-06 23:59"/>
    <s v="新竹物流8179177591"/>
    <s v="2026-05-05 21:56"/>
    <m/>
    <s v="周邊商品"/>
    <s v=""/>
    <m/>
    <s v="生活周邊"/>
    <s v="蝦皮"/>
  </r>
  <r>
    <s v="260505M18KC3QN"/>
    <x v="1"/>
    <s v=""/>
    <s v=""/>
    <s v="r******4"/>
    <x v="4"/>
    <s v="4493.00"/>
    <s v="0.00"/>
    <s v="0.00"/>
    <s v="0.00"/>
    <s v="4493.00"/>
    <s v="0.00"/>
    <s v="0"/>
    <s v="0.00"/>
    <s v="BW8K7CC35;BENE100"/>
    <s v="100.00"/>
    <s v="0.00"/>
    <s v="500.00"/>
    <s v="409.00"/>
    <s v="160.00"/>
    <s v="125.00"/>
    <s v="0"/>
    <s v="2.50%"/>
    <s v=""/>
    <x v="16"/>
    <s v="40272629657"/>
    <s v=""/>
    <s v="258985690764"/>
    <s v="40272629657_258985690764"/>
    <n v="399"/>
    <n v="299"/>
    <x v="16"/>
    <s v="20250FXAM"/>
    <n v="3"/>
    <s v="0"/>
    <s v="N"/>
    <s v="-"/>
    <s v="320 桃園市中壢區成功路156巷35弄38號"/>
    <s v="****"/>
    <s v="0928000888,21171416#1"/>
    <s v=""/>
    <s v="桃園市"/>
    <s v="中壢區"/>
    <s v="320"/>
    <s v="陳敏萱"/>
    <s v="賣家宅配：大型/超重物品運送"/>
    <s v=""/>
    <s v=""/>
    <s v="信用卡"/>
    <s v="2026-05-06 23:59"/>
    <s v="新竹物流8179177591"/>
    <s v="2026-05-05 21:56"/>
    <m/>
    <s v="周邊商品"/>
    <s v=""/>
    <m/>
    <s v="學習周邊"/>
    <s v="蝦皮"/>
  </r>
  <r>
    <s v="260505M18KC3QN"/>
    <x v="1"/>
    <s v=""/>
    <s v=""/>
    <s v="r******4"/>
    <x v="4"/>
    <s v="4493.00"/>
    <s v="0.00"/>
    <s v="0.00"/>
    <s v="0.00"/>
    <s v="4493.00"/>
    <s v="0.00"/>
    <s v="0"/>
    <s v="0.00"/>
    <s v="BW8K7CC35;BENE100"/>
    <s v="100.00"/>
    <s v="0.00"/>
    <s v="500.00"/>
    <s v="409.00"/>
    <s v="160.00"/>
    <s v="125.00"/>
    <s v="0"/>
    <s v="2.50%"/>
    <s v=""/>
    <x v="29"/>
    <s v="45401805147"/>
    <s v=""/>
    <s v="425164888594"/>
    <s v="45401805147_425164888594"/>
    <n v="1399"/>
    <n v="1399"/>
    <x v="33"/>
    <s v="20250H004"/>
    <n v="2"/>
    <s v="0"/>
    <s v="N"/>
    <s v="-"/>
    <s v="320 桃園市中壢區成功路156巷35弄38號"/>
    <s v="****"/>
    <s v="0928000888,21171416#1"/>
    <s v=""/>
    <s v="桃園市"/>
    <s v="中壢區"/>
    <s v="320"/>
    <s v="陳敏萱"/>
    <s v="賣家宅配：大型/超重物品運送"/>
    <s v=""/>
    <s v=""/>
    <s v="信用卡"/>
    <s v="2026-05-06 23:59"/>
    <s v="新竹物流8179177591"/>
    <s v="2026-05-05 21:56"/>
    <m/>
    <s v="周邊商品"/>
    <s v=""/>
    <m/>
    <s v="生活周邊"/>
    <s v="蝦皮"/>
  </r>
  <r>
    <s v="260505M2HDWN1N"/>
    <x v="3"/>
    <s v="被買家取消，原因 : 修改訂單內容"/>
    <s v=""/>
    <s v="i*****a"/>
    <x v="4"/>
    <s v="2069.00"/>
    <s v="0.00"/>
    <s v="0.00"/>
    <s v="0.00"/>
    <s v="0.00"/>
    <s v="0.00"/>
    <s v="0"/>
    <s v="0.00"/>
    <s v="S2605RSP3;BW8K7CC35"/>
    <s v="0.00"/>
    <s v="0.00"/>
    <s v="0.00"/>
    <s v="0.00"/>
    <s v="0.00"/>
    <s v="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81******"/>
    <s v="****"/>
    <s v=""/>
    <s v=""/>
    <s v="高雄市"/>
    <s v="楠梓區"/>
    <s v="811"/>
    <s v="蔡*慈"/>
    <s v="賣家宅配：大型/超重物品運送"/>
    <s v=""/>
    <s v=""/>
    <s v="信用卡"/>
    <s v="2026-05-06 23:59"/>
    <s v=""/>
    <s v="2026-05-05 22:19"/>
    <m/>
    <s v="學習"/>
    <s v=""/>
    <m/>
    <s v="學習"/>
    <s v="蝦皮"/>
  </r>
  <r>
    <s v="260505M2MXDK7R"/>
    <x v="3"/>
    <s v="系統自動判定訂單不成立，原因 : 未收到款項"/>
    <s v=""/>
    <s v="s******5"/>
    <x v="4"/>
    <s v="2608.00"/>
    <s v="0.00"/>
    <s v="0.00"/>
    <s v="0.00"/>
    <s v="0.00"/>
    <s v="0.00"/>
    <s v="0"/>
    <s v="0.00"/>
    <s v="S2605RSP3;BW8K7CC35"/>
    <s v="0.00"/>
    <s v="0.00"/>
    <s v="0.00"/>
    <s v="0.00"/>
    <s v="0.00"/>
    <s v="0.00"/>
    <s v="0"/>
    <s v="2.50%"/>
    <s v=""/>
    <x v="1"/>
    <s v="55104898742"/>
    <s v="(加購)獅兔象語彙小火車"/>
    <s v="307431421632"/>
    <s v="55104898742_307431421632"/>
    <n v="3800"/>
    <n v="2998"/>
    <x v="14"/>
    <s v="20250FXCH"/>
    <n v="1"/>
    <s v="0"/>
    <s v="N"/>
    <s v="-"/>
    <s v="33******"/>
    <s v="****"/>
    <s v=""/>
    <s v=""/>
    <s v="桃園市"/>
    <s v="龜山區"/>
    <s v="333"/>
    <s v="李*慧"/>
    <s v="賣家宅配：大型/超重物品運送"/>
    <s v=""/>
    <s v=""/>
    <s v="信用卡"/>
    <s v=""/>
    <s v=""/>
    <s v="-"/>
    <m/>
    <s v="學習"/>
    <s v=""/>
    <m/>
    <s v="學習"/>
    <s v="蝦皮"/>
  </r>
  <r>
    <s v="260505M44EKD4F"/>
    <x v="1"/>
    <s v=""/>
    <s v=""/>
    <s v="h******7"/>
    <x v="4"/>
    <s v="2067.00"/>
    <s v="0.00"/>
    <s v="0.00"/>
    <s v="0.00"/>
    <s v="2067.00"/>
    <s v="0.00"/>
    <s v="2"/>
    <s v="0.00"/>
    <s v="S2605RSP3;BW8K7CC35"/>
    <s v="100.00"/>
    <s v="0.00"/>
    <s v="230.00"/>
    <s v="195.00"/>
    <s v="79.00"/>
    <s v="57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31 新北市新店區溪園路297號11樓"/>
    <s v="****"/>
    <s v="0928000888,35761801#1"/>
    <s v=""/>
    <s v="新北市"/>
    <s v="新店區"/>
    <s v="231"/>
    <s v="林思嘉"/>
    <s v="賣家宅配：大型/超重物品運送"/>
    <s v=""/>
    <s v=""/>
    <s v="信用卡"/>
    <s v="2026-05-06 23:59"/>
    <s v="新竹物流8179177974"/>
    <s v="2026-05-05 22:47"/>
    <m/>
    <s v="學習"/>
    <s v=""/>
    <m/>
    <s v="學習"/>
    <s v="蝦皮"/>
  </r>
  <r>
    <s v="260505M4C8DXR3"/>
    <x v="1"/>
    <s v=""/>
    <s v=""/>
    <s v="y******5"/>
    <x v="4"/>
    <s v="820.00"/>
    <s v="0.00"/>
    <s v="0.00"/>
    <s v="0.00"/>
    <s v="820.00"/>
    <s v="0.00"/>
    <s v="0"/>
    <s v="0.00"/>
    <s v="DXQRUU93M;SVC-1409016320524312"/>
    <s v="20.00"/>
    <s v="0.00"/>
    <s v="20.00"/>
    <s v="71.00"/>
    <s v="35.00"/>
    <s v="21.00"/>
    <s v="0"/>
    <s v="2.50%"/>
    <s v=""/>
    <x v="23"/>
    <s v="24735289975"/>
    <s v=""/>
    <s v="251469945373"/>
    <s v="24735289975_251469945373"/>
    <n v="320"/>
    <n v="210"/>
    <x v="23"/>
    <s v="20191C710"/>
    <n v="1"/>
    <s v="0"/>
    <s v="N"/>
    <s v="-"/>
    <s v="110 臺北市信義區信義路五段91巷19號11樓"/>
    <s v="****"/>
    <s v="0928000888,18898643#1"/>
    <s v=""/>
    <s v="臺北市"/>
    <s v="信義區"/>
    <s v="110"/>
    <s v="林于婷"/>
    <s v="賣家宅配：大型/超重物品運送"/>
    <s v=""/>
    <s v=""/>
    <s v="信用卡"/>
    <s v="2026-05-06 23:59"/>
    <s v="新竹物流8179179396"/>
    <s v="2026-05-05 22:52"/>
    <m/>
    <s v="周邊商品"/>
    <s v=""/>
    <m/>
    <s v="學習周邊"/>
    <s v="蝦皮"/>
  </r>
  <r>
    <s v="260505M4C8DXR3"/>
    <x v="1"/>
    <s v=""/>
    <s v=""/>
    <s v="y******5"/>
    <x v="4"/>
    <s v="820.00"/>
    <s v="0.00"/>
    <s v="0.00"/>
    <s v="0.00"/>
    <s v="820.00"/>
    <s v="0.00"/>
    <s v="0"/>
    <s v="0.00"/>
    <s v="DXQRUU93M;SVC-1409016320524312"/>
    <s v="20.00"/>
    <s v="0.00"/>
    <s v="20.00"/>
    <s v="71.00"/>
    <s v="35.00"/>
    <s v="21.00"/>
    <s v="0"/>
    <s v="2.50%"/>
    <s v=""/>
    <x v="30"/>
    <s v="27504286731"/>
    <s v=""/>
    <s v="256231616499"/>
    <s v="27504286731_256231616499"/>
    <n v="540"/>
    <n v="450"/>
    <x v="35"/>
    <s v="20241CXAA"/>
    <n v="1"/>
    <s v="0"/>
    <s v="N"/>
    <s v="-"/>
    <s v="110 臺北市信義區信義路五段91巷19號11樓"/>
    <s v="****"/>
    <s v="0928000888,18898643#1"/>
    <s v=""/>
    <s v="臺北市"/>
    <s v="信義區"/>
    <s v="110"/>
    <s v="林于婷"/>
    <s v="賣家宅配：大型/超重物品運送"/>
    <s v=""/>
    <s v=""/>
    <s v="信用卡"/>
    <s v="2026-05-06 23:59"/>
    <s v="新竹物流8179179396"/>
    <s v="2026-05-05 22:52"/>
    <m/>
    <s v="周邊商品"/>
    <s v=""/>
    <m/>
    <s v="學習周邊"/>
    <s v="蝦皮"/>
  </r>
  <r>
    <s v="260505M4C8DXR3"/>
    <x v="1"/>
    <s v=""/>
    <s v=""/>
    <s v="y******5"/>
    <x v="4"/>
    <s v="820.00"/>
    <s v="0.00"/>
    <s v="0.00"/>
    <s v="0.00"/>
    <s v="820.00"/>
    <s v="0.00"/>
    <s v="0"/>
    <s v="0.00"/>
    <s v="DXQRUU93M;SVC-1409016320524312"/>
    <s v="20.00"/>
    <s v="0.00"/>
    <s v="20.00"/>
    <s v="71.00"/>
    <s v="35.00"/>
    <s v="21.00"/>
    <s v="0"/>
    <s v="2.50%"/>
    <s v=""/>
    <x v="18"/>
    <s v="28604287513"/>
    <s v=""/>
    <s v="256123210658"/>
    <s v="28604287513_256123210658"/>
    <n v="300"/>
    <n v="200"/>
    <x v="17"/>
    <s v="20211C608"/>
    <n v="1"/>
    <s v="0"/>
    <s v="N"/>
    <s v="-"/>
    <s v="110 臺北市信義區信義路五段91巷19號11樓"/>
    <s v="****"/>
    <s v="0928000888,18898643#1"/>
    <s v=""/>
    <s v="臺北市"/>
    <s v="信義區"/>
    <s v="110"/>
    <s v="林于婷"/>
    <s v="賣家宅配：大型/超重物品運送"/>
    <s v=""/>
    <s v=""/>
    <s v="信用卡"/>
    <s v="2026-05-06 23:59"/>
    <s v="新竹物流8179179396"/>
    <s v="2026-05-05 22:52"/>
    <m/>
    <s v="周邊商品"/>
    <s v=""/>
    <m/>
    <s v="學習周邊"/>
    <s v="蝦皮"/>
  </r>
  <r>
    <s v="260505M4CXB361"/>
    <x v="1"/>
    <s v=""/>
    <s v=""/>
    <s v="t******8"/>
    <x v="4"/>
    <s v="1889.00"/>
    <s v="0.00"/>
    <s v="0.00"/>
    <s v="0.00"/>
    <s v="1889.00"/>
    <s v="0.00"/>
    <s v="0"/>
    <s v="0.00"/>
    <s v="S2605RSP3;BW8K7CC35"/>
    <s v="100.00"/>
    <s v="0.00"/>
    <s v="210.00"/>
    <s v="178.00"/>
    <s v="73.00"/>
    <s v="52.00"/>
    <s v="3"/>
    <s v="2.50%"/>
    <s v=""/>
    <x v="0"/>
    <s v="43300564167"/>
    <s v="(單套)"/>
    <s v="276830849048"/>
    <s v="43300564167_276830849048"/>
    <n v="2800"/>
    <n v="2199"/>
    <x v="0"/>
    <s v="20250FA00"/>
    <n v="1"/>
    <s v="0"/>
    <s v="N"/>
    <s v="-"/>
    <s v="326 桃園市楊梅區楊湖路三段248巷132號"/>
    <s v="****"/>
    <s v="0928000888,63571752#1"/>
    <s v=""/>
    <s v="桃園市"/>
    <s v="楊梅區"/>
    <s v="326"/>
    <s v="許勝友"/>
    <s v="賣家宅配：大型/超重物品運送"/>
    <s v=""/>
    <s v=""/>
    <s v="信用卡分期付款"/>
    <s v="2026-05-06 23:59"/>
    <s v="新竹物流8179179525"/>
    <s v="2026-05-05 22:52"/>
    <m/>
    <s v="學習"/>
    <s v=""/>
    <m/>
    <s v="學習"/>
    <s v="蝦皮"/>
  </r>
  <r>
    <s v="260505M4NPS4JP"/>
    <x v="1"/>
    <s v=""/>
    <s v=""/>
    <s v="a*****3"/>
    <x v="4"/>
    <s v="2790.00"/>
    <s v="0.00"/>
    <s v="0.00"/>
    <s v="0.00"/>
    <s v="2790.00"/>
    <s v="0.00"/>
    <s v="0"/>
    <s v="0.00"/>
    <s v="S2605RSP3;BW8K7CC35"/>
    <s v="100.00"/>
    <s v="0.00"/>
    <s v="310.00"/>
    <s v="264.00"/>
    <s v="103.00"/>
    <s v="78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220 新北市板橋區滿平街84巷130弄7號3樓"/>
    <s v="****"/>
    <s v="0928000888,44189786#1"/>
    <s v=""/>
    <s v="新北市"/>
    <s v="板橋區"/>
    <s v="220"/>
    <s v="潘亦婕"/>
    <s v="賣家宅配：大型/超重物品運送"/>
    <s v=""/>
    <s v=""/>
    <s v="信用卡"/>
    <s v="2026-05-06 23:59"/>
    <s v="新竹物流8179179050"/>
    <s v="2026-05-05 22:57"/>
    <m/>
    <s v="學習"/>
    <s v=""/>
    <m/>
    <s v="學習"/>
    <s v="蝦皮"/>
  </r>
  <r>
    <s v="260505M5BEX2RA"/>
    <x v="1"/>
    <s v=""/>
    <s v=""/>
    <s v="j******1"/>
    <x v="4"/>
    <s v="2140.00"/>
    <s v="0.00"/>
    <s v="0.00"/>
    <s v="0.00"/>
    <s v="2140.00"/>
    <s v="0.00"/>
    <s v="0"/>
    <s v="0.00"/>
    <s v="SVC-1409016320524312;BW8K7CC35"/>
    <s v="20.00"/>
    <s v="0.00"/>
    <s v="238.00"/>
    <s v="202.00"/>
    <s v="81.00"/>
    <s v="59.00"/>
    <s v="0"/>
    <s v="2.50%"/>
    <s v=""/>
    <x v="0"/>
    <s v="43300564167"/>
    <s v="(加購)巧虎手偶"/>
    <s v="208744991582"/>
    <s v="43300564167_208744991582"/>
    <n v="3199"/>
    <n v="2398"/>
    <x v="25"/>
    <s v="20250FXAN"/>
    <n v="1"/>
    <s v="0"/>
    <s v="N"/>
    <s v="-"/>
    <s v="241 新北市三重區三民街28號1樓"/>
    <s v="****"/>
    <s v="0928000888,22921515#1"/>
    <s v=""/>
    <s v="新北市"/>
    <s v="三重區"/>
    <s v="241"/>
    <s v="蔡榛秜"/>
    <s v="賣家宅配：大型/超重物品運送"/>
    <s v=""/>
    <s v=""/>
    <s v="信用卡"/>
    <s v="2026-05-06 23:59"/>
    <s v="新竹物流8179179352"/>
    <s v="2026-05-05 23:09"/>
    <m/>
    <s v="學習"/>
    <s v=""/>
    <m/>
    <s v="學習"/>
    <s v="蝦皮"/>
  </r>
  <r>
    <s v="260505M5PY1Y5Y"/>
    <x v="1"/>
    <s v=""/>
    <s v=""/>
    <s v="f******1"/>
    <x v="4"/>
    <s v="435.00"/>
    <s v="0.00"/>
    <s v="0.00"/>
    <s v="0.00"/>
    <s v="435.00"/>
    <s v="0.00"/>
    <s v="144"/>
    <s v="0.00"/>
    <s v="SVC-1409016320524312;5K8ENHGSS"/>
    <s v="20.00"/>
    <s v="0.00"/>
    <s v="100.00"/>
    <s v="58.00"/>
    <s v="30.00"/>
    <s v="17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334 桃園市八德區桃園市八德區新興路342巷91弄5號"/>
    <s v="****"/>
    <s v="0928000888,60979213#1"/>
    <s v=""/>
    <s v="桃園市"/>
    <s v="八德區"/>
    <s v="334"/>
    <s v="黃若婷"/>
    <s v="賣家宅配：大型/超重物品運送"/>
    <s v=""/>
    <s v=""/>
    <s v="信用卡"/>
    <s v="2026-05-06 23:59"/>
    <s v="新竹物流8179178394"/>
    <s v="2026-05-05 23:16"/>
    <m/>
    <s v="周邊商品"/>
    <s v=""/>
    <m/>
    <s v="學習周邊"/>
    <s v="蝦皮"/>
  </r>
  <r>
    <s v="260505M5QMYJA6"/>
    <x v="1"/>
    <s v=""/>
    <s v=""/>
    <s v="j******4"/>
    <x v="4"/>
    <s v="7200.00"/>
    <s v="0.00"/>
    <s v="0.00"/>
    <s v="0.00"/>
    <s v="7200.00"/>
    <s v="0.00"/>
    <s v="0"/>
    <s v="0.00"/>
    <s v="BENE100;BW8K7CC35"/>
    <s v="100.00"/>
    <s v="0.00"/>
    <s v="800.00"/>
    <s v="680.00"/>
    <s v="250.00"/>
    <s v="200.00"/>
    <s v="0"/>
    <s v="2.50%"/>
    <s v=""/>
    <x v="4"/>
    <s v="29842502974"/>
    <s v="(單套)"/>
    <s v="259020882901"/>
    <s v="29842502974_259020882901"/>
    <n v="6500"/>
    <n v="4900"/>
    <x v="4"/>
    <s v="20250FD00"/>
    <n v="1"/>
    <s v="0"/>
    <s v="N"/>
    <s v="-"/>
    <s v="238 新北市樹林區大安路569號7樓之4"/>
    <s v="****"/>
    <s v="0928000888,73309829#1"/>
    <s v=""/>
    <s v="新北市"/>
    <s v="樹林區"/>
    <s v="238"/>
    <s v="李雅如"/>
    <s v="賣家宅配：大型/超重物品運送"/>
    <s v=""/>
    <s v=""/>
    <s v="信用卡"/>
    <s v="2026-05-06 23:59"/>
    <s v="新竹物流8179179131"/>
    <s v="2026-05-05 23:16"/>
    <m/>
    <s v="學習"/>
    <s v=""/>
    <m/>
    <s v="學習"/>
    <s v="蝦皮"/>
  </r>
  <r>
    <s v="260505M5QMYJA6"/>
    <x v="1"/>
    <s v=""/>
    <s v=""/>
    <s v="j******4"/>
    <x v="4"/>
    <s v="7200.00"/>
    <s v="0.00"/>
    <s v="0.00"/>
    <s v="0.00"/>
    <s v="7200.00"/>
    <s v="0.00"/>
    <s v="0"/>
    <s v="0.00"/>
    <s v="BENE100;BW8K7CC35"/>
    <s v="100.00"/>
    <s v="0.00"/>
    <s v="800.00"/>
    <s v="680.00"/>
    <s v="250.00"/>
    <s v="200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238 新北市樹林區大安路569號7樓之4"/>
    <s v="****"/>
    <s v="0928000888,73309829#1"/>
    <s v=""/>
    <s v="新北市"/>
    <s v="樹林區"/>
    <s v="238"/>
    <s v="李雅如"/>
    <s v="賣家宅配：大型/超重物品運送"/>
    <s v=""/>
    <s v=""/>
    <s v="信用卡"/>
    <s v="2026-05-06 23:59"/>
    <s v="新竹物流8179179131"/>
    <s v="2026-05-05 23:16"/>
    <m/>
    <s v="學習"/>
    <s v=""/>
    <m/>
    <s v="學習"/>
    <s v="蝦皮"/>
  </r>
  <r>
    <s v="260505M7NHSQWU"/>
    <x v="1"/>
    <s v=""/>
    <s v=""/>
    <s v="m******4"/>
    <x v="4"/>
    <s v="579.00"/>
    <s v="0.00"/>
    <s v="0.00"/>
    <s v="0.00"/>
    <s v="579.00"/>
    <s v="0.00"/>
    <s v="0"/>
    <s v="0.00"/>
    <s v="SVC-1409016320524312;5K8ENHGSS"/>
    <s v="20.00"/>
    <s v="0.00"/>
    <s v="100.00"/>
    <s v="58.00"/>
    <s v="30.00"/>
    <s v="17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116 臺北市文山區興隆路三段207巷5弄10號4樓"/>
    <s v="****"/>
    <s v="0928000888,43173320#1"/>
    <s v=""/>
    <s v="臺北市"/>
    <s v="文山區"/>
    <s v="116"/>
    <s v="朱若綺"/>
    <s v="賣家宅配：大型/超重物品運送"/>
    <s v=""/>
    <s v=""/>
    <s v="信用卡"/>
    <s v="2026-05-06 23:59"/>
    <s v="新竹物流8179178383"/>
    <s v="2026-05-05 23:53"/>
    <m/>
    <s v="周邊商品"/>
    <s v=""/>
    <m/>
    <s v="學習周邊"/>
    <s v="蝦皮"/>
  </r>
  <r>
    <s v="260505M7U351KA"/>
    <x v="1"/>
    <s v=""/>
    <s v=""/>
    <s v="g******8"/>
    <x v="4"/>
    <s v="854.00"/>
    <s v="0.00"/>
    <s v="0.00"/>
    <s v="0.00"/>
    <s v="854.00"/>
    <s v="0.00"/>
    <s v="0"/>
    <s v="0.00"/>
    <s v="SVC-1409016320524312;XBG8YQ6JR"/>
    <s v="20.00"/>
    <s v="0.00"/>
    <s v="200.00"/>
    <s v="90.00"/>
    <s v="42.00"/>
    <s v="26.00"/>
    <s v="0"/>
    <s v="2.50%"/>
    <s v=""/>
    <x v="7"/>
    <s v="26661165843"/>
    <s v=""/>
    <s v="129066787879"/>
    <s v="26661165843_129066787879"/>
    <n v="699"/>
    <n v="699"/>
    <x v="8"/>
    <s v="20240H022"/>
    <n v="1"/>
    <s v="0"/>
    <s v="N"/>
    <s v="-"/>
    <s v="251 新北市淡水區民權路73號4樓"/>
    <s v="****"/>
    <s v="0928000888,08132888#1"/>
    <s v=""/>
    <s v="新北市"/>
    <s v="淡水區"/>
    <s v="251"/>
    <s v="吳紀縈"/>
    <s v="賣家宅配：大型/超重物品運送"/>
    <s v=""/>
    <s v=""/>
    <s v="信用卡"/>
    <s v="2026-05-06 23:59"/>
    <s v="新竹物流8179179411"/>
    <s v="2026-05-05 23:54"/>
    <m/>
    <s v="周邊商品"/>
    <s v=""/>
    <m/>
    <s v="學習周邊"/>
    <s v="蝦皮"/>
  </r>
  <r>
    <s v="260505M7U351KA"/>
    <x v="1"/>
    <s v=""/>
    <s v=""/>
    <s v="g******8"/>
    <x v="4"/>
    <s v="854.00"/>
    <s v="0.00"/>
    <s v="0.00"/>
    <s v="0.00"/>
    <s v="854.00"/>
    <s v="0.00"/>
    <s v="0"/>
    <s v="0.00"/>
    <s v="SVC-1409016320524312;XBG8YQ6JR"/>
    <s v="20.00"/>
    <s v="0.00"/>
    <s v="200.00"/>
    <s v="90.00"/>
    <s v="42.00"/>
    <s v="26.00"/>
    <s v="0"/>
    <s v="2.50%"/>
    <s v=""/>
    <x v="31"/>
    <s v="49555184608"/>
    <s v="潛能大挑戰(認識整點鐘)+貼紙"/>
    <s v="405475283662"/>
    <s v="49555184608_405475283662"/>
    <n v="375"/>
    <n v="375"/>
    <x v="36"/>
    <s v="20254CXAM"/>
    <n v="1"/>
    <s v="0"/>
    <s v="N"/>
    <s v="-"/>
    <s v="251 新北市淡水區民權路73號4樓"/>
    <s v="****"/>
    <s v="0928000888,08132888#1"/>
    <s v=""/>
    <s v="新北市"/>
    <s v="淡水區"/>
    <s v="251"/>
    <s v="吳紀縈"/>
    <s v="賣家宅配：大型/超重物品運送"/>
    <s v=""/>
    <s v=""/>
    <s v="信用卡"/>
    <s v="2026-05-06 23:59"/>
    <s v="新竹物流8179179411"/>
    <s v="2026-05-05 23:54"/>
    <m/>
    <s v="周邊商品"/>
    <s v=""/>
    <m/>
    <s v="學習週邊"/>
    <s v="蝦皮"/>
  </r>
  <r>
    <s v="260505M7V1NPJB"/>
    <x v="1"/>
    <s v=""/>
    <s v=""/>
    <s v="s***c"/>
    <x v="4"/>
    <s v="8727.00"/>
    <s v="0.00"/>
    <s v="0.00"/>
    <s v="0.00"/>
    <s v="8727.00"/>
    <s v="0.00"/>
    <s v="0"/>
    <s v="0.00"/>
    <s v="BENE100;BW8K7CC35"/>
    <s v="100.00"/>
    <s v="0.00"/>
    <s v="970.00"/>
    <s v="826.00"/>
    <s v="301.00"/>
    <s v="242.00"/>
    <s v="0"/>
    <s v="2.50%"/>
    <s v=""/>
    <x v="21"/>
    <s v="28215382311"/>
    <s v="(限時合購優惠)英語進階 現省$1701"/>
    <s v="267592015407"/>
    <s v="28215382311_267592015407"/>
    <n v="9000"/>
    <n v="5999"/>
    <x v="21"/>
    <s v="20260FXAA"/>
    <n v="1"/>
    <s v="0"/>
    <s v="N"/>
    <s v="-"/>
    <s v="244 新北市林口區信義路382號15樓之六"/>
    <s v="****"/>
    <s v="0928000888,05248018#1"/>
    <s v=""/>
    <s v="新北市"/>
    <s v="林口區"/>
    <s v="244"/>
    <s v="陳思樺"/>
    <s v="賣家宅配：大型/超重物品運送"/>
    <s v=""/>
    <s v=""/>
    <s v="信用卡"/>
    <s v="2026-05-06 23:59"/>
    <s v="新竹物流8179179293"/>
    <s v="2026-05-05 23:54"/>
    <m/>
    <s v="學習"/>
    <s v=""/>
    <m/>
    <s v="學習"/>
    <s v="蝦皮"/>
  </r>
  <r>
    <s v="260505M7V1NPJB"/>
    <x v="1"/>
    <s v=""/>
    <s v=""/>
    <s v="s***c"/>
    <x v="4"/>
    <s v="8727.00"/>
    <s v="0.00"/>
    <s v="0.00"/>
    <s v="0.00"/>
    <s v="8727.00"/>
    <s v="0.00"/>
    <s v="0"/>
    <s v="0.00"/>
    <s v="BENE100;BW8K7CC35"/>
    <s v="100.00"/>
    <s v="0.00"/>
    <s v="970.00"/>
    <s v="826.00"/>
    <s v="301.00"/>
    <s v="242.00"/>
    <s v="0"/>
    <s v="2.50%"/>
    <s v=""/>
    <x v="32"/>
    <s v="28954290138"/>
    <s v="琪琪包"/>
    <s v="205213883926"/>
    <s v="28954290138_205213883926"/>
    <n v="799"/>
    <n v="799"/>
    <x v="37"/>
    <s v=""/>
    <n v="1"/>
    <s v="0"/>
    <s v="N"/>
    <s v="-"/>
    <s v="244 新北市林口區信義路382號15樓之六"/>
    <s v="****"/>
    <s v="0928000888,05248018#1"/>
    <s v=""/>
    <s v="新北市"/>
    <s v="林口區"/>
    <s v="244"/>
    <s v="陳思樺"/>
    <s v="賣家宅配：大型/超重物品運送"/>
    <s v=""/>
    <s v=""/>
    <s v="信用卡"/>
    <s v="2026-05-06 23:59"/>
    <s v="新竹物流8179179293"/>
    <s v="2026-05-05 23:54"/>
    <m/>
    <s v="周邊商品"/>
    <s v=""/>
    <m/>
    <s v="生活周邊"/>
    <s v="蝦皮"/>
  </r>
  <r>
    <s v="260505M7V1NPJB"/>
    <x v="1"/>
    <s v=""/>
    <s v=""/>
    <s v="s***c"/>
    <x v="4"/>
    <s v="8727.00"/>
    <s v="0.00"/>
    <s v="0.00"/>
    <s v="0.00"/>
    <s v="8727.00"/>
    <s v="0.00"/>
    <s v="0"/>
    <s v="0.00"/>
    <s v="BENE100;BW8K7CC35"/>
    <s v="100.00"/>
    <s v="0.00"/>
    <s v="970.00"/>
    <s v="826.00"/>
    <s v="301.00"/>
    <s v="24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244 新北市林口區信義路382號15樓之六"/>
    <s v="****"/>
    <s v="0928000888,05248018#1"/>
    <s v=""/>
    <s v="新北市"/>
    <s v="林口區"/>
    <s v="244"/>
    <s v="陳思樺"/>
    <s v="賣家宅配：大型/超重物品運送"/>
    <s v=""/>
    <s v=""/>
    <s v="信用卡"/>
    <s v="2026-05-06 23:59"/>
    <s v="新竹物流8179179293"/>
    <s v="2026-05-05 23:54"/>
    <m/>
    <s v="學習"/>
    <s v=""/>
    <m/>
    <s v="學習"/>
    <s v="蝦皮"/>
  </r>
  <r>
    <s v="260506MCSD33U5"/>
    <x v="5"/>
    <s v=""/>
    <s v=""/>
    <s v="v******3"/>
    <x v="5"/>
    <s v="5317.00"/>
    <s v="0.00"/>
    <s v="0.00"/>
    <s v="0.00"/>
    <s v="5317.00"/>
    <s v="0.00"/>
    <s v="228"/>
    <s v="0.00"/>
    <s v="S2605RSP3;R7VA356DY"/>
    <s v="100.00"/>
    <s v="0.00"/>
    <s v="354.00"/>
    <s v="501.00"/>
    <s v="187.00"/>
    <s v="147.00"/>
    <s v="0"/>
    <s v="2.50%"/>
    <s v=""/>
    <x v="21"/>
    <s v="28215382311"/>
    <s v="(限時合購優惠)英語進階 現省$1701"/>
    <s v="267592015407"/>
    <s v="28215382311_267592015407"/>
    <n v="9000"/>
    <n v="5999"/>
    <x v="21"/>
    <s v="20260FXAA"/>
    <n v="1"/>
    <s v="0"/>
    <s v="N"/>
    <s v="-"/>
    <s v="221 新北市汐止區樟樹二路360號24樓之2"/>
    <s v="****"/>
    <s v="0928000888,95043053#1"/>
    <s v=""/>
    <s v="新北市"/>
    <s v="汐止區"/>
    <s v="221"/>
    <s v="侯吟妮"/>
    <s v="賣家宅配：大型/超重物品運送"/>
    <s v=""/>
    <s v=""/>
    <s v="信用卡"/>
    <s v="2026-05-07 23:59"/>
    <s v=""/>
    <s v="2026-05-06 01:22"/>
    <m/>
    <s v="學習"/>
    <s v=""/>
    <m/>
    <s v="學習"/>
    <s v="蝦皮"/>
  </r>
  <r>
    <s v="260506N9KQC36G"/>
    <x v="5"/>
    <s v=""/>
    <s v=""/>
    <s v="w******0"/>
    <x v="5"/>
    <s v="2199.00"/>
    <s v="0.00"/>
    <s v="0.00"/>
    <s v="0.00"/>
    <s v="2199.00"/>
    <s v="0.00"/>
    <s v="0"/>
    <s v="0.00"/>
    <s v="TKB2605W31"/>
    <s v="0.00"/>
    <s v="0.00"/>
    <s v="200.00"/>
    <s v="204.00"/>
    <s v="82.00"/>
    <s v="6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2020 基隆市中正區中正路315-1號5樓"/>
    <s v="****"/>
    <s v="0928000888,68632144#1"/>
    <s v=""/>
    <s v="基隆市"/>
    <s v="中正區"/>
    <s v="2020"/>
    <s v="魏立宇"/>
    <s v="賣家宅配：大型/超重物品運送"/>
    <s v=""/>
    <s v=""/>
    <s v="信用卡"/>
    <s v="2026-05-07 23:59"/>
    <s v=""/>
    <s v="2026-05-06 09:58"/>
    <m/>
    <s v="學習"/>
    <s v=""/>
    <m/>
    <s v="學習"/>
    <s v="蝦皮"/>
  </r>
  <r>
    <s v="260506N9Y3PUXS"/>
    <x v="5"/>
    <s v=""/>
    <s v=""/>
    <s v="i*****n"/>
    <x v="5"/>
    <s v="2200.00"/>
    <s v="0.00"/>
    <s v="0.00"/>
    <s v="0.00"/>
    <s v="2200.00"/>
    <s v="0.00"/>
    <s v="0"/>
    <s v="0.00"/>
    <s v="EDE10I9EYJW5W"/>
    <s v="0.00"/>
    <s v="0.00"/>
    <s v="1000.00"/>
    <s v="272.00"/>
    <s v="106.00"/>
    <s v="80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830 高雄市鳳山區中山東路192巷166號10樓"/>
    <s v="****"/>
    <s v="0928000888,12744859#1"/>
    <s v=""/>
    <s v="高雄市"/>
    <s v="鳳山區"/>
    <s v="830"/>
    <s v="蔡淯安"/>
    <s v="賣家宅配：大型/超重物品運送"/>
    <s v=""/>
    <s v=""/>
    <s v="信用卡"/>
    <s v="2026-05-07 23:59"/>
    <s v=""/>
    <s v="2026-05-06 10:05"/>
    <m/>
    <s v="學習"/>
    <s v=""/>
    <m/>
    <s v="學習"/>
    <s v="蝦皮"/>
  </r>
  <r>
    <s v="260506NJ440PQT"/>
    <x v="5"/>
    <s v=""/>
    <s v=""/>
    <s v="a******8"/>
    <x v="5"/>
    <s v="2909.00"/>
    <s v="0.00"/>
    <s v="0.00"/>
    <s v="0.00"/>
    <s v="2909.00"/>
    <s v="0.00"/>
    <s v="0"/>
    <s v="0.00"/>
    <s v="24TVUHNKS"/>
    <s v="0.00"/>
    <s v="0.00"/>
    <s v="90.00"/>
    <s v="255.00"/>
    <s v="100.00"/>
    <s v="75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832 高雄市林園區港嘴里港埔三路112巷16弄39號"/>
    <s v="****"/>
    <s v="0928000888,02449531#1"/>
    <s v=""/>
    <s v="高雄市"/>
    <s v="林園區"/>
    <s v="832"/>
    <s v="劉詠芳"/>
    <s v="賣家宅配：大型/超重物品運送"/>
    <s v=""/>
    <s v=""/>
    <s v="信用卡"/>
    <s v="2026-05-07 23:59"/>
    <s v=""/>
    <s v="2026-05-06 12:31"/>
    <m/>
    <s v="學習"/>
    <s v=""/>
    <m/>
    <s v="學習"/>
    <s v="蝦皮"/>
  </r>
  <r>
    <s v="260506NK3F73JH"/>
    <x v="5"/>
    <s v=""/>
    <s v=""/>
    <s v="m******i"/>
    <x v="5"/>
    <s v="1152.00"/>
    <s v="0.00"/>
    <s v="0.00"/>
    <s v="0.00"/>
    <s v="1152.00"/>
    <s v="0.00"/>
    <s v="0"/>
    <s v="0.00"/>
    <s v="24TVUHNKS;SFC-1393793144225796"/>
    <s v="10.00"/>
    <s v="0.00"/>
    <s v="36.00"/>
    <s v="101.00"/>
    <s v="46.00"/>
    <s v="30.00"/>
    <s v="0"/>
    <s v="2.50%"/>
    <s v=""/>
    <x v="3"/>
    <s v="29672846571"/>
    <s v="(加購)巧虎手偶 $199"/>
    <s v="355543703692"/>
    <s v="29672846571_355543703692"/>
    <n v="1599"/>
    <n v="1198"/>
    <x v="3"/>
    <s v="20250FXBN"/>
    <n v="1"/>
    <s v="0"/>
    <s v="N"/>
    <s v="-"/>
    <s v="204 基隆市安樂區武崙街186巷7號"/>
    <s v="****"/>
    <s v="0928000888,68252073#1"/>
    <s v=""/>
    <s v="基隆市"/>
    <s v="安樂區"/>
    <s v="204"/>
    <s v="鄒雯卉"/>
    <s v="賣家宅配：大型/超重物品運送"/>
    <s v=""/>
    <s v=""/>
    <s v="信用卡"/>
    <s v="2026-05-07 23:59"/>
    <s v=""/>
    <s v="2026-05-06 12:48"/>
    <m/>
    <s v="周邊商品"/>
    <s v=""/>
    <m/>
    <s v="學習周邊"/>
    <s v="蝦皮"/>
  </r>
  <r>
    <s v="260506NS3A1X3U"/>
    <x v="5"/>
    <s v=""/>
    <s v=""/>
    <s v="a******5"/>
    <x v="5"/>
    <s v="2432.00"/>
    <s v="0.00"/>
    <s v="0.00"/>
    <s v="0.00"/>
    <s v="2432.00"/>
    <s v="0.00"/>
    <s v="0"/>
    <s v="0.00"/>
    <s v="SFC-1393793144225796;R7VA356DY"/>
    <s v="10.00"/>
    <s v="0.00"/>
    <s v="156.00"/>
    <s v="220.00"/>
    <s v="88.00"/>
    <s v="65.00"/>
    <s v="0"/>
    <s v="2.50%"/>
    <s v=""/>
    <x v="1"/>
    <s v="55104898742"/>
    <s v="(加購)巧虎手偶 $199"/>
    <s v="430504001726"/>
    <s v="55104898742_430504001726"/>
    <n v="3299"/>
    <n v="2598"/>
    <x v="7"/>
    <s v="20250FXBH"/>
    <n v="1"/>
    <s v="0"/>
    <s v="N"/>
    <s v="-"/>
    <s v="708 臺南市安平區健康三街225號四樓之8"/>
    <s v="****"/>
    <s v="0928000888,19981057#1"/>
    <s v=""/>
    <s v="臺南市"/>
    <s v="安平區"/>
    <s v="708"/>
    <s v="詹崴淇"/>
    <s v="賣家宅配：大型/超重物品運送"/>
    <s v=""/>
    <s v=""/>
    <s v="信用卡"/>
    <s v="2026-05-07 23:59"/>
    <s v=""/>
    <s v="2026-05-06 14:35"/>
    <m/>
    <s v="學習"/>
    <s v=""/>
    <m/>
    <s v="學習"/>
    <s v="蝦皮"/>
  </r>
  <r>
    <s v="260506NW6NUSUX"/>
    <x v="5"/>
    <s v=""/>
    <s v=""/>
    <s v="a*****4"/>
    <x v="5"/>
    <s v="3100.00"/>
    <s v="0.00"/>
    <s v="0.00"/>
    <s v="0.00"/>
    <s v="3100.00"/>
    <s v="0.00"/>
    <s v="0"/>
    <s v="0.00"/>
    <s v="R7VA356DY"/>
    <s v="0.00"/>
    <s v="0.00"/>
    <s v="198.00"/>
    <s v="280.00"/>
    <s v="109.00"/>
    <s v="82.00"/>
    <s v="0"/>
    <s v="2.50%"/>
    <s v=""/>
    <x v="14"/>
    <s v="28157944827"/>
    <s v="單購"/>
    <s v="276894603061"/>
    <s v="28157944827_276894603061"/>
    <n v="399"/>
    <n v="299"/>
    <x v="16"/>
    <s v="20250FXAM"/>
    <n v="1"/>
    <s v="0"/>
    <s v="N"/>
    <s v="-"/>
    <s v="300 新竹市北區光華街59巷10號2樓"/>
    <s v="****"/>
    <s v="0928000888,24548533#1"/>
    <s v=""/>
    <s v="新竹市"/>
    <s v="北區"/>
    <s v="300"/>
    <s v="江庭貽"/>
    <s v="賣家宅配：大型/超重物品運送"/>
    <s v=""/>
    <s v=""/>
    <s v="信用卡"/>
    <s v="2026-05-07 23:59"/>
    <s v=""/>
    <s v="2026-05-06 15:50"/>
    <m/>
    <s v="周邊商品"/>
    <s v=""/>
    <m/>
    <s v="學習周邊"/>
    <s v="蝦皮"/>
  </r>
  <r>
    <s v="260506NW6NUSUX"/>
    <x v="5"/>
    <s v=""/>
    <s v=""/>
    <s v="a*****4"/>
    <x v="5"/>
    <s v="3100.00"/>
    <s v="0.00"/>
    <s v="0.00"/>
    <s v="0.00"/>
    <s v="3100.00"/>
    <s v="0.00"/>
    <s v="0"/>
    <s v="0.00"/>
    <s v="R7VA356DY"/>
    <s v="0.00"/>
    <s v="0.00"/>
    <s v="198.00"/>
    <s v="280.00"/>
    <s v="109.00"/>
    <s v="82.00"/>
    <s v="0"/>
    <s v="2.50%"/>
    <s v=""/>
    <x v="10"/>
    <s v="46756353219"/>
    <s v="(單購)"/>
    <s v="400596693875"/>
    <s v="46756353219_400596693875"/>
    <n v="4000"/>
    <n v="2999"/>
    <x v="11"/>
    <s v="20250FF00"/>
    <n v="1"/>
    <s v="0"/>
    <s v="N"/>
    <s v="-"/>
    <s v="300 新竹市北區光華街59巷10號2樓"/>
    <s v="****"/>
    <s v="0928000888,24548533#1"/>
    <s v=""/>
    <s v="新竹市"/>
    <s v="北區"/>
    <s v="300"/>
    <s v="江庭貽"/>
    <s v="賣家宅配：大型/超重物品運送"/>
    <s v=""/>
    <s v=""/>
    <s v="信用卡"/>
    <s v="2026-05-07 23:59"/>
    <s v=""/>
    <s v="2026-05-06 15:50"/>
    <m/>
    <s v="學習"/>
    <s v=""/>
    <m/>
    <s v="學習"/>
    <s v="蝦皮"/>
  </r>
  <r>
    <s v="260506P03DM9S8"/>
    <x v="5"/>
    <s v=""/>
    <s v=""/>
    <s v="w*****y"/>
    <x v="5"/>
    <s v="2327.00"/>
    <s v="0.00"/>
    <s v="0.00"/>
    <s v="0.00"/>
    <s v="2327.00"/>
    <s v="0.00"/>
    <s v="0"/>
    <s v="0.00"/>
    <s v="24TVUHNKS"/>
    <s v="0.00"/>
    <s v="0.00"/>
    <s v="72.00"/>
    <s v="204.00"/>
    <s v="82.00"/>
    <s v="60.00"/>
    <s v="0"/>
    <s v="2.50%"/>
    <s v=""/>
    <x v="1"/>
    <s v="55104898742"/>
    <s v="單購"/>
    <s v="430504001725"/>
    <s v="55104898742_430504001725"/>
    <n v="3000"/>
    <n v="2399"/>
    <x v="1"/>
    <s v="20250FE00"/>
    <n v="1"/>
    <s v="0"/>
    <s v="N"/>
    <s v="-"/>
    <s v="338 桃園市蘆竹區機捷路二段968號7樓"/>
    <s v="****"/>
    <s v="0928000888,81499358#1"/>
    <s v=""/>
    <s v="桃園市"/>
    <s v="蘆竹區"/>
    <s v="338"/>
    <s v="吳雨潔"/>
    <s v="賣家宅配：大型/超重物品運送"/>
    <s v=""/>
    <s v=""/>
    <s v="信用卡"/>
    <s v="2026-05-07 23:59"/>
    <s v=""/>
    <s v="2026-05-06 16:41"/>
    <m/>
    <s v="學習"/>
    <s v=""/>
    <m/>
    <s v="學習"/>
    <s v="蝦皮"/>
  </r>
  <r>
    <s v="260506PHDUTNSX"/>
    <x v="5"/>
    <s v=""/>
    <s v=""/>
    <s v="s******7"/>
    <x v="5"/>
    <s v="577.00"/>
    <s v="0.00"/>
    <s v="0.00"/>
    <s v="0.00"/>
    <s v="577.00"/>
    <s v="0.00"/>
    <s v="21"/>
    <s v="0.00"/>
    <s v="5FJF84HLC"/>
    <s v="0.00"/>
    <s v="0.00"/>
    <s v="0.00"/>
    <s v="51.00"/>
    <s v="28.00"/>
    <s v="15.00"/>
    <s v="0"/>
    <s v="2.50%"/>
    <s v=""/>
    <x v="14"/>
    <s v="28157944827"/>
    <s v="單購"/>
    <s v="276894603061"/>
    <s v="28157944827_276894603061"/>
    <n v="399"/>
    <n v="299"/>
    <x v="16"/>
    <s v="20250FXAM"/>
    <n v="2"/>
    <s v="0"/>
    <s v="N"/>
    <s v="-"/>
    <s v="500 彰化縣彰化市介壽里中興路103號3樓"/>
    <s v="****"/>
    <s v="0928000888,58962547#1"/>
    <s v=""/>
    <s v="彰化縣"/>
    <s v="彰化市"/>
    <s v="500"/>
    <s v="劉育全"/>
    <s v="賣家宅配：大型/超重物品運送"/>
    <s v=""/>
    <s v=""/>
    <s v="信用卡"/>
    <s v="2026-05-07 23:59"/>
    <s v=""/>
    <s v="2026-05-06 21:51"/>
    <m/>
    <s v="周邊商品"/>
    <s v=""/>
    <m/>
    <s v="學習周邊"/>
    <s v="蝦皮"/>
  </r>
  <r>
    <s v="260506PJ60BBQJ"/>
    <x v="5"/>
    <s v=""/>
    <s v=""/>
    <s v="y******5"/>
    <x v="5"/>
    <s v="3144.00"/>
    <s v="0.00"/>
    <s v="0.00"/>
    <s v="0.00"/>
    <s v="3144.00"/>
    <s v="0.00"/>
    <s v="0"/>
    <s v="0.00"/>
    <s v="BENE100;A7VNYXV5C"/>
    <s v="100.00"/>
    <s v="0.00"/>
    <s v="166.00"/>
    <s v="281.00"/>
    <s v="109.00"/>
    <s v="83.00"/>
    <s v="0"/>
    <s v="2.50%"/>
    <s v=""/>
    <x v="23"/>
    <s v="24735289975"/>
    <s v=""/>
    <s v="251469945373"/>
    <s v="24735289975_251469945373"/>
    <n v="320"/>
    <n v="210"/>
    <x v="23"/>
    <s v="20191C710"/>
    <n v="1"/>
    <s v="0"/>
    <s v="N"/>
    <s v="-"/>
    <s v="242 新北市新莊區中平路292巷1弄52號4樓"/>
    <s v="****"/>
    <s v="0928000888,67394837#1"/>
    <s v=""/>
    <s v="新北市"/>
    <s v="新莊區"/>
    <s v="242"/>
    <s v="賴韻婷"/>
    <s v="賣家宅配：大型/超重物品運送"/>
    <s v=""/>
    <s v=""/>
    <s v="信用卡"/>
    <s v="2026-05-07 23:59"/>
    <s v=""/>
    <s v="2026-05-06 22:05"/>
    <m/>
    <s v="周邊商品"/>
    <s v=""/>
    <m/>
    <s v="學習周邊"/>
    <s v="蝦皮"/>
  </r>
  <r>
    <s v="260506PJ60BBQJ"/>
    <x v="5"/>
    <s v=""/>
    <s v=""/>
    <s v="y******5"/>
    <x v="5"/>
    <s v="3144.00"/>
    <s v="0.00"/>
    <s v="0.00"/>
    <s v="0.00"/>
    <s v="3144.00"/>
    <s v="0.00"/>
    <s v="0"/>
    <s v="0.00"/>
    <s v="BENE100;A7VNYXV5C"/>
    <s v="100.00"/>
    <s v="0.00"/>
    <s v="166.00"/>
    <s v="281.00"/>
    <s v="109.00"/>
    <s v="83.00"/>
    <s v="0"/>
    <s v="2.50%"/>
    <s v=""/>
    <x v="5"/>
    <s v="49156357078"/>
    <s v="(單購)"/>
    <s v="325596686282"/>
    <s v="49156357078_325596686282"/>
    <n v="4500"/>
    <n v="3200"/>
    <x v="5"/>
    <s v="20250FG00"/>
    <n v="1"/>
    <s v="0"/>
    <s v="N"/>
    <s v="-"/>
    <s v="242 新北市新莊區中平路292巷1弄52號4樓"/>
    <s v="****"/>
    <s v="0928000888,67394837#1"/>
    <s v=""/>
    <s v="新北市"/>
    <s v="新莊區"/>
    <s v="242"/>
    <s v="賴韻婷"/>
    <s v="賣家宅配：大型/超重物品運送"/>
    <s v=""/>
    <s v=""/>
    <s v="信用卡"/>
    <s v="2026-05-07 23:59"/>
    <s v=""/>
    <s v="2026-05-06 22:05"/>
    <m/>
    <s v="學習"/>
    <s v=""/>
    <m/>
    <s v="學習"/>
    <s v="蝦皮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s v=""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  <r>
    <s v=""/>
    <x v="6"/>
    <s v=""/>
    <s v=""/>
    <s v=""/>
    <x v="6"/>
    <s v=""/>
    <s v=""/>
    <s v=""/>
    <s v=""/>
    <s v=""/>
    <s v=""/>
    <s v=""/>
    <s v=""/>
    <s v=""/>
    <s v=""/>
    <s v=""/>
    <s v=""/>
    <s v=""/>
    <s v=""/>
    <s v=""/>
    <s v=""/>
    <s v=""/>
    <s v=""/>
    <x v="33"/>
    <s v=""/>
    <s v=""/>
    <s v=""/>
    <s v=""/>
    <s v=""/>
    <s v=""/>
    <x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m/>
    <s v=""/>
    <m/>
    <m/>
    <s v="學習週邊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s v="#20260430164001009"/>
    <x v="0"/>
    <x v="0"/>
    <x v="0"/>
    <x v="0"/>
    <m/>
    <m/>
    <s v="外部"/>
    <x v="0"/>
    <x v="0"/>
    <s v="C0033-0000"/>
    <n v="699"/>
    <s v="商品"/>
    <n v="1"/>
    <n v="0"/>
    <s v="510002"/>
    <s v="品牌授權"/>
    <n v="699"/>
    <s v="周邊商品"/>
    <s v=""/>
  </r>
  <r>
    <s v="#20260430164001009"/>
    <x v="0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430172943603"/>
    <x v="0"/>
    <x v="0"/>
    <x v="2"/>
    <x v="2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430173008060"/>
    <x v="0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AdGeek"/>
  </r>
  <r>
    <s v="#20260430231757303"/>
    <x v="0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430231757303"/>
    <x v="0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1000958708"/>
    <x v="0"/>
    <x v="0"/>
    <x v="2"/>
    <x v="2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501001457200"/>
    <x v="0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AdGeek"/>
  </r>
  <r>
    <s v="#20260501001457200"/>
    <x v="0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501015916418"/>
    <x v="0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501043412899"/>
    <x v="0"/>
    <x v="0"/>
    <x v="7"/>
    <x v="7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501043412899"/>
    <x v="0"/>
    <x v="0"/>
    <x v="8"/>
    <x v="8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501043412899"/>
    <x v="0"/>
    <x v="0"/>
    <x v="9"/>
    <x v="9"/>
    <m/>
    <m/>
    <s v="外部"/>
    <x v="0"/>
    <x v="0"/>
    <s v="C0033-0000"/>
    <n v="1199"/>
    <s v="商品"/>
    <n v="1"/>
    <n v="0"/>
    <s v="510002"/>
    <s v="品牌授權"/>
    <n v="1199"/>
    <s v="周邊商品"/>
    <s v=""/>
  </r>
  <r>
    <s v="#20260501044718030"/>
    <x v="0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501044718030"/>
    <x v="0"/>
    <x v="0"/>
    <x v="10"/>
    <x v="10"/>
    <m/>
    <m/>
    <s v="外部"/>
    <x v="0"/>
    <x v="0"/>
    <s v="C0033-0000"/>
    <n v="799"/>
    <s v="商品"/>
    <n v="1"/>
    <n v="0"/>
    <s v="510002"/>
    <s v="品牌授權"/>
    <n v="799"/>
    <s v="周邊商品"/>
    <s v=""/>
  </r>
  <r>
    <s v="#20260501044718030"/>
    <x v="0"/>
    <x v="0"/>
    <x v="11"/>
    <x v="11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501044718030"/>
    <x v="0"/>
    <x v="0"/>
    <x v="7"/>
    <x v="7"/>
    <m/>
    <m/>
    <s v="外部"/>
    <x v="0"/>
    <x v="0"/>
    <s v="C0033-0000"/>
    <n v="1099"/>
    <s v="商品"/>
    <n v="2"/>
    <n v="0"/>
    <s v="510002"/>
    <s v="品牌授權"/>
    <n v="2198"/>
    <s v="周邊商品"/>
    <s v=""/>
  </r>
  <r>
    <s v="#20260501044718030"/>
    <x v="0"/>
    <x v="0"/>
    <x v="8"/>
    <x v="8"/>
    <m/>
    <m/>
    <s v="外部"/>
    <x v="0"/>
    <x v="0"/>
    <s v="C0033-0000"/>
    <n v="299"/>
    <s v="加購品"/>
    <n v="4"/>
    <n v="0"/>
    <s v="510002"/>
    <s v="品牌授權"/>
    <n v="1196"/>
    <s v="周邊商品"/>
    <s v=""/>
  </r>
  <r>
    <s v="#20260501044718030"/>
    <x v="0"/>
    <x v="0"/>
    <x v="9"/>
    <x v="9"/>
    <m/>
    <m/>
    <s v="外部"/>
    <x v="0"/>
    <x v="0"/>
    <s v="C0033-0000"/>
    <n v="1199"/>
    <s v="商品"/>
    <n v="1"/>
    <n v="0"/>
    <s v="510002"/>
    <s v="品牌授權"/>
    <n v="1199"/>
    <s v="周邊商品"/>
    <s v=""/>
  </r>
  <r>
    <s v="#20260501044718030"/>
    <x v="0"/>
    <x v="0"/>
    <x v="12"/>
    <x v="12"/>
    <m/>
    <m/>
    <s v="外部"/>
    <x v="0"/>
    <x v="0"/>
    <s v="C0033-0000"/>
    <n v="1400"/>
    <s v="商品"/>
    <n v="1"/>
    <n v="0"/>
    <s v="510002"/>
    <s v="品牌授權"/>
    <n v="1400"/>
    <s v="周邊商品"/>
    <s v=""/>
  </r>
  <r>
    <s v="#20260501044718030"/>
    <x v="0"/>
    <x v="0"/>
    <x v="13"/>
    <x v="13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501044718030"/>
    <x v="0"/>
    <x v="0"/>
    <x v="14"/>
    <x v="14"/>
    <m/>
    <m/>
    <s v="外部"/>
    <x v="0"/>
    <x v="0"/>
    <s v="C0033-0000"/>
    <n v="0"/>
    <s v="贈品"/>
    <n v="0"/>
    <n v="2"/>
    <s v="513200"/>
    <s v="周邊營業"/>
    <n v="0"/>
    <s v="周邊商品"/>
    <s v=""/>
  </r>
  <r>
    <s v="#20260501063312192"/>
    <x v="0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501063312192"/>
    <x v="0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BNS"/>
  </r>
  <r>
    <s v="#20260501074254784"/>
    <x v="0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1091725077"/>
    <x v="0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Email"/>
  </r>
  <r>
    <s v="#20260501091725077"/>
    <x v="0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Email"/>
  </r>
  <r>
    <s v="#20260501115454188"/>
    <x v="0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fbad"/>
  </r>
  <r>
    <s v="#20260501130249747"/>
    <x v="0"/>
    <x v="0"/>
    <x v="16"/>
    <x v="16"/>
    <m/>
    <m/>
    <s v="外部"/>
    <x v="0"/>
    <x v="0"/>
    <s v="C0033-0000"/>
    <n v="357"/>
    <s v="商品"/>
    <n v="1"/>
    <n v="0"/>
    <s v="513261"/>
    <s v="團團購"/>
    <n v="357"/>
    <s v="周邊商品"/>
    <s v=""/>
  </r>
  <r>
    <s v="#20260501130249747"/>
    <x v="0"/>
    <x v="0"/>
    <x v="17"/>
    <x v="17"/>
    <m/>
    <m/>
    <s v="外部"/>
    <x v="0"/>
    <x v="0"/>
    <s v="C0033-0000"/>
    <n v="84"/>
    <s v="商品"/>
    <n v="1"/>
    <n v="0"/>
    <s v="513261"/>
    <s v="團團購"/>
    <n v="84"/>
    <s v="周邊商品"/>
    <s v=""/>
  </r>
  <r>
    <s v="#20260501130249747"/>
    <x v="0"/>
    <x v="0"/>
    <x v="18"/>
    <x v="18"/>
    <m/>
    <m/>
    <s v="外部"/>
    <x v="0"/>
    <x v="0"/>
    <s v="C0033-0000"/>
    <n v="299"/>
    <s v="商品"/>
    <n v="1"/>
    <n v="0"/>
    <s v="513261"/>
    <s v="團團購"/>
    <n v="299"/>
    <s v="周邊商品"/>
    <s v=""/>
  </r>
  <r>
    <s v="#20260501130249747"/>
    <x v="0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501130249747"/>
    <x v="0"/>
    <x v="0"/>
    <x v="19"/>
    <x v="19"/>
    <m/>
    <m/>
    <s v="外部"/>
    <x v="0"/>
    <x v="0"/>
    <s v="C0033-0000"/>
    <n v="899"/>
    <s v="商品"/>
    <n v="1"/>
    <n v="0"/>
    <s v="513261"/>
    <s v="團團購"/>
    <n v="899"/>
    <s v="周邊商品"/>
    <s v=""/>
  </r>
  <r>
    <s v="#20260501143414902"/>
    <x v="0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502011230614"/>
    <x v="1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2011230614"/>
    <x v="1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502011230614"/>
    <x v="1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502011230614"/>
    <x v="1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502014816714"/>
    <x v="1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IG"/>
  </r>
  <r>
    <s v="#20260502014816714"/>
    <x v="1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IG"/>
  </r>
  <r>
    <s v="#20260502014816714"/>
    <x v="1"/>
    <x v="0"/>
    <x v="23"/>
    <x v="23"/>
    <m/>
    <m/>
    <s v="外部"/>
    <x v="0"/>
    <x v="0"/>
    <s v="C0033-0000"/>
    <n v="220"/>
    <s v="商品"/>
    <n v="1"/>
    <n v="0"/>
    <s v="510002"/>
    <s v="品牌授權"/>
    <n v="220"/>
    <s v="周邊商品"/>
    <s v="IG"/>
  </r>
  <r>
    <s v="#20260502022049345"/>
    <x v="1"/>
    <x v="0"/>
    <x v="24"/>
    <x v="24"/>
    <m/>
    <m/>
    <s v="外部"/>
    <x v="0"/>
    <x v="0"/>
    <s v="C0033-0000"/>
    <n v="1999"/>
    <s v="商品"/>
    <n v="1"/>
    <n v="0"/>
    <s v="510015"/>
    <s v="舞台劇"/>
    <n v="1999"/>
    <s v="周邊商品"/>
    <s v="AD2"/>
  </r>
  <r>
    <s v="#20260502022049345"/>
    <x v="1"/>
    <x v="0"/>
    <x v="25"/>
    <x v="25"/>
    <m/>
    <m/>
    <s v="外部"/>
    <x v="0"/>
    <x v="0"/>
    <s v="C0033-0000"/>
    <n v="220"/>
    <s v="商品"/>
    <n v="1"/>
    <n v="0"/>
    <s v="510002"/>
    <s v="品牌授權"/>
    <n v="220"/>
    <s v="周邊商品"/>
    <s v="AD2"/>
  </r>
  <r>
    <s v="#20260502022049345"/>
    <x v="1"/>
    <x v="0"/>
    <x v="26"/>
    <x v="26"/>
    <m/>
    <m/>
    <s v="外部"/>
    <x v="0"/>
    <x v="0"/>
    <s v="C0033-0000"/>
    <n v="899"/>
    <s v="商品"/>
    <n v="1"/>
    <n v="0"/>
    <s v="510002"/>
    <s v="品牌授權"/>
    <n v="899"/>
    <s v="周邊商品"/>
    <s v="AD2"/>
  </r>
  <r>
    <s v="#20260502024315208"/>
    <x v="1"/>
    <x v="0"/>
    <x v="27"/>
    <x v="27"/>
    <m/>
    <m/>
    <s v="外部"/>
    <x v="0"/>
    <x v="0"/>
    <s v="C0033-0000"/>
    <n v="4800"/>
    <s v="商品"/>
    <n v="1"/>
    <n v="0"/>
    <s v="512105"/>
    <s v="英語編輯"/>
    <n v="4800"/>
    <s v="學習"/>
    <s v="AdGeek"/>
  </r>
  <r>
    <s v="#20260502024315208"/>
    <x v="1"/>
    <x v="0"/>
    <x v="28"/>
    <x v="28"/>
    <m/>
    <m/>
    <s v="外部"/>
    <x v="0"/>
    <x v="0"/>
    <s v="C0033-0000"/>
    <n v="399"/>
    <s v="加購品"/>
    <n v="2"/>
    <n v="0"/>
    <s v="513100"/>
    <s v="周邊編輯"/>
    <n v="798"/>
    <s v="周邊商品"/>
    <s v="AdGeek"/>
  </r>
  <r>
    <s v="#20260502032018130"/>
    <x v="1"/>
    <x v="0"/>
    <x v="26"/>
    <x v="26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502033227597"/>
    <x v="1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502033227597"/>
    <x v="1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AdGeek"/>
  </r>
  <r>
    <s v="#20260502044141993"/>
    <x v="1"/>
    <x v="0"/>
    <x v="29"/>
    <x v="29"/>
    <m/>
    <m/>
    <s v="外部"/>
    <x v="0"/>
    <x v="0"/>
    <s v="C0033-0000"/>
    <n v="462"/>
    <s v="商品"/>
    <n v="1"/>
    <n v="0"/>
    <s v="513261"/>
    <s v="團團購"/>
    <n v="462"/>
    <s v="周邊商品"/>
    <s v=""/>
  </r>
  <r>
    <s v="#20260502060107757"/>
    <x v="1"/>
    <x v="0"/>
    <x v="30"/>
    <x v="30"/>
    <m/>
    <m/>
    <s v="外部"/>
    <x v="0"/>
    <x v="0"/>
    <s v="C0033-0000"/>
    <n v="1500"/>
    <s v="商品"/>
    <n v="1"/>
    <n v="0"/>
    <s v="510002"/>
    <s v="品牌授權"/>
    <n v="1500"/>
    <s v="周邊商品"/>
    <s v="AD2"/>
  </r>
  <r>
    <s v="#20260502060107757"/>
    <x v="1"/>
    <x v="0"/>
    <x v="14"/>
    <x v="14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502084637461"/>
    <x v="1"/>
    <x v="0"/>
    <x v="2"/>
    <x v="2"/>
    <m/>
    <m/>
    <s v="外部"/>
    <x v="0"/>
    <x v="0"/>
    <s v="C0033-0000"/>
    <n v="4299"/>
    <s v="商品"/>
    <n v="1"/>
    <n v="0"/>
    <s v="513100"/>
    <s v="周邊編輯"/>
    <n v="4299"/>
    <s v="學習"/>
    <s v="AdGeek"/>
  </r>
  <r>
    <s v="#20260502094609267"/>
    <x v="1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502104504536"/>
    <x v="1"/>
    <x v="0"/>
    <x v="31"/>
    <x v="31"/>
    <m/>
    <m/>
    <s v="外部"/>
    <x v="0"/>
    <x v="0"/>
    <s v="C0033-0000"/>
    <n v="690"/>
    <s v="商品"/>
    <n v="1"/>
    <n v="0"/>
    <s v="510002"/>
    <s v="品牌授權"/>
    <n v="690"/>
    <s v="周邊商品"/>
    <s v="AD2"/>
  </r>
  <r>
    <s v="#20260502105634450"/>
    <x v="1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post"/>
  </r>
  <r>
    <s v="#20260502125959717"/>
    <x v="1"/>
    <x v="0"/>
    <x v="32"/>
    <x v="32"/>
    <m/>
    <m/>
    <s v="外部"/>
    <x v="0"/>
    <x v="0"/>
    <s v="C0033-0000"/>
    <n v="2800"/>
    <s v="商品"/>
    <n v="1"/>
    <n v="0"/>
    <s v="513300"/>
    <s v="進階版編輯"/>
    <n v="2800"/>
    <s v="Mirafeel"/>
    <s v="BNS"/>
  </r>
  <r>
    <s v="#20260502191407851"/>
    <x v="2"/>
    <x v="0"/>
    <x v="33"/>
    <x v="33"/>
    <m/>
    <m/>
    <s v="外部"/>
    <x v="0"/>
    <x v="0"/>
    <s v="C0033-0000"/>
    <n v="799"/>
    <s v="商品"/>
    <n v="1"/>
    <n v="0"/>
    <s v="510015"/>
    <s v="舞台劇"/>
    <n v="799"/>
    <s v="周邊商品"/>
    <s v="AD2"/>
  </r>
  <r>
    <s v="#20260502191407851"/>
    <x v="2"/>
    <x v="0"/>
    <x v="29"/>
    <x v="29"/>
    <m/>
    <m/>
    <s v="外部"/>
    <x v="0"/>
    <x v="0"/>
    <s v="C0033-0000"/>
    <n v="462"/>
    <s v="商品"/>
    <n v="1"/>
    <n v="0"/>
    <s v="513261"/>
    <s v="團團購"/>
    <n v="462"/>
    <s v="周邊商品"/>
    <s v="AD2"/>
  </r>
  <r>
    <s v="#20260502235542796"/>
    <x v="2"/>
    <x v="0"/>
    <x v="8"/>
    <x v="8"/>
    <m/>
    <m/>
    <s v="外部"/>
    <x v="0"/>
    <x v="0"/>
    <s v="C0033-0000"/>
    <n v="399"/>
    <s v="商品"/>
    <n v="1"/>
    <n v="0"/>
    <s v="510002"/>
    <s v="品牌授權"/>
    <n v="399"/>
    <s v="周邊商品"/>
    <s v="Email"/>
  </r>
  <r>
    <s v="#20260502235542796"/>
    <x v="2"/>
    <x v="0"/>
    <x v="34"/>
    <x v="34"/>
    <m/>
    <m/>
    <s v="外部"/>
    <x v="0"/>
    <x v="0"/>
    <s v="C0033-0000"/>
    <n v="299"/>
    <s v="商品"/>
    <n v="1"/>
    <n v="0"/>
    <s v="513261"/>
    <s v="團團購"/>
    <n v="299"/>
    <s v="周邊商品"/>
    <s v="Email"/>
  </r>
  <r>
    <s v="#20260502235542796"/>
    <x v="2"/>
    <x v="0"/>
    <x v="35"/>
    <x v="35"/>
    <m/>
    <m/>
    <s v="外部"/>
    <x v="0"/>
    <x v="0"/>
    <s v="C0033-0000"/>
    <n v="200"/>
    <s v="商品"/>
    <n v="1"/>
    <n v="0"/>
    <s v="510002"/>
    <s v="品牌授權"/>
    <n v="200"/>
    <s v="周邊商品"/>
    <s v="Email"/>
  </r>
  <r>
    <s v="#20260502235542796"/>
    <x v="2"/>
    <x v="0"/>
    <x v="10"/>
    <x v="10"/>
    <m/>
    <m/>
    <s v="外部"/>
    <x v="0"/>
    <x v="0"/>
    <s v="C0033-0000"/>
    <n v="799"/>
    <s v="商品"/>
    <n v="1"/>
    <n v="0"/>
    <s v="510002"/>
    <s v="品牌授權"/>
    <n v="799"/>
    <s v="周邊商品"/>
    <s v="Email"/>
  </r>
  <r>
    <s v="#20260502235542796"/>
    <x v="2"/>
    <x v="0"/>
    <x v="17"/>
    <x v="17"/>
    <m/>
    <m/>
    <s v="外部"/>
    <x v="0"/>
    <x v="0"/>
    <s v="C0033-0000"/>
    <n v="84"/>
    <s v="商品"/>
    <n v="1"/>
    <n v="0"/>
    <s v="513261"/>
    <s v="團團購"/>
    <n v="84"/>
    <s v="周邊商品"/>
    <s v="Email"/>
  </r>
  <r>
    <s v="#20260502235542796"/>
    <x v="2"/>
    <x v="0"/>
    <x v="36"/>
    <x v="36"/>
    <m/>
    <m/>
    <s v="外部"/>
    <x v="0"/>
    <x v="0"/>
    <s v="C0033-0000"/>
    <n v="750"/>
    <s v="商品"/>
    <n v="1"/>
    <n v="0"/>
    <s v="510002"/>
    <s v="品牌授權"/>
    <n v="750"/>
    <s v="周邊商品"/>
    <s v="Email"/>
  </r>
  <r>
    <s v="#20260502235542796"/>
    <x v="2"/>
    <x v="0"/>
    <x v="37"/>
    <x v="37"/>
    <m/>
    <m/>
    <s v="外部"/>
    <x v="0"/>
    <x v="0"/>
    <s v="C0033-0000"/>
    <n v="750"/>
    <s v="商品"/>
    <n v="1"/>
    <n v="0"/>
    <s v="510002"/>
    <s v="品牌授權"/>
    <n v="750"/>
    <s v="周邊商品"/>
    <s v="Email"/>
  </r>
  <r>
    <s v="#20260503025936554"/>
    <x v="2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3032519645"/>
    <x v="2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503032519645"/>
    <x v="2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AD2"/>
  </r>
  <r>
    <s v="#20260503062732126"/>
    <x v="2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3075448144"/>
    <x v="2"/>
    <x v="0"/>
    <x v="38"/>
    <x v="38"/>
    <m/>
    <m/>
    <s v="外部"/>
    <x v="0"/>
    <x v="0"/>
    <s v="C0033-0000"/>
    <n v="899"/>
    <s v="商品"/>
    <n v="1"/>
    <n v="0"/>
    <s v="510015"/>
    <s v="舞台劇"/>
    <n v="899"/>
    <s v="周邊商品"/>
    <s v="AD2"/>
  </r>
  <r>
    <s v="#20260503075448144"/>
    <x v="2"/>
    <x v="0"/>
    <x v="39"/>
    <x v="39"/>
    <m/>
    <m/>
    <s v="外部"/>
    <x v="0"/>
    <x v="0"/>
    <s v="C0033-0000"/>
    <n v="304"/>
    <s v="商品"/>
    <n v="1"/>
    <n v="0"/>
    <s v="510002"/>
    <s v="品牌授權"/>
    <n v="304"/>
    <s v="周邊商品"/>
    <s v="AD2"/>
  </r>
  <r>
    <s v="#20260503075448144"/>
    <x v="2"/>
    <x v="0"/>
    <x v="17"/>
    <x v="17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503075448144"/>
    <x v="2"/>
    <x v="0"/>
    <x v="10"/>
    <x v="10"/>
    <m/>
    <m/>
    <s v="外部"/>
    <x v="0"/>
    <x v="0"/>
    <s v="C0033-0000"/>
    <n v="799"/>
    <s v="商品"/>
    <n v="1"/>
    <n v="0"/>
    <s v="510002"/>
    <s v="品牌授權"/>
    <n v="799"/>
    <s v="周邊商品"/>
    <s v="AD2"/>
  </r>
  <r>
    <s v="#20260503075448144"/>
    <x v="2"/>
    <x v="0"/>
    <x v="40"/>
    <x v="40"/>
    <m/>
    <m/>
    <s v="外部"/>
    <x v="0"/>
    <x v="0"/>
    <s v="C0033-0000"/>
    <n v="299"/>
    <s v="商品"/>
    <n v="1"/>
    <n v="0"/>
    <s v="513261"/>
    <s v="團團購"/>
    <n v="299"/>
    <s v="周邊商品"/>
    <s v="AD2"/>
  </r>
  <r>
    <s v="#20260503075448144"/>
    <x v="2"/>
    <x v="0"/>
    <x v="23"/>
    <x v="23"/>
    <m/>
    <m/>
    <s v="外部"/>
    <x v="0"/>
    <x v="0"/>
    <s v="C0033-0000"/>
    <n v="220"/>
    <s v="商品"/>
    <n v="1"/>
    <n v="0"/>
    <s v="510002"/>
    <s v="品牌授權"/>
    <n v="220"/>
    <s v="周邊商品"/>
    <s v="AD2"/>
  </r>
  <r>
    <s v="#20260503075448144"/>
    <x v="2"/>
    <x v="0"/>
    <x v="41"/>
    <x v="41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503075751261"/>
    <x v="2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3083531721"/>
    <x v="2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503083531721"/>
    <x v="2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AD"/>
  </r>
  <r>
    <s v="#20260503084952672"/>
    <x v="2"/>
    <x v="0"/>
    <x v="7"/>
    <x v="7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503084952672"/>
    <x v="2"/>
    <x v="0"/>
    <x v="8"/>
    <x v="8"/>
    <m/>
    <m/>
    <s v="外部"/>
    <x v="0"/>
    <x v="0"/>
    <s v="C0033-0000"/>
    <n v="299"/>
    <s v="加購品"/>
    <n v="1"/>
    <n v="0"/>
    <s v="510002"/>
    <s v="品牌授權"/>
    <n v="299"/>
    <s v="周邊商品"/>
    <s v=""/>
  </r>
  <r>
    <s v="#20260503084952672"/>
    <x v="2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"/>
  </r>
  <r>
    <s v="#20260503094139979"/>
    <x v="2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3123052366"/>
    <x v="2"/>
    <x v="0"/>
    <x v="42"/>
    <x v="42"/>
    <m/>
    <m/>
    <s v="外部"/>
    <x v="0"/>
    <x v="0"/>
    <s v="C0033-0000"/>
    <n v="399"/>
    <s v="商品"/>
    <n v="1"/>
    <n v="0"/>
    <s v="510002"/>
    <s v="品牌授權"/>
    <n v="399"/>
    <s v="周邊商品"/>
    <s v=""/>
  </r>
  <r>
    <s v="#20260503123052366"/>
    <x v="2"/>
    <x v="0"/>
    <x v="43"/>
    <x v="43"/>
    <m/>
    <m/>
    <s v="外部"/>
    <x v="0"/>
    <x v="0"/>
    <s v="C0033-0000"/>
    <n v="199"/>
    <s v="商品"/>
    <n v="1"/>
    <n v="0"/>
    <s v="510002"/>
    <s v="品牌授權"/>
    <n v="199"/>
    <s v="周邊商品"/>
    <s v=""/>
  </r>
  <r>
    <s v="#20260503123052366"/>
    <x v="2"/>
    <x v="0"/>
    <x v="44"/>
    <x v="44"/>
    <m/>
    <m/>
    <s v="外部"/>
    <x v="0"/>
    <x v="0"/>
    <s v="C0033-0000"/>
    <n v="1099"/>
    <s v="商品"/>
    <n v="1"/>
    <n v="0"/>
    <s v="510002"/>
    <s v="品牌授權"/>
    <n v="1099"/>
    <s v="周邊商品"/>
    <s v=""/>
  </r>
  <r>
    <s v="#20260503123052366"/>
    <x v="2"/>
    <x v="0"/>
    <x v="14"/>
    <x v="1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503132312190"/>
    <x v="2"/>
    <x v="0"/>
    <x v="37"/>
    <x v="37"/>
    <m/>
    <m/>
    <s v="外部"/>
    <x v="0"/>
    <x v="0"/>
    <s v="C0033-0000"/>
    <n v="750"/>
    <s v="商品"/>
    <n v="1"/>
    <n v="0"/>
    <s v="510002"/>
    <s v="品牌授權"/>
    <n v="750"/>
    <s v="周邊商品"/>
    <s v="AD2"/>
  </r>
  <r>
    <s v="#20260503135951663"/>
    <x v="2"/>
    <x v="0"/>
    <x v="45"/>
    <x v="45"/>
    <m/>
    <m/>
    <s v="外部"/>
    <x v="0"/>
    <x v="0"/>
    <s v="C0033-0000"/>
    <n v="599"/>
    <s v="商品"/>
    <n v="1"/>
    <n v="0"/>
    <s v="510002"/>
    <s v="品牌授權"/>
    <n v="599"/>
    <s v="周邊商品"/>
    <s v="post"/>
  </r>
  <r>
    <s v="#20260503135951663"/>
    <x v="2"/>
    <x v="0"/>
    <x v="46"/>
    <x v="46"/>
    <m/>
    <m/>
    <s v="外部"/>
    <x v="0"/>
    <x v="0"/>
    <s v="C0033-0000"/>
    <n v="499"/>
    <s v="商品"/>
    <n v="1"/>
    <n v="0"/>
    <s v="510002"/>
    <s v="品牌授權"/>
    <n v="499"/>
    <s v="周邊商品"/>
    <s v="post"/>
  </r>
  <r>
    <s v="#20260503145207451"/>
    <x v="2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503145207451"/>
    <x v="2"/>
    <x v="0"/>
    <x v="47"/>
    <x v="47"/>
    <m/>
    <m/>
    <s v="外部"/>
    <x v="0"/>
    <x v="0"/>
    <s v="C0033-0000"/>
    <n v="1399"/>
    <s v="商品"/>
    <n v="1"/>
    <n v="0"/>
    <s v="510002"/>
    <s v="品牌授權"/>
    <n v="1399"/>
    <s v="周邊商品"/>
    <s v="AD2"/>
  </r>
  <r>
    <s v="#20260503153414904"/>
    <x v="2"/>
    <x v="0"/>
    <x v="27"/>
    <x v="27"/>
    <m/>
    <m/>
    <s v="外部"/>
    <x v="0"/>
    <x v="0"/>
    <s v="C0033-0000"/>
    <n v="4800"/>
    <s v="商品"/>
    <n v="1"/>
    <n v="0"/>
    <s v="512105"/>
    <s v="英語編輯"/>
    <n v="4800"/>
    <s v="學習"/>
    <s v="AD2"/>
  </r>
  <r>
    <s v="#20260503153636454"/>
    <x v="2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3191359515"/>
    <x v="3"/>
    <x v="0"/>
    <x v="25"/>
    <x v="25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503191359515"/>
    <x v="3"/>
    <x v="0"/>
    <x v="23"/>
    <x v="23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503191359515"/>
    <x v="3"/>
    <x v="0"/>
    <x v="27"/>
    <x v="27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503191359515"/>
    <x v="3"/>
    <x v="0"/>
    <x v="48"/>
    <x v="48"/>
    <m/>
    <m/>
    <s v="外部"/>
    <x v="0"/>
    <x v="0"/>
    <s v="C0033-0000"/>
    <n v="30"/>
    <s v="商品"/>
    <n v="1"/>
    <n v="0"/>
    <s v="513300"/>
    <s v="進階版編輯"/>
    <n v="30"/>
    <s v="Mirafeel"/>
    <s v=""/>
  </r>
  <r>
    <s v="#20260504010704932"/>
    <x v="3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504024106744"/>
    <x v="3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504024106744"/>
    <x v="3"/>
    <x v="0"/>
    <x v="28"/>
    <x v="28"/>
    <m/>
    <m/>
    <s v="外部"/>
    <x v="0"/>
    <x v="0"/>
    <s v="C0033-0000"/>
    <n v="399"/>
    <s v="加購品"/>
    <n v="1"/>
    <n v="0"/>
    <s v="513100"/>
    <s v="周邊編輯"/>
    <n v="399"/>
    <s v="周邊商品"/>
    <s v=""/>
  </r>
  <r>
    <s v="#20260504031510572"/>
    <x v="3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4034400804"/>
    <x v="3"/>
    <x v="0"/>
    <x v="12"/>
    <x v="12"/>
    <m/>
    <m/>
    <s v="外部"/>
    <x v="0"/>
    <x v="0"/>
    <s v="C0033-0000"/>
    <n v="1400"/>
    <s v="商品"/>
    <n v="1"/>
    <n v="0"/>
    <s v="510002"/>
    <s v="品牌授權"/>
    <n v="1400"/>
    <s v="周邊商品"/>
    <s v="post"/>
  </r>
  <r>
    <s v="#20260504034400804"/>
    <x v="3"/>
    <x v="0"/>
    <x v="14"/>
    <x v="14"/>
    <m/>
    <m/>
    <s v="外部"/>
    <x v="0"/>
    <x v="0"/>
    <s v="C0033-0000"/>
    <n v="0"/>
    <s v="贈品"/>
    <n v="0"/>
    <n v="1"/>
    <s v="513200"/>
    <s v="周邊營業"/>
    <n v="0"/>
    <s v="周邊商品"/>
    <s v="post"/>
  </r>
  <r>
    <s v="#20260504043936554"/>
    <x v="3"/>
    <x v="0"/>
    <x v="49"/>
    <x v="49"/>
    <m/>
    <m/>
    <s v="外部"/>
    <x v="0"/>
    <x v="0"/>
    <s v="C0033-0000"/>
    <n v="399"/>
    <s v="商品"/>
    <n v="2"/>
    <n v="0"/>
    <s v="510002"/>
    <s v="品牌授權"/>
    <n v="798"/>
    <s v="周邊商品"/>
    <s v="post"/>
  </r>
  <r>
    <s v="#20260504043936554"/>
    <x v="3"/>
    <x v="0"/>
    <x v="42"/>
    <x v="42"/>
    <m/>
    <m/>
    <s v="外部"/>
    <x v="0"/>
    <x v="0"/>
    <s v="C0033-0000"/>
    <n v="399"/>
    <s v="商品"/>
    <n v="2"/>
    <n v="0"/>
    <s v="510002"/>
    <s v="品牌授權"/>
    <n v="798"/>
    <s v="周邊商品"/>
    <s v="post"/>
  </r>
  <r>
    <s v="#20260504043936554"/>
    <x v="3"/>
    <x v="0"/>
    <x v="50"/>
    <x v="50"/>
    <m/>
    <m/>
    <s v="外部"/>
    <x v="0"/>
    <x v="0"/>
    <s v="C0033-0000"/>
    <n v="399"/>
    <s v="商品"/>
    <n v="2"/>
    <n v="0"/>
    <s v="510002"/>
    <s v="品牌授權"/>
    <n v="798"/>
    <s v="周邊商品"/>
    <s v="post"/>
  </r>
  <r>
    <s v="#20260504050306146"/>
    <x v="3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4061016115"/>
    <x v="3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504070151059"/>
    <x v="3"/>
    <x v="0"/>
    <x v="11"/>
    <x v="11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504070151059"/>
    <x v="3"/>
    <x v="0"/>
    <x v="10"/>
    <x v="10"/>
    <m/>
    <m/>
    <s v="外部"/>
    <x v="0"/>
    <x v="0"/>
    <s v="C0033-0000"/>
    <n v="799"/>
    <s v="商品"/>
    <n v="1"/>
    <n v="0"/>
    <s v="510002"/>
    <s v="品牌授權"/>
    <n v="799"/>
    <s v="周邊商品"/>
    <s v=""/>
  </r>
  <r>
    <s v="#20260504073935557"/>
    <x v="3"/>
    <x v="0"/>
    <x v="23"/>
    <x v="23"/>
    <m/>
    <m/>
    <s v="外部"/>
    <x v="0"/>
    <x v="0"/>
    <s v="C0033-0000"/>
    <n v="220"/>
    <s v="商品"/>
    <n v="1"/>
    <n v="0"/>
    <s v="510002"/>
    <s v="品牌授權"/>
    <n v="220"/>
    <s v="周邊商品"/>
    <s v=""/>
  </r>
  <r>
    <s v="#20260504073935557"/>
    <x v="3"/>
    <x v="0"/>
    <x v="30"/>
    <x v="30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504073935557"/>
    <x v="3"/>
    <x v="0"/>
    <x v="14"/>
    <x v="14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504080903331"/>
    <x v="3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4080903331"/>
    <x v="3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504081205441"/>
    <x v="3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504081205441"/>
    <x v="3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4081205441"/>
    <x v="3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504083624374"/>
    <x v="3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AD"/>
  </r>
  <r>
    <s v="#20260504094931520"/>
    <x v="3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504094931520"/>
    <x v="3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AD2"/>
  </r>
  <r>
    <s v="#20260504111301113"/>
    <x v="3"/>
    <x v="0"/>
    <x v="51"/>
    <x v="51"/>
    <m/>
    <m/>
    <s v="外部"/>
    <x v="0"/>
    <x v="0"/>
    <s v="C0033-0000"/>
    <n v="2100"/>
    <s v="商品"/>
    <n v="3"/>
    <n v="0"/>
    <s v="513300"/>
    <s v="進階版編輯"/>
    <n v="6300"/>
    <s v="Mirafeel"/>
    <s v="AD2"/>
  </r>
  <r>
    <s v="#20260504122419935"/>
    <x v="3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4123515609"/>
    <x v="3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504132216518"/>
    <x v="3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504132626390"/>
    <x v="3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4132626390"/>
    <x v="3"/>
    <x v="0"/>
    <x v="28"/>
    <x v="28"/>
    <m/>
    <m/>
    <s v="外部"/>
    <x v="0"/>
    <x v="0"/>
    <s v="C0033-0000"/>
    <n v="399"/>
    <s v="加購品"/>
    <n v="1"/>
    <n v="0"/>
    <s v="513100"/>
    <s v="周邊編輯"/>
    <n v="399"/>
    <s v="周邊商品"/>
    <s v="AD2"/>
  </r>
  <r>
    <s v="#20260504143531721"/>
    <x v="3"/>
    <x v="0"/>
    <x v="5"/>
    <x v="5"/>
    <m/>
    <m/>
    <s v="外部"/>
    <x v="0"/>
    <x v="0"/>
    <s v="C0033-0000"/>
    <n v="999"/>
    <s v="商品"/>
    <n v="1"/>
    <n v="0"/>
    <s v="513100"/>
    <s v="周邊編輯"/>
    <n v="999"/>
    <s v="周邊商品"/>
    <s v="AdGeek"/>
  </r>
  <r>
    <s v="#20260504143531721"/>
    <x v="3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504151217525"/>
    <x v="3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4151217525"/>
    <x v="3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504160235647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4160235647"/>
    <x v="4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504164135947"/>
    <x v="4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AD2"/>
  </r>
  <r>
    <s v="#20260505020324270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505023541791"/>
    <x v="4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505023541791"/>
    <x v="4"/>
    <x v="0"/>
    <x v="2"/>
    <x v="2"/>
    <m/>
    <m/>
    <s v="外部"/>
    <x v="0"/>
    <x v="0"/>
    <s v="C0033-0000"/>
    <n v="4299"/>
    <s v="商品"/>
    <n v="1"/>
    <n v="0"/>
    <s v="513100"/>
    <s v="周邊編輯"/>
    <n v="4299"/>
    <s v="學習"/>
    <s v=""/>
  </r>
  <r>
    <s v="#20260505023541791"/>
    <x v="4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"/>
  </r>
  <r>
    <s v="#20260505023541791"/>
    <x v="4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505025527691"/>
    <x v="4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Geek"/>
  </r>
  <r>
    <s v="#20260505030706944"/>
    <x v="4"/>
    <x v="0"/>
    <x v="35"/>
    <x v="35"/>
    <m/>
    <m/>
    <s v="外部"/>
    <x v="0"/>
    <x v="0"/>
    <s v="C0033-0000"/>
    <n v="200"/>
    <s v="商品"/>
    <n v="1"/>
    <n v="0"/>
    <s v="510002"/>
    <s v="品牌授權"/>
    <n v="200"/>
    <s v="周邊商品"/>
    <s v="post"/>
  </r>
  <r>
    <s v="#20260505030706944"/>
    <x v="4"/>
    <x v="0"/>
    <x v="52"/>
    <x v="52"/>
    <m/>
    <m/>
    <s v="外部"/>
    <x v="0"/>
    <x v="0"/>
    <s v="C0033-0000"/>
    <n v="220"/>
    <s v="商品"/>
    <n v="1"/>
    <n v="0"/>
    <s v="510002"/>
    <s v="品牌授權"/>
    <n v="220"/>
    <s v="周邊商品"/>
    <s v="post"/>
  </r>
  <r>
    <s v="#20260505030706944"/>
    <x v="4"/>
    <x v="0"/>
    <x v="53"/>
    <x v="53"/>
    <m/>
    <m/>
    <s v="外部"/>
    <x v="0"/>
    <x v="0"/>
    <s v="C0033-0000"/>
    <n v="1560"/>
    <s v="商品"/>
    <n v="1"/>
    <n v="0"/>
    <s v="513261"/>
    <s v="團團購"/>
    <n v="1560"/>
    <s v="周邊商品"/>
    <s v="post"/>
  </r>
  <r>
    <s v="#20260505030706944"/>
    <x v="4"/>
    <x v="0"/>
    <x v="45"/>
    <x v="45"/>
    <m/>
    <m/>
    <s v="外部"/>
    <x v="0"/>
    <x v="0"/>
    <s v="C0033-0000"/>
    <n v="599"/>
    <s v="商品"/>
    <n v="1"/>
    <n v="0"/>
    <s v="510002"/>
    <s v="品牌授權"/>
    <n v="599"/>
    <s v="周邊商品"/>
    <s v="post"/>
  </r>
  <r>
    <s v="#20260505030706944"/>
    <x v="4"/>
    <x v="0"/>
    <x v="54"/>
    <x v="54"/>
    <m/>
    <m/>
    <s v="外部"/>
    <x v="0"/>
    <x v="0"/>
    <s v="C0033-0000"/>
    <n v="285"/>
    <s v="商品"/>
    <n v="1"/>
    <n v="0"/>
    <s v="513261"/>
    <s v="團團購"/>
    <n v="285"/>
    <s v="周邊商品"/>
    <s v="post"/>
  </r>
  <r>
    <s v="#20260505034913393"/>
    <x v="4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041312192"/>
    <x v="4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505055528702"/>
    <x v="4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505061306148"/>
    <x v="4"/>
    <x v="0"/>
    <x v="36"/>
    <x v="36"/>
    <m/>
    <m/>
    <s v="外部"/>
    <x v="0"/>
    <x v="0"/>
    <s v="C0033-0000"/>
    <n v="750"/>
    <s v="商品"/>
    <n v="1"/>
    <n v="0"/>
    <s v="510002"/>
    <s v="品牌授權"/>
    <n v="750"/>
    <s v="周邊商品"/>
    <s v="post"/>
  </r>
  <r>
    <s v="#20260505061306148"/>
    <x v="4"/>
    <x v="0"/>
    <x v="37"/>
    <x v="37"/>
    <m/>
    <m/>
    <s v="外部"/>
    <x v="0"/>
    <x v="0"/>
    <s v="C0033-0000"/>
    <n v="750"/>
    <s v="商品"/>
    <n v="1"/>
    <n v="0"/>
    <s v="510002"/>
    <s v="品牌授權"/>
    <n v="750"/>
    <s v="周邊商品"/>
    <s v="post"/>
  </r>
  <r>
    <s v="#20260505064221549"/>
    <x v="4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Email"/>
  </r>
  <r>
    <s v="#20260505065342398"/>
    <x v="4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AdGeek"/>
  </r>
  <r>
    <s v="#20260505065909368"/>
    <x v="4"/>
    <x v="0"/>
    <x v="27"/>
    <x v="27"/>
    <m/>
    <m/>
    <s v="外部"/>
    <x v="0"/>
    <x v="0"/>
    <s v="C0033-0000"/>
    <n v="4800"/>
    <s v="商品"/>
    <n v="1"/>
    <n v="0"/>
    <s v="512105"/>
    <s v="英語編輯"/>
    <n v="4800"/>
    <s v="學習"/>
    <s v=""/>
  </r>
  <r>
    <s v="#20260505070644514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"/>
  </r>
  <r>
    <s v="#20260505080555893"/>
    <x v="4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080555893"/>
    <x v="4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080555893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5080841891"/>
    <x v="4"/>
    <x v="0"/>
    <x v="17"/>
    <x v="17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505080841891"/>
    <x v="4"/>
    <x v="0"/>
    <x v="55"/>
    <x v="55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505080841891"/>
    <x v="4"/>
    <x v="0"/>
    <x v="56"/>
    <x v="56"/>
    <m/>
    <m/>
    <s v="外部"/>
    <x v="0"/>
    <x v="0"/>
    <s v="C0033-0000"/>
    <n v="84"/>
    <s v="商品"/>
    <n v="1"/>
    <n v="0"/>
    <s v="513261"/>
    <s v="團團購"/>
    <n v="84"/>
    <s v="周邊商品"/>
    <s v="AD2"/>
  </r>
  <r>
    <s v="#20260505080841891"/>
    <x v="4"/>
    <x v="0"/>
    <x v="57"/>
    <x v="57"/>
    <m/>
    <m/>
    <s v="外部"/>
    <x v="0"/>
    <x v="0"/>
    <s v="C0033-0000"/>
    <n v="273"/>
    <s v="商品"/>
    <n v="1"/>
    <n v="0"/>
    <s v="513261"/>
    <s v="團團購"/>
    <n v="273"/>
    <s v="周邊商品"/>
    <s v="AD2"/>
  </r>
  <r>
    <s v="#20260505080841891"/>
    <x v="4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505080841891"/>
    <x v="4"/>
    <x v="0"/>
    <x v="58"/>
    <x v="58"/>
    <m/>
    <m/>
    <s v="外部"/>
    <x v="0"/>
    <x v="0"/>
    <s v="C0033-0000"/>
    <n v="350"/>
    <s v="商品"/>
    <n v="1"/>
    <n v="0"/>
    <s v="510002"/>
    <s v="品牌授權"/>
    <n v="350"/>
    <s v="周邊商品"/>
    <s v="AD2"/>
  </r>
  <r>
    <s v="#20260505080841891"/>
    <x v="4"/>
    <x v="0"/>
    <x v="19"/>
    <x v="19"/>
    <m/>
    <m/>
    <s v="外部"/>
    <x v="0"/>
    <x v="0"/>
    <s v="C0033-0000"/>
    <n v="899"/>
    <s v="商品"/>
    <n v="1"/>
    <n v="0"/>
    <s v="513261"/>
    <s v="團團購"/>
    <n v="899"/>
    <s v="周邊商品"/>
    <s v="AD2"/>
  </r>
  <r>
    <s v="#20260505083130912"/>
    <x v="4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505083130912"/>
    <x v="4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101513595"/>
    <x v="4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505121206444"/>
    <x v="4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5133948640"/>
    <x v="4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AdGeek"/>
  </r>
  <r>
    <s v="#20260505133948640"/>
    <x v="4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AdGeek"/>
  </r>
  <r>
    <s v="#20260505133948640"/>
    <x v="4"/>
    <x v="0"/>
    <x v="59"/>
    <x v="59"/>
    <m/>
    <m/>
    <s v="外部"/>
    <x v="0"/>
    <x v="0"/>
    <s v="C0033-0000"/>
    <n v="20"/>
    <s v="商品"/>
    <n v="2"/>
    <n v="0"/>
    <s v="513261"/>
    <s v="團團購"/>
    <n v="40"/>
    <s v="周邊商品"/>
    <s v="AdGeek"/>
  </r>
  <r>
    <s v="#20260505133948640"/>
    <x v="4"/>
    <x v="0"/>
    <x v="60"/>
    <x v="59"/>
    <m/>
    <m/>
    <s v="外部"/>
    <x v="0"/>
    <x v="0"/>
    <s v="C0033-0000"/>
    <n v="20"/>
    <s v="商品"/>
    <n v="2"/>
    <n v="0"/>
    <s v="513261"/>
    <s v="團團購"/>
    <n v="40"/>
    <s v="周邊商品"/>
    <s v="AdGeek"/>
  </r>
  <r>
    <s v="#20260505134014102"/>
    <x v="4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134014102"/>
    <x v="4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505134549847"/>
    <x v="4"/>
    <x v="0"/>
    <x v="3"/>
    <x v="3"/>
    <m/>
    <m/>
    <s v="外部"/>
    <x v="0"/>
    <x v="0"/>
    <s v="C0033-0000"/>
    <n v="2999"/>
    <s v="商品"/>
    <n v="1"/>
    <n v="0"/>
    <s v="513100"/>
    <s v="周邊編輯"/>
    <n v="2999"/>
    <s v="學習"/>
    <s v=""/>
  </r>
  <r>
    <s v="#20260505141556898"/>
    <x v="4"/>
    <x v="0"/>
    <x v="47"/>
    <x v="47"/>
    <m/>
    <m/>
    <s v="外部"/>
    <x v="0"/>
    <x v="0"/>
    <s v="C0033-0000"/>
    <n v="1399"/>
    <s v="商品"/>
    <n v="1"/>
    <n v="0"/>
    <s v="510002"/>
    <s v="品牌授權"/>
    <n v="1399"/>
    <s v="周邊商品"/>
    <s v="BNS"/>
  </r>
  <r>
    <s v="#20260505141556898"/>
    <x v="4"/>
    <x v="0"/>
    <x v="40"/>
    <x v="40"/>
    <m/>
    <m/>
    <s v="外部"/>
    <x v="0"/>
    <x v="0"/>
    <s v="C0033-0000"/>
    <n v="299"/>
    <s v="商品"/>
    <n v="1"/>
    <n v="0"/>
    <s v="513261"/>
    <s v="團團購"/>
    <n v="299"/>
    <s v="周邊商品"/>
    <s v="BNS"/>
  </r>
  <r>
    <s v="#20260505141556898"/>
    <x v="4"/>
    <x v="0"/>
    <x v="61"/>
    <x v="60"/>
    <m/>
    <m/>
    <s v="外部"/>
    <x v="0"/>
    <x v="0"/>
    <s v="C0033-0000"/>
    <n v="290"/>
    <s v="商品"/>
    <n v="1"/>
    <n v="0"/>
    <s v="510002"/>
    <s v="品牌授權"/>
    <n v="290"/>
    <s v="周邊商品"/>
    <s v="BNS"/>
  </r>
  <r>
    <s v="#20260505141556898"/>
    <x v="4"/>
    <x v="0"/>
    <x v="41"/>
    <x v="41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505142803623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5143210473"/>
    <x v="4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5143601209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505143601209"/>
    <x v="4"/>
    <x v="0"/>
    <x v="27"/>
    <x v="27"/>
    <m/>
    <m/>
    <s v="外部"/>
    <x v="0"/>
    <x v="0"/>
    <s v="C0033-0000"/>
    <n v="4800"/>
    <s v="商品"/>
    <n v="1"/>
    <n v="0"/>
    <s v="512105"/>
    <s v="英語編輯"/>
    <n v="4800"/>
    <s v="學習"/>
    <s v="AD2"/>
  </r>
  <r>
    <s v="#20260505150240684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5150812686"/>
    <x v="4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KOL"/>
  </r>
  <r>
    <s v="#20260505150812686"/>
    <x v="4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KOL"/>
  </r>
  <r>
    <s v="#20260505150812687"/>
    <x v="4"/>
    <x v="0"/>
    <x v="22"/>
    <x v="61"/>
    <m/>
    <m/>
    <s v="團購"/>
    <x v="1"/>
    <x v="1"/>
    <s v="C0033-0063"/>
    <n v="4500"/>
    <s v="商品"/>
    <n v="1"/>
    <n v="0"/>
    <s v="512105"/>
    <s v="英語編輯"/>
    <n v="4500"/>
    <s v="學習"/>
    <s v="KOL"/>
  </r>
  <r>
    <s v="#20260505150812687"/>
    <x v="4"/>
    <x v="0"/>
    <x v="62"/>
    <x v="62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505150812687"/>
    <x v="4"/>
    <x v="0"/>
    <x v="63"/>
    <x v="63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505150812687"/>
    <x v="4"/>
    <x v="0"/>
    <x v="64"/>
    <x v="64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505151033236"/>
    <x v="4"/>
    <x v="0"/>
    <x v="58"/>
    <x v="58"/>
    <m/>
    <m/>
    <s v="外部"/>
    <x v="0"/>
    <x v="0"/>
    <s v="C0033-0000"/>
    <n v="350"/>
    <s v="商品"/>
    <n v="1"/>
    <n v="0"/>
    <s v="510002"/>
    <s v="品牌授權"/>
    <n v="350"/>
    <s v="周邊商品"/>
    <s v="ads"/>
  </r>
  <r>
    <s v="#20260505151033236"/>
    <x v="4"/>
    <x v="0"/>
    <x v="65"/>
    <x v="65"/>
    <m/>
    <m/>
    <s v="外部"/>
    <x v="0"/>
    <x v="0"/>
    <s v="C0033-0000"/>
    <n v="176"/>
    <s v="商品"/>
    <n v="1"/>
    <n v="0"/>
    <s v="513261"/>
    <s v="團團購"/>
    <n v="176"/>
    <s v="周邊商品"/>
    <s v="ads"/>
  </r>
  <r>
    <s v="#20260505151033236"/>
    <x v="4"/>
    <x v="0"/>
    <x v="66"/>
    <x v="66"/>
    <m/>
    <m/>
    <s v="外部"/>
    <x v="0"/>
    <x v="0"/>
    <s v="C0033-0000"/>
    <n v="499"/>
    <s v="商品"/>
    <n v="1"/>
    <n v="0"/>
    <s v="510002"/>
    <s v="品牌授權"/>
    <n v="499"/>
    <s v="周邊商品"/>
    <s v="ads"/>
  </r>
  <r>
    <s v="#20260505151033236"/>
    <x v="4"/>
    <x v="0"/>
    <x v="26"/>
    <x v="26"/>
    <m/>
    <m/>
    <s v="外部"/>
    <x v="0"/>
    <x v="0"/>
    <s v="C0033-0000"/>
    <n v="899"/>
    <s v="商品"/>
    <n v="1"/>
    <n v="0"/>
    <s v="510002"/>
    <s v="品牌授權"/>
    <n v="899"/>
    <s v="周邊商品"/>
    <s v="ads"/>
  </r>
  <r>
    <s v="#20260505151033236"/>
    <x v="4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ads"/>
  </r>
  <r>
    <s v="#20260505151033236"/>
    <x v="4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ads"/>
  </r>
  <r>
    <s v="#20260505152038272"/>
    <x v="4"/>
    <x v="0"/>
    <x v="67"/>
    <x v="67"/>
    <m/>
    <m/>
    <s v="外部"/>
    <x v="0"/>
    <x v="0"/>
    <s v="C0033-0000"/>
    <n v="1599"/>
    <s v="商品"/>
    <n v="1"/>
    <n v="0"/>
    <s v="510002"/>
    <s v="品牌授權"/>
    <n v="1599"/>
    <s v="周邊商品"/>
    <s v=""/>
  </r>
  <r>
    <s v="#20260505152038272"/>
    <x v="4"/>
    <x v="0"/>
    <x v="26"/>
    <x v="26"/>
    <m/>
    <m/>
    <s v="外部"/>
    <x v="0"/>
    <x v="0"/>
    <s v="C0033-0000"/>
    <n v="899"/>
    <s v="商品"/>
    <n v="1"/>
    <n v="0"/>
    <s v="510002"/>
    <s v="品牌授權"/>
    <n v="899"/>
    <s v="周邊商品"/>
    <s v=""/>
  </r>
  <r>
    <s v="#20260505152038272"/>
    <x v="4"/>
    <x v="0"/>
    <x v="24"/>
    <x v="24"/>
    <m/>
    <m/>
    <s v="外部"/>
    <x v="0"/>
    <x v="0"/>
    <s v="C0033-0000"/>
    <n v="1999"/>
    <s v="商品"/>
    <n v="1"/>
    <n v="0"/>
    <s v="510015"/>
    <s v="舞台劇"/>
    <n v="1999"/>
    <s v="周邊商品"/>
    <s v=""/>
  </r>
  <r>
    <s v="#20260505152038272"/>
    <x v="4"/>
    <x v="0"/>
    <x v="68"/>
    <x v="68"/>
    <m/>
    <m/>
    <s v="外部"/>
    <x v="0"/>
    <x v="0"/>
    <s v="C0033-0000"/>
    <n v="525"/>
    <s v="商品"/>
    <n v="1"/>
    <n v="0"/>
    <s v="513261"/>
    <s v="團團購"/>
    <n v="525"/>
    <s v="周邊商品"/>
    <s v=""/>
  </r>
  <r>
    <s v="#20260505152913397"/>
    <x v="4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153024172"/>
    <x v="4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"/>
  </r>
  <r>
    <s v="#20260505153024172"/>
    <x v="4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"/>
  </r>
  <r>
    <s v="#20260505154643505"/>
    <x v="4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5160120842"/>
    <x v="5"/>
    <x v="0"/>
    <x v="20"/>
    <x v="20"/>
    <m/>
    <m/>
    <s v="外部"/>
    <x v="0"/>
    <x v="0"/>
    <s v="C0033-0000"/>
    <n v="2199"/>
    <s v="商品"/>
    <n v="1"/>
    <n v="0"/>
    <s v="513100"/>
    <s v="周邊編輯"/>
    <n v="2199"/>
    <s v="學習"/>
    <s v=""/>
  </r>
  <r>
    <s v="#20260505161408858"/>
    <x v="5"/>
    <x v="0"/>
    <x v="36"/>
    <x v="36"/>
    <m/>
    <m/>
    <s v="外部"/>
    <x v="0"/>
    <x v="0"/>
    <s v="C0033-0000"/>
    <n v="750"/>
    <s v="商品"/>
    <n v="1"/>
    <n v="0"/>
    <s v="510002"/>
    <s v="品牌授權"/>
    <n v="750"/>
    <s v="周邊商品"/>
    <s v=""/>
  </r>
  <r>
    <s v="#20260505161408858"/>
    <x v="5"/>
    <x v="0"/>
    <x v="30"/>
    <x v="30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505161408858"/>
    <x v="5"/>
    <x v="0"/>
    <x v="13"/>
    <x v="13"/>
    <m/>
    <m/>
    <s v="外部"/>
    <x v="0"/>
    <x v="0"/>
    <s v="C0033-0000"/>
    <n v="1500"/>
    <s v="商品"/>
    <n v="1"/>
    <n v="0"/>
    <s v="510002"/>
    <s v="品牌授權"/>
    <n v="1500"/>
    <s v="周邊商品"/>
    <s v=""/>
  </r>
  <r>
    <s v="#20260505235324270"/>
    <x v="5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BNS"/>
  </r>
  <r>
    <s v="#20260506003949651"/>
    <x v="5"/>
    <x v="0"/>
    <x v="17"/>
    <x v="17"/>
    <m/>
    <m/>
    <s v="外部"/>
    <x v="0"/>
    <x v="0"/>
    <s v="C0033-0000"/>
    <n v="84"/>
    <s v="商品"/>
    <n v="2"/>
    <n v="0"/>
    <s v="513261"/>
    <s v="團團購"/>
    <n v="168"/>
    <s v="周邊商品"/>
    <s v="AD2"/>
  </r>
  <r>
    <s v="#20260506003949651"/>
    <x v="5"/>
    <x v="0"/>
    <x v="15"/>
    <x v="15"/>
    <m/>
    <m/>
    <s v="外部"/>
    <x v="0"/>
    <x v="0"/>
    <s v="C0033-0000"/>
    <n v="299"/>
    <s v="商品"/>
    <n v="1"/>
    <n v="0"/>
    <s v="513100"/>
    <s v="周邊編輯"/>
    <n v="299"/>
    <s v="周邊商品"/>
    <s v="AD2"/>
  </r>
  <r>
    <s v="#20260506004634440"/>
    <x v="5"/>
    <x v="0"/>
    <x v="32"/>
    <x v="69"/>
    <m/>
    <m/>
    <s v="團購"/>
    <x v="1"/>
    <x v="2"/>
    <s v="C0033-0066"/>
    <n v="2800"/>
    <s v="商品"/>
    <n v="3"/>
    <n v="0"/>
    <s v="513300"/>
    <s v="進階版編輯"/>
    <n v="8400"/>
    <s v="Mirafeel"/>
    <s v="KOL"/>
  </r>
  <r>
    <s v="#20260506010441089"/>
    <x v="5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paid"/>
  </r>
  <r>
    <s v="#20260506010441089"/>
    <x v="5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paid"/>
  </r>
  <r>
    <s v="#20260506022014100"/>
    <x v="5"/>
    <x v="0"/>
    <x v="4"/>
    <x v="4"/>
    <m/>
    <m/>
    <s v="外部"/>
    <x v="0"/>
    <x v="0"/>
    <s v="C0033-0000"/>
    <n v="3200"/>
    <s v="商品"/>
    <n v="1"/>
    <n v="0"/>
    <s v="513100"/>
    <s v="周邊編輯"/>
    <n v="3200"/>
    <s v="學習"/>
    <s v="KOL"/>
  </r>
  <r>
    <s v="#20260506022014100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506025631421"/>
    <x v="5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KOL"/>
  </r>
  <r>
    <s v="#20260506025631421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KOL"/>
  </r>
  <r>
    <s v="#20260506051435053"/>
    <x v="5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6051435053"/>
    <x v="5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506051435053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506052136954"/>
    <x v="5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"/>
  </r>
  <r>
    <s v="#20260506052136954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506052136954"/>
    <x v="5"/>
    <x v="0"/>
    <x v="70"/>
    <x v="71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506062338370"/>
    <x v="5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AD2"/>
  </r>
  <r>
    <s v="#20260506062338370"/>
    <x v="5"/>
    <x v="0"/>
    <x v="6"/>
    <x v="6"/>
    <m/>
    <m/>
    <s v="外部"/>
    <x v="0"/>
    <x v="0"/>
    <s v="C0033-0000"/>
    <n v="4900"/>
    <s v="商品"/>
    <n v="1"/>
    <n v="0"/>
    <s v="513100"/>
    <s v="周邊編輯"/>
    <n v="4900"/>
    <s v="學習"/>
    <s v="AD2"/>
  </r>
  <r>
    <s v="#20260506062338370"/>
    <x v="5"/>
    <x v="0"/>
    <x v="27"/>
    <x v="27"/>
    <m/>
    <m/>
    <s v="外部"/>
    <x v="0"/>
    <x v="0"/>
    <s v="C0033-0000"/>
    <n v="4800"/>
    <s v="商品"/>
    <n v="1"/>
    <n v="0"/>
    <s v="512105"/>
    <s v="英語編輯"/>
    <n v="4800"/>
    <s v="學習"/>
    <s v="AD2"/>
  </r>
  <r>
    <s v="#20260506062338370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506062338370"/>
    <x v="5"/>
    <x v="0"/>
    <x v="70"/>
    <x v="71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506062338370"/>
    <x v="5"/>
    <x v="0"/>
    <x v="71"/>
    <x v="72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506085327293"/>
    <x v="5"/>
    <x v="0"/>
    <x v="1"/>
    <x v="1"/>
    <m/>
    <m/>
    <s v="外部"/>
    <x v="0"/>
    <x v="0"/>
    <s v="C0033-0000"/>
    <n v="2399"/>
    <s v="商品"/>
    <n v="1"/>
    <n v="0"/>
    <s v="513100"/>
    <s v="周邊編輯"/>
    <n v="2399"/>
    <s v="學習"/>
    <s v=""/>
  </r>
  <r>
    <s v="#20260506085327293"/>
    <x v="5"/>
    <x v="0"/>
    <x v="15"/>
    <x v="15"/>
    <m/>
    <m/>
    <s v="外部"/>
    <x v="0"/>
    <x v="0"/>
    <s v="C0033-0000"/>
    <n v="199"/>
    <s v="加購品"/>
    <n v="1"/>
    <n v="0"/>
    <s v="513100"/>
    <s v="周邊編輯"/>
    <n v="199"/>
    <s v="周邊商品"/>
    <s v=""/>
  </r>
  <r>
    <s v="#20260506085327293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"/>
  </r>
  <r>
    <s v="#20260506100028200"/>
    <x v="5"/>
    <x v="0"/>
    <x v="11"/>
    <x v="11"/>
    <m/>
    <m/>
    <s v="外部"/>
    <x v="0"/>
    <x v="0"/>
    <s v="C0033-0000"/>
    <n v="899"/>
    <s v="商品"/>
    <n v="1"/>
    <n v="0"/>
    <s v="510002"/>
    <s v="品牌授權"/>
    <n v="899"/>
    <s v="周邊商品"/>
    <s v="BNS"/>
  </r>
  <r>
    <s v="#20260506100028200"/>
    <x v="5"/>
    <x v="0"/>
    <x v="67"/>
    <x v="67"/>
    <m/>
    <m/>
    <s v="外部"/>
    <x v="0"/>
    <x v="0"/>
    <s v="C0033-0000"/>
    <n v="1599"/>
    <s v="商品"/>
    <n v="1"/>
    <n v="0"/>
    <s v="510002"/>
    <s v="品牌授權"/>
    <n v="1599"/>
    <s v="周邊商品"/>
    <s v="BNS"/>
  </r>
  <r>
    <s v="#20260506100028200"/>
    <x v="5"/>
    <x v="0"/>
    <x v="59"/>
    <x v="73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506100028200"/>
    <x v="5"/>
    <x v="0"/>
    <x v="72"/>
    <x v="74"/>
    <m/>
    <m/>
    <s v="外部"/>
    <x v="0"/>
    <x v="0"/>
    <s v="C0033-0000"/>
    <n v="0"/>
    <s v="贈品"/>
    <n v="0"/>
    <n v="1"/>
    <s v="513200"/>
    <s v="周邊營業"/>
    <n v="0"/>
    <s v="周邊商品"/>
    <s v="BNS"/>
  </r>
  <r>
    <s v="#20260506145318234"/>
    <x v="5"/>
    <x v="0"/>
    <x v="1"/>
    <x v="75"/>
    <m/>
    <m/>
    <s v="團購"/>
    <x v="1"/>
    <x v="1"/>
    <s v="C0033-0063"/>
    <n v="2399"/>
    <s v="商品"/>
    <n v="1"/>
    <n v="0"/>
    <s v="513100"/>
    <s v="周邊編輯"/>
    <n v="2399"/>
    <s v="學習"/>
    <s v="AdGeek"/>
  </r>
  <r>
    <s v="#20260506145318234"/>
    <x v="5"/>
    <x v="0"/>
    <x v="62"/>
    <x v="62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506145318234"/>
    <x v="5"/>
    <x v="0"/>
    <x v="64"/>
    <x v="64"/>
    <m/>
    <m/>
    <s v="外部"/>
    <x v="0"/>
    <x v="0"/>
    <s v="C0033-0000"/>
    <n v="0"/>
    <s v="贈品"/>
    <n v="0"/>
    <n v="1"/>
    <s v="513200"/>
    <s v="周邊營業"/>
    <n v="0"/>
    <s v="周邊商品"/>
    <s v="AdGeek"/>
  </r>
  <r>
    <s v="#20260506151842908"/>
    <x v="5"/>
    <x v="0"/>
    <x v="21"/>
    <x v="21"/>
    <m/>
    <m/>
    <s v="外部"/>
    <x v="0"/>
    <x v="0"/>
    <s v="C0033-0000"/>
    <n v="3200"/>
    <s v="商品"/>
    <n v="1"/>
    <n v="0"/>
    <s v="513100"/>
    <s v="周邊編輯"/>
    <n v="3200"/>
    <s v="學習"/>
    <s v="AD2"/>
  </r>
  <r>
    <s v="#20260506151842908"/>
    <x v="5"/>
    <x v="0"/>
    <x v="22"/>
    <x v="22"/>
    <m/>
    <m/>
    <s v="外部"/>
    <x v="0"/>
    <x v="0"/>
    <s v="C0033-0000"/>
    <n v="4500"/>
    <s v="商品"/>
    <n v="1"/>
    <n v="0"/>
    <s v="512105"/>
    <s v="英語編輯"/>
    <n v="4500"/>
    <s v="學習"/>
    <s v="AD2"/>
  </r>
  <r>
    <s v="#20260506151842908"/>
    <x v="5"/>
    <x v="0"/>
    <x v="69"/>
    <x v="70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#20260506151842908"/>
    <x v="5"/>
    <x v="0"/>
    <x v="70"/>
    <x v="71"/>
    <m/>
    <m/>
    <s v="外部"/>
    <x v="0"/>
    <x v="0"/>
    <s v="C0033-0000"/>
    <n v="0"/>
    <s v="贈品"/>
    <n v="0"/>
    <n v="1"/>
    <s v="513200"/>
    <s v="周邊營業"/>
    <n v="0"/>
    <s v="周邊商品"/>
    <s v="AD2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s v=""/>
    <x v="6"/>
    <x v="1"/>
    <x v="73"/>
    <x v="76"/>
    <m/>
    <m/>
    <s v=""/>
    <x v="2"/>
    <x v="3"/>
    <s v=""/>
    <s v=""/>
    <s v=""/>
    <s v=""/>
    <s v=""/>
    <s v=""/>
    <s v=""/>
    <s v=""/>
    <s v=""/>
    <s v=""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  <r>
    <m/>
    <x v="7"/>
    <x v="2"/>
    <x v="74"/>
    <x v="77"/>
    <m/>
    <m/>
    <m/>
    <x v="3"/>
    <x v="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846BA-92AB-4985-8BAF-7FEF99F731A2}" name="樞紐分析表7" cacheId="1" applyNumberFormats="0" applyBorderFormats="0" applyFontFormats="0" applyPatternFormats="0" applyAlignmentFormats="0" applyWidthHeightFormats="1" dataCaption="值" updatedVersion="8" minRefreshableVersion="3" enableDrill="0" rowGrandTotals="0" colGrandTotals="0" itemPrintTitles="1" createdVersion="7" indent="0" compact="0" compactData="0" multipleFieldFilters="0">
  <location ref="B3:F1163" firstHeaderRow="0" firstDataRow="1" firstDataCol="3" rowPageCount="1" colPageCount="1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32">
        <item x="30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h="1" x="1"/>
        <item h="1"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ascending" defaultSubtotal="0">
      <items count="168">
        <item x="166"/>
        <item x="142"/>
        <item x="145"/>
        <item x="81"/>
        <item x="35"/>
        <item x="51"/>
        <item x="24"/>
        <item x="127"/>
        <item x="91"/>
        <item x="89"/>
        <item x="93"/>
        <item x="36"/>
        <item x="3"/>
        <item x="9"/>
        <item x="104"/>
        <item x="158"/>
        <item x="10"/>
        <item x="144"/>
        <item x="78"/>
        <item x="153"/>
        <item x="11"/>
        <item x="152"/>
        <item x="102"/>
        <item x="61"/>
        <item x="62"/>
        <item x="66"/>
        <item x="123"/>
        <item x="107"/>
        <item x="122"/>
        <item x="65"/>
        <item x="40"/>
        <item x="41"/>
        <item x="126"/>
        <item x="129"/>
        <item x="55"/>
        <item x="115"/>
        <item x="77"/>
        <item x="79"/>
        <item x="148"/>
        <item x="106"/>
        <item x="96"/>
        <item x="100"/>
        <item x="98"/>
        <item x="136"/>
        <item x="139"/>
        <item x="72"/>
        <item x="60"/>
        <item x="52"/>
        <item x="143"/>
        <item x="132"/>
        <item x="45"/>
        <item x="63"/>
        <item x="141"/>
        <item x="125"/>
        <item x="67"/>
        <item x="34"/>
        <item x="155"/>
        <item x="103"/>
        <item x="133"/>
        <item x="114"/>
        <item x="116"/>
        <item x="28"/>
        <item x="146"/>
        <item x="16"/>
        <item x="13"/>
        <item x="99"/>
        <item x="2"/>
        <item x="150"/>
        <item x="149"/>
        <item x="101"/>
        <item x="97"/>
        <item x="20"/>
        <item x="92"/>
        <item x="119"/>
        <item x="53"/>
        <item x="15"/>
        <item x="26"/>
        <item x="137"/>
        <item x="156"/>
        <item x="82"/>
        <item x="83"/>
        <item x="120"/>
        <item x="84"/>
        <item x="87"/>
        <item x="43"/>
        <item x="140"/>
        <item x="59"/>
        <item x="5"/>
        <item x="46"/>
        <item x="162"/>
        <item x="18"/>
        <item x="110"/>
        <item x="44"/>
        <item x="88"/>
        <item x="42"/>
        <item x="48"/>
        <item x="57"/>
        <item x="138"/>
        <item x="121"/>
        <item x="111"/>
        <item x="70"/>
        <item x="33"/>
        <item x="30"/>
        <item x="29"/>
        <item x="54"/>
        <item x="32"/>
        <item x="31"/>
        <item x="6"/>
        <item x="109"/>
        <item x="25"/>
        <item x="95"/>
        <item x="157"/>
        <item x="90"/>
        <item x="80"/>
        <item x="128"/>
        <item x="163"/>
        <item x="50"/>
        <item x="159"/>
        <item x="75"/>
        <item x="76"/>
        <item x="74"/>
        <item x="73"/>
        <item x="71"/>
        <item x="14"/>
        <item x="105"/>
        <item x="37"/>
        <item x="151"/>
        <item x="135"/>
        <item x="85"/>
        <item x="23"/>
        <item x="56"/>
        <item x="12"/>
        <item x="21"/>
        <item x="68"/>
        <item x="108"/>
        <item x="134"/>
        <item x="39"/>
        <item x="161"/>
        <item x="154"/>
        <item x="58"/>
        <item x="165"/>
        <item x="130"/>
        <item x="1"/>
        <item x="113"/>
        <item x="0"/>
        <item x="4"/>
        <item x="7"/>
        <item x="160"/>
        <item x="64"/>
        <item x="164"/>
        <item x="17"/>
        <item x="8"/>
        <item x="94"/>
        <item x="38"/>
        <item x="22"/>
        <item x="19"/>
        <item x="112"/>
        <item x="86"/>
        <item x="27"/>
        <item x="47"/>
        <item x="124"/>
        <item x="147"/>
        <item x="49"/>
        <item x="69"/>
        <item x="131"/>
        <item x="117"/>
        <item x="118"/>
        <item x="1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182">
        <item x="180"/>
        <item x="18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53"/>
        <item x="73"/>
        <item x="74"/>
        <item x="75"/>
        <item x="76"/>
        <item x="77"/>
        <item x="78"/>
        <item x="79"/>
        <item x="82"/>
        <item x="83"/>
        <item x="84"/>
        <item x="85"/>
        <item x="86"/>
        <item x="87"/>
        <item x="88"/>
        <item x="89"/>
        <item x="80"/>
        <item x="81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5">
        <item x="2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5"/>
        <item x="6"/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1"/>
    <field x="8"/>
  </rowFields>
  <rowItems count="1160">
    <i>
      <x v="1"/>
      <x v="21"/>
      <x v="2"/>
    </i>
    <i>
      <x v="2"/>
      <x v="21"/>
      <x v="2"/>
    </i>
    <i>
      <x v="3"/>
      <x v="8"/>
      <x v="2"/>
    </i>
    <i>
      <x v="4"/>
      <x v="2"/>
      <x v="2"/>
    </i>
    <i r="1">
      <x v="8"/>
      <x v="2"/>
    </i>
    <i r="1">
      <x v="9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18"/>
      <x v="2"/>
    </i>
    <i r="1">
      <x v="22"/>
      <x v="2"/>
    </i>
    <i r="1">
      <x v="24"/>
      <x v="2"/>
    </i>
    <i r="1">
      <x v="27"/>
      <x v="2"/>
    </i>
    <i r="1">
      <x v="28"/>
      <x v="2"/>
    </i>
    <i>
      <x v="5"/>
      <x v="3"/>
      <x v="2"/>
    </i>
    <i r="1">
      <x v="7"/>
      <x v="2"/>
    </i>
    <i r="1">
      <x v="8"/>
      <x v="2"/>
    </i>
    <i r="1">
      <x v="15"/>
      <x v="2"/>
    </i>
    <i r="1">
      <x v="18"/>
      <x v="2"/>
    </i>
    <i r="1">
      <x v="28"/>
      <x v="2"/>
    </i>
    <i r="1">
      <x v="29"/>
      <x v="2"/>
    </i>
    <i>
      <x v="6"/>
      <x v="2"/>
      <x v="2"/>
    </i>
    <i r="1">
      <x v="3"/>
      <x v="2"/>
    </i>
    <i r="1">
      <x v="4"/>
      <x v="2"/>
    </i>
    <i r="1">
      <x v="5"/>
      <x v="2"/>
    </i>
    <i r="1">
      <x v="7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8"/>
      <x v="2"/>
    </i>
    <i r="1">
      <x v="20"/>
      <x v="2"/>
    </i>
    <i r="1">
      <x v="21"/>
      <x v="2"/>
    </i>
    <i r="1">
      <x v="22"/>
      <x v="2"/>
    </i>
    <i r="1">
      <x v="26"/>
      <x v="2"/>
    </i>
    <i r="1">
      <x v="27"/>
      <x v="2"/>
    </i>
    <i r="1">
      <x v="28"/>
      <x v="2"/>
    </i>
    <i r="1">
      <x v="31"/>
      <x v="2"/>
    </i>
    <i>
      <x v="7"/>
      <x v="14"/>
      <x v="2"/>
    </i>
    <i>
      <x v="8"/>
      <x v="8"/>
      <x v="2"/>
    </i>
    <i r="1">
      <x v="27"/>
      <x v="2"/>
    </i>
    <i>
      <x v="9"/>
      <x v="8"/>
      <x v="2"/>
    </i>
    <i r="1">
      <x v="12"/>
      <x v="2"/>
    </i>
    <i r="1">
      <x v="13"/>
      <x v="2"/>
    </i>
    <i r="1">
      <x v="18"/>
      <x v="2"/>
    </i>
    <i>
      <x v="10"/>
      <x v="8"/>
      <x v="2"/>
    </i>
    <i r="1">
      <x v="21"/>
      <x v="2"/>
    </i>
    <i r="1">
      <x v="27"/>
      <x v="2"/>
    </i>
    <i>
      <x v="11"/>
      <x v="2"/>
      <x v="2"/>
    </i>
    <i r="1">
      <x v="9"/>
      <x v="2"/>
    </i>
    <i r="1">
      <x v="12"/>
      <x v="2"/>
    </i>
    <i r="1">
      <x v="13"/>
      <x v="2"/>
    </i>
    <i r="1">
      <x v="14"/>
      <x v="2"/>
    </i>
    <i r="1">
      <x v="17"/>
      <x v="2"/>
    </i>
    <i r="1">
      <x v="22"/>
      <x v="2"/>
    </i>
    <i r="1">
      <x v="27"/>
      <x v="2"/>
    </i>
    <i r="1">
      <x v="28"/>
      <x v="2"/>
    </i>
    <i>
      <x v="12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>
      <x v="13"/>
      <x v="2"/>
      <x v="2"/>
    </i>
    <i r="1">
      <x v="8"/>
      <x v="2"/>
    </i>
    <i>
      <x v="14"/>
      <x v="9"/>
      <x v="2"/>
    </i>
    <i r="1">
      <x v="14"/>
      <x v="2"/>
    </i>
    <i r="1">
      <x v="15"/>
      <x v="2"/>
    </i>
    <i r="1">
      <x v="16"/>
      <x v="2"/>
    </i>
    <i r="1">
      <x v="20"/>
      <x v="2"/>
    </i>
    <i>
      <x v="15"/>
      <x v="27"/>
      <x v="2"/>
    </i>
    <i r="1">
      <x v="28"/>
      <x v="2"/>
    </i>
    <i r="1">
      <x v="31"/>
      <x v="2"/>
    </i>
    <i>
      <x v="16"/>
      <x v="2"/>
      <x v="2"/>
    </i>
    <i r="1">
      <x v="8"/>
      <x v="2"/>
    </i>
    <i>
      <x v="17"/>
      <x v="21"/>
      <x v="2"/>
    </i>
    <i>
      <x v="18"/>
      <x v="7"/>
      <x v="2"/>
    </i>
    <i>
      <x v="19"/>
      <x v="23"/>
      <x v="2"/>
    </i>
    <i r="1">
      <x v="24"/>
      <x v="2"/>
    </i>
    <i r="1">
      <x v="26"/>
      <x v="2"/>
    </i>
    <i r="1">
      <x v="27"/>
      <x v="2"/>
    </i>
    <i r="1">
      <x v="28"/>
      <x v="2"/>
    </i>
    <i>
      <x v="20"/>
      <x v="2"/>
      <x v="2"/>
    </i>
    <i r="1">
      <x v="8"/>
      <x v="2"/>
    </i>
    <i>
      <x v="21"/>
      <x v="22"/>
      <x v="2"/>
    </i>
    <i r="1">
      <x v="27"/>
      <x v="2"/>
    </i>
    <i r="1">
      <x v="28"/>
      <x v="2"/>
    </i>
    <i r="1">
      <x v="29"/>
      <x v="2"/>
    </i>
    <i r="1">
      <x v="30"/>
      <x v="2"/>
    </i>
    <i>
      <x v="22"/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>
      <x v="23"/>
      <x v="5"/>
      <x v="2"/>
    </i>
    <i r="1">
      <x v="9"/>
      <x v="2"/>
    </i>
    <i r="1">
      <x v="11"/>
      <x v="2"/>
    </i>
    <i r="1">
      <x v="13"/>
      <x v="2"/>
    </i>
    <i r="1">
      <x v="16"/>
      <x v="2"/>
    </i>
    <i>
      <x v="24"/>
      <x v="5"/>
      <x v="2"/>
    </i>
    <i r="1">
      <x v="9"/>
      <x v="2"/>
    </i>
    <i r="1">
      <x v="11"/>
      <x v="2"/>
    </i>
    <i r="1">
      <x v="13"/>
      <x v="2"/>
    </i>
    <i r="1">
      <x v="16"/>
      <x v="2"/>
    </i>
    <i r="1">
      <x v="20"/>
      <x v="2"/>
    </i>
    <i>
      <x v="25"/>
      <x v="6"/>
      <x v="2"/>
    </i>
    <i r="1">
      <x v="7"/>
      <x v="2"/>
    </i>
    <i r="1">
      <x v="11"/>
      <x v="2"/>
    </i>
    <i r="1">
      <x v="14"/>
      <x v="2"/>
    </i>
    <i r="1">
      <x v="16"/>
      <x v="2"/>
    </i>
    <i r="1">
      <x v="18"/>
      <x v="2"/>
    </i>
    <i r="1">
      <x v="20"/>
      <x v="2"/>
    </i>
    <i r="1">
      <x v="21"/>
      <x v="2"/>
    </i>
    <i r="1">
      <x v="23"/>
      <x v="2"/>
    </i>
    <i r="1">
      <x v="24"/>
      <x v="2"/>
    </i>
    <i r="1">
      <x v="31"/>
      <x v="2"/>
    </i>
    <i>
      <x v="26"/>
      <x v="13"/>
      <x v="2"/>
    </i>
    <i r="1">
      <x v="17"/>
      <x v="2"/>
    </i>
    <i>
      <x v="27"/>
      <x v="9"/>
      <x v="2"/>
    </i>
    <i r="1">
      <x v="20"/>
      <x v="2"/>
    </i>
    <i r="1">
      <x v="21"/>
      <x v="2"/>
    </i>
    <i r="1">
      <x v="24"/>
      <x v="2"/>
    </i>
    <i r="1">
      <x v="31"/>
      <x v="2"/>
    </i>
    <i>
      <x v="28"/>
      <x v="13"/>
      <x v="2"/>
    </i>
    <i r="1">
      <x v="17"/>
      <x v="2"/>
    </i>
    <i r="1">
      <x v="30"/>
      <x v="2"/>
    </i>
    <i>
      <x v="29"/>
      <x v="6"/>
      <x v="2"/>
    </i>
    <i r="1">
      <x v="15"/>
      <x v="2"/>
    </i>
    <i r="1">
      <x v="21"/>
      <x v="2"/>
    </i>
    <i r="1">
      <x v="30"/>
      <x v="2"/>
    </i>
    <i>
      <x v="30"/>
      <x v="3"/>
      <x v="2"/>
    </i>
    <i r="1">
      <x v="7"/>
      <x v="2"/>
    </i>
    <i r="1">
      <x v="8"/>
      <x v="2"/>
    </i>
    <i r="1">
      <x v="10"/>
      <x v="2"/>
    </i>
    <i r="1">
      <x v="16"/>
      <x v="2"/>
    </i>
    <i r="1">
      <x v="17"/>
      <x v="2"/>
    </i>
    <i r="1">
      <x v="18"/>
      <x v="2"/>
    </i>
    <i r="1">
      <x v="19"/>
      <x v="2"/>
    </i>
    <i r="1">
      <x v="21"/>
      <x v="2"/>
    </i>
    <i r="1">
      <x v="22"/>
      <x v="2"/>
    </i>
    <i r="1">
      <x v="24"/>
      <x v="2"/>
    </i>
    <i r="1">
      <x v="27"/>
      <x v="2"/>
    </i>
    <i r="1">
      <x v="28"/>
      <x v="2"/>
    </i>
    <i r="1">
      <x v="29"/>
      <x v="2"/>
    </i>
    <i r="1">
      <x v="30"/>
      <x v="2"/>
    </i>
    <i>
      <x v="31"/>
      <x v="3"/>
      <x v="2"/>
    </i>
    <i r="1">
      <x v="22"/>
      <x v="2"/>
    </i>
    <i r="1">
      <x v="27"/>
      <x v="2"/>
    </i>
    <i r="1">
      <x v="28"/>
      <x v="2"/>
    </i>
    <i>
      <x v="32"/>
      <x v="14"/>
      <x v="2"/>
    </i>
    <i>
      <x v="33"/>
      <x v="15"/>
      <x v="2"/>
    </i>
    <i r="1">
      <x v="19"/>
      <x v="2"/>
    </i>
    <i r="1">
      <x v="24"/>
      <x v="2"/>
    </i>
    <i r="1">
      <x v="27"/>
      <x v="2"/>
    </i>
    <i>
      <x v="34"/>
      <x v="4"/>
      <x v="2"/>
    </i>
    <i r="1">
      <x v="21"/>
      <x v="2"/>
    </i>
    <i>
      <x v="35"/>
      <x v="12"/>
      <x v="2"/>
    </i>
    <i>
      <x v="36"/>
      <x v="7"/>
      <x v="2"/>
    </i>
    <i r="1">
      <x v="8"/>
      <x v="2"/>
    </i>
    <i r="1">
      <x v="12"/>
      <x v="2"/>
    </i>
    <i r="1">
      <x v="18"/>
      <x v="2"/>
    </i>
    <i>
      <x v="37"/>
      <x v="7"/>
      <x v="2"/>
    </i>
    <i r="1">
      <x v="8"/>
      <x v="2"/>
    </i>
    <i r="1">
      <x v="10"/>
      <x v="2"/>
    </i>
    <i r="1">
      <x v="16"/>
      <x v="2"/>
    </i>
    <i r="1">
      <x v="18"/>
      <x v="2"/>
    </i>
    <i r="1">
      <x v="22"/>
      <x v="3"/>
    </i>
    <i r="1">
      <x v="27"/>
      <x v="2"/>
    </i>
    <i>
      <x v="38"/>
      <x v="22"/>
      <x v="2"/>
    </i>
    <i r="1">
      <x v="23"/>
      <x v="2"/>
    </i>
    <i r="1">
      <x v="25"/>
      <x v="2"/>
    </i>
    <i r="1">
      <x v="26"/>
      <x v="2"/>
    </i>
    <i r="1">
      <x v="27"/>
      <x v="2"/>
    </i>
    <i r="1">
      <x v="28"/>
      <x v="2"/>
    </i>
    <i r="1">
      <x v="29"/>
      <x v="2"/>
    </i>
    <i r="1">
      <x v="30"/>
      <x v="2"/>
    </i>
    <i>
      <x v="39"/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6"/>
      <x v="2"/>
    </i>
    <i r="1">
      <x v="17"/>
      <x v="2"/>
    </i>
    <i>
      <x v="40"/>
      <x v="9"/>
      <x v="2"/>
    </i>
    <i r="1">
      <x v="12"/>
      <x v="2"/>
    </i>
    <i r="1">
      <x v="15"/>
      <x v="2"/>
    </i>
    <i r="1">
      <x v="16"/>
      <x v="2"/>
    </i>
    <i r="1">
      <x v="17"/>
      <x v="2"/>
    </i>
    <i>
      <x v="41"/>
      <x v="9"/>
      <x v="2"/>
    </i>
    <i>
      <x v="42"/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22"/>
      <x v="2"/>
    </i>
    <i>
      <x v="43"/>
      <x v="18"/>
      <x v="2"/>
    </i>
    <i>
      <x v="44"/>
      <x v="20"/>
      <x v="2"/>
    </i>
    <i>
      <x v="45"/>
      <x v="6"/>
      <x v="2"/>
    </i>
    <i r="1">
      <x v="16"/>
      <x v="2"/>
    </i>
    <i>
      <x v="46"/>
      <x v="5"/>
      <x v="2"/>
    </i>
    <i r="1">
      <x v="14"/>
      <x v="2"/>
    </i>
    <i r="1">
      <x v="19"/>
      <x v="2"/>
    </i>
    <i>
      <x v="47"/>
      <x v="4"/>
      <x v="2"/>
    </i>
    <i r="1">
      <x v="12"/>
      <x v="2"/>
    </i>
    <i r="1">
      <x v="16"/>
      <x v="2"/>
    </i>
    <i r="1">
      <x v="24"/>
      <x v="2"/>
    </i>
    <i r="1">
      <x v="28"/>
      <x v="2"/>
    </i>
    <i r="1">
      <x v="30"/>
      <x v="2"/>
    </i>
    <i>
      <x v="48"/>
      <x v="21"/>
      <x v="2"/>
    </i>
    <i>
      <x v="49"/>
      <x v="17"/>
      <x v="2"/>
    </i>
    <i>
      <x v="50"/>
      <x v="3"/>
      <x v="2"/>
    </i>
    <i r="1">
      <x v="12"/>
      <x v="2"/>
    </i>
    <i>
      <x v="51"/>
      <x v="5"/>
      <x v="2"/>
    </i>
    <i r="1">
      <x v="12"/>
      <x v="2"/>
    </i>
    <i r="1">
      <x v="20"/>
      <x v="2"/>
    </i>
    <i>
      <x v="52"/>
      <x v="20"/>
      <x v="2"/>
    </i>
    <i>
      <x v="53"/>
      <x v="14"/>
      <x v="2"/>
    </i>
    <i r="1">
      <x v="16"/>
      <x v="2"/>
    </i>
    <i r="1">
      <x v="21"/>
      <x v="2"/>
    </i>
    <i r="1">
      <x v="31"/>
      <x v="2"/>
    </i>
    <i>
      <x v="54"/>
      <x v="6"/>
      <x v="2"/>
    </i>
    <i r="1">
      <x v="14"/>
      <x v="2"/>
    </i>
    <i r="1">
      <x v="24"/>
      <x v="2"/>
    </i>
    <i r="1">
      <x v="27"/>
      <x v="2"/>
    </i>
    <i>
      <x v="55"/>
      <x v="2"/>
      <x v="2"/>
    </i>
    <i r="1">
      <x v="4"/>
      <x v="2"/>
    </i>
    <i r="1">
      <x v="8"/>
      <x v="2"/>
    </i>
    <i r="1">
      <x v="9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18"/>
      <x v="2"/>
    </i>
    <i r="1">
      <x v="20"/>
      <x v="2"/>
    </i>
    <i r="1">
      <x v="21"/>
      <x v="2"/>
    </i>
    <i r="1">
      <x v="22"/>
      <x v="2"/>
    </i>
    <i r="1">
      <x v="24"/>
      <x v="2"/>
    </i>
    <i r="1">
      <x v="27"/>
      <x v="2"/>
    </i>
    <i r="1">
      <x v="28"/>
      <x v="2"/>
    </i>
    <i>
      <x v="56"/>
      <x v="24"/>
      <x v="2"/>
    </i>
    <i r="1">
      <x v="28"/>
      <x v="2"/>
    </i>
    <i>
      <x v="57"/>
      <x v="9"/>
      <x v="2"/>
    </i>
    <i r="1">
      <x v="12"/>
      <x v="2"/>
    </i>
    <i r="1">
      <x v="15"/>
      <x v="2"/>
    </i>
    <i r="1">
      <x v="24"/>
      <x v="2"/>
    </i>
    <i>
      <x v="58"/>
      <x v="18"/>
      <x v="2"/>
    </i>
    <i>
      <x v="59"/>
      <x v="12"/>
      <x v="2"/>
    </i>
    <i>
      <x v="60"/>
      <x v="12"/>
      <x v="2"/>
    </i>
    <i>
      <x v="61"/>
      <x v="2"/>
      <x v="2"/>
    </i>
    <i r="1">
      <x v="4"/>
      <x v="2"/>
    </i>
    <i r="1">
      <x v="6"/>
      <x v="2"/>
    </i>
    <i r="1">
      <x v="8"/>
      <x v="2"/>
    </i>
    <i r="1">
      <x v="12"/>
      <x v="2"/>
    </i>
    <i r="1">
      <x v="17"/>
      <x v="2"/>
    </i>
    <i r="1">
      <x v="19"/>
      <x v="2"/>
    </i>
    <i>
      <x v="62"/>
      <x v="21"/>
      <x v="2"/>
    </i>
    <i r="1">
      <x v="31"/>
      <x v="2"/>
    </i>
    <i>
      <x v="63"/>
      <x v="2"/>
      <x v="2"/>
    </i>
    <i r="1">
      <x v="6"/>
      <x v="2"/>
    </i>
    <i r="1">
      <x v="8"/>
      <x v="2"/>
    </i>
    <i r="1">
      <x v="13"/>
      <x v="2"/>
    </i>
    <i r="1">
      <x v="21"/>
      <x v="2"/>
    </i>
    <i r="1">
      <x v="26"/>
      <x v="2"/>
    </i>
    <i r="1">
      <x v="27"/>
      <x v="2"/>
    </i>
    <i>
      <x v="64"/>
      <x v="2"/>
      <x v="2"/>
    </i>
    <i r="1">
      <x v="4"/>
      <x v="2"/>
    </i>
    <i r="1">
      <x v="8"/>
      <x v="2"/>
    </i>
    <i r="1">
      <x v="9"/>
      <x v="2"/>
    </i>
    <i r="2">
      <x v="3"/>
    </i>
    <i r="1">
      <x v="10"/>
      <x v="2"/>
    </i>
    <i r="2">
      <x v="3"/>
    </i>
    <i r="1">
      <x v="12"/>
      <x v="2"/>
    </i>
    <i r="1">
      <x v="15"/>
      <x v="2"/>
    </i>
    <i r="2">
      <x v="3"/>
    </i>
    <i r="1">
      <x v="17"/>
      <x v="2"/>
    </i>
    <i r="2">
      <x v="3"/>
    </i>
    <i r="1">
      <x v="18"/>
      <x v="2"/>
    </i>
    <i r="1">
      <x v="21"/>
      <x v="2"/>
    </i>
    <i r="1">
      <x v="22"/>
      <x v="3"/>
    </i>
    <i r="1">
      <x v="23"/>
      <x v="2"/>
    </i>
    <i r="2">
      <x v="3"/>
    </i>
    <i r="1">
      <x v="26"/>
      <x v="3"/>
    </i>
    <i r="1">
      <x v="27"/>
      <x v="2"/>
    </i>
    <i r="1">
      <x v="29"/>
      <x v="3"/>
    </i>
    <i r="1">
      <x v="30"/>
      <x v="3"/>
    </i>
    <i r="1">
      <x v="31"/>
      <x v="2"/>
    </i>
    <i>
      <x v="65"/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>
      <x v="66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18"/>
      <x v="2"/>
    </i>
    <i r="1">
      <x v="19"/>
      <x v="2"/>
    </i>
    <i r="1">
      <x v="20"/>
      <x v="2"/>
    </i>
    <i r="1">
      <x v="21"/>
      <x v="2"/>
    </i>
    <i r="1">
      <x v="22"/>
      <x v="2"/>
    </i>
    <i r="1">
      <x v="23"/>
      <x v="2"/>
    </i>
    <i r="1">
      <x v="24"/>
      <x v="2"/>
    </i>
    <i r="1">
      <x v="25"/>
      <x v="2"/>
    </i>
    <i r="1">
      <x v="26"/>
      <x v="2"/>
    </i>
    <i r="1">
      <x v="27"/>
      <x v="2"/>
    </i>
    <i r="1">
      <x v="28"/>
      <x v="2"/>
    </i>
    <i r="1">
      <x v="29"/>
      <x v="2"/>
    </i>
    <i r="1">
      <x v="30"/>
      <x v="2"/>
    </i>
    <i r="1">
      <x v="31"/>
      <x v="2"/>
    </i>
    <i>
      <x v="67"/>
      <x v="22"/>
      <x v="2"/>
    </i>
    <i r="1">
      <x v="28"/>
      <x v="2"/>
    </i>
    <i r="1">
      <x v="29"/>
      <x v="2"/>
    </i>
    <i r="1">
      <x v="30"/>
      <x v="2"/>
    </i>
    <i>
      <x v="68"/>
      <x v="22"/>
      <x v="2"/>
    </i>
    <i r="1">
      <x v="23"/>
      <x v="2"/>
    </i>
    <i r="1">
      <x v="27"/>
      <x v="2"/>
    </i>
    <i r="1">
      <x v="28"/>
      <x v="2"/>
    </i>
    <i r="1">
      <x v="29"/>
      <x v="2"/>
    </i>
    <i r="1">
      <x v="30"/>
      <x v="2"/>
    </i>
    <i>
      <x v="69"/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5"/>
      <x v="2"/>
    </i>
    <i r="1">
      <x v="16"/>
      <x v="2"/>
    </i>
    <i r="1">
      <x v="17"/>
      <x v="2"/>
    </i>
    <i>
      <x v="70"/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>
      <x v="71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18"/>
      <x v="2"/>
    </i>
    <i r="1">
      <x v="19"/>
      <x v="2"/>
    </i>
    <i r="1">
      <x v="20"/>
      <x v="2"/>
    </i>
    <i r="1">
      <x v="21"/>
      <x v="2"/>
    </i>
    <i r="1">
      <x v="22"/>
      <x v="2"/>
    </i>
    <i r="1">
      <x v="23"/>
      <x v="2"/>
    </i>
    <i r="1">
      <x v="24"/>
      <x v="2"/>
    </i>
    <i r="1">
      <x v="26"/>
      <x v="2"/>
    </i>
    <i r="1">
      <x v="27"/>
      <x v="2"/>
    </i>
    <i r="1">
      <x v="28"/>
      <x v="2"/>
    </i>
    <i r="1">
      <x v="29"/>
      <x v="2"/>
    </i>
    <i r="1">
      <x v="30"/>
      <x v="2"/>
    </i>
    <i r="1">
      <x v="31"/>
      <x v="2"/>
    </i>
    <i>
      <x v="72"/>
      <x v="8"/>
      <x v="2"/>
    </i>
    <i r="1">
      <x v="14"/>
      <x v="2"/>
    </i>
    <i r="1">
      <x v="20"/>
      <x v="2"/>
    </i>
    <i r="1">
      <x v="27"/>
      <x v="2"/>
    </i>
    <i>
      <x v="73"/>
      <x v="12"/>
      <x v="2"/>
    </i>
    <i r="1">
      <x v="18"/>
      <x v="2"/>
    </i>
    <i r="1">
      <x v="21"/>
      <x v="2"/>
    </i>
    <i>
      <x v="74"/>
      <x v="4"/>
      <x v="2"/>
    </i>
    <i r="1">
      <x v="9"/>
      <x v="2"/>
    </i>
    <i r="1">
      <x v="12"/>
      <x v="2"/>
    </i>
    <i r="1">
      <x v="16"/>
      <x v="2"/>
    </i>
    <i>
      <x v="75"/>
      <x v="2"/>
      <x v="2"/>
    </i>
    <i r="1">
      <x v="3"/>
      <x v="2"/>
    </i>
    <i r="1">
      <x v="6"/>
      <x v="2"/>
    </i>
    <i r="1">
      <x v="7"/>
      <x v="2"/>
    </i>
    <i r="1">
      <x v="9"/>
      <x v="2"/>
    </i>
    <i r="1">
      <x v="10"/>
      <x v="2"/>
    </i>
    <i r="1">
      <x v="11"/>
      <x v="2"/>
    </i>
    <i r="1">
      <x v="17"/>
      <x v="2"/>
    </i>
    <i r="1">
      <x v="19"/>
      <x v="2"/>
    </i>
    <i r="1">
      <x v="20"/>
      <x v="2"/>
    </i>
    <i r="1">
      <x v="22"/>
      <x v="2"/>
    </i>
    <i r="1">
      <x v="27"/>
      <x v="2"/>
    </i>
    <i>
      <x v="76"/>
      <x v="2"/>
      <x v="2"/>
    </i>
    <i r="1">
      <x v="7"/>
      <x v="2"/>
    </i>
    <i r="1">
      <x v="11"/>
      <x v="2"/>
    </i>
    <i r="1">
      <x v="14"/>
      <x v="2"/>
    </i>
    <i r="1">
      <x v="15"/>
      <x v="2"/>
    </i>
    <i r="1">
      <x v="18"/>
      <x v="2"/>
    </i>
    <i r="1">
      <x v="23"/>
      <x v="2"/>
    </i>
    <i r="1">
      <x v="27"/>
      <x v="2"/>
    </i>
    <i r="1">
      <x v="29"/>
      <x v="2"/>
    </i>
    <i r="1">
      <x v="31"/>
      <x v="2"/>
    </i>
    <i>
      <x v="77"/>
      <x v="18"/>
      <x v="2"/>
    </i>
    <i r="1">
      <x v="22"/>
      <x v="2"/>
    </i>
    <i r="1">
      <x v="27"/>
      <x v="2"/>
    </i>
    <i>
      <x v="78"/>
      <x v="24"/>
      <x v="2"/>
    </i>
    <i r="1">
      <x v="27"/>
      <x v="2"/>
    </i>
    <i>
      <x v="79"/>
      <x v="8"/>
      <x v="2"/>
    </i>
    <i>
      <x v="80"/>
      <x v="8"/>
      <x v="2"/>
    </i>
    <i>
      <x v="81"/>
      <x v="12"/>
      <x v="2"/>
    </i>
    <i r="1">
      <x v="18"/>
      <x v="2"/>
    </i>
    <i r="1">
      <x v="27"/>
      <x v="2"/>
    </i>
    <i r="1">
      <x v="31"/>
      <x v="2"/>
    </i>
    <i>
      <x v="82"/>
      <x v="8"/>
      <x v="2"/>
    </i>
    <i r="1">
      <x v="10"/>
      <x v="2"/>
    </i>
    <i>
      <x v="83"/>
      <x v="8"/>
      <x v="2"/>
    </i>
    <i r="1">
      <x v="10"/>
      <x v="2"/>
    </i>
    <i r="1">
      <x v="16"/>
      <x v="2"/>
    </i>
    <i r="1">
      <x v="22"/>
      <x v="2"/>
    </i>
    <i r="1">
      <x v="24"/>
      <x v="2"/>
    </i>
    <i>
      <x v="84"/>
      <x v="3"/>
      <x v="2"/>
    </i>
    <i r="1">
      <x v="12"/>
      <x v="2"/>
    </i>
    <i r="1">
      <x v="17"/>
      <x v="2"/>
    </i>
    <i r="1">
      <x v="25"/>
      <x v="2"/>
    </i>
    <i r="1">
      <x v="26"/>
      <x v="2"/>
    </i>
    <i>
      <x v="85"/>
      <x v="20"/>
      <x v="2"/>
    </i>
    <i r="1">
      <x v="21"/>
      <x v="2"/>
    </i>
    <i r="1">
      <x v="24"/>
      <x v="2"/>
    </i>
    <i>
      <x v="86"/>
      <x v="5"/>
      <x v="2"/>
    </i>
    <i r="1">
      <x v="6"/>
      <x v="2"/>
    </i>
    <i r="1">
      <x v="7"/>
      <x v="2"/>
    </i>
    <i r="1">
      <x v="9"/>
      <x v="2"/>
    </i>
    <i r="2">
      <x v="3"/>
    </i>
    <i r="1">
      <x v="11"/>
      <x v="2"/>
    </i>
    <i r="2">
      <x v="3"/>
    </i>
    <i r="1">
      <x v="12"/>
      <x v="2"/>
    </i>
    <i r="2">
      <x v="3"/>
    </i>
    <i r="1">
      <x v="13"/>
      <x v="3"/>
    </i>
    <i r="1">
      <x v="15"/>
      <x v="2"/>
    </i>
    <i r="2">
      <x v="3"/>
    </i>
    <i r="1">
      <x v="16"/>
      <x v="2"/>
    </i>
    <i r="2">
      <x v="3"/>
    </i>
    <i r="1">
      <x v="17"/>
      <x v="3"/>
    </i>
    <i r="1">
      <x v="20"/>
      <x v="2"/>
    </i>
    <i r="1">
      <x v="21"/>
      <x v="2"/>
    </i>
    <i r="1">
      <x v="22"/>
      <x v="2"/>
    </i>
    <i r="2">
      <x v="3"/>
    </i>
    <i r="1">
      <x v="25"/>
      <x v="3"/>
    </i>
    <i r="1">
      <x v="26"/>
      <x v="3"/>
    </i>
    <i r="1">
      <x v="27"/>
      <x v="3"/>
    </i>
    <i r="1">
      <x v="28"/>
      <x v="2"/>
    </i>
    <i r="2">
      <x v="3"/>
    </i>
    <i r="1">
      <x v="29"/>
      <x v="2"/>
    </i>
    <i r="1">
      <x v="30"/>
      <x v="3"/>
    </i>
    <i r="1">
      <x v="31"/>
      <x v="2"/>
    </i>
    <i>
      <x v="87"/>
      <x v="2"/>
      <x v="2"/>
    </i>
    <i r="1">
      <x v="4"/>
      <x v="2"/>
    </i>
    <i r="1">
      <x v="5"/>
      <x v="2"/>
    </i>
    <i r="1">
      <x v="7"/>
      <x v="2"/>
    </i>
    <i r="1">
      <x v="9"/>
      <x v="2"/>
    </i>
    <i r="1">
      <x v="10"/>
      <x v="2"/>
    </i>
    <i r="1">
      <x v="11"/>
      <x v="2"/>
    </i>
    <i r="1">
      <x v="14"/>
      <x v="2"/>
    </i>
    <i r="1">
      <x v="17"/>
      <x v="2"/>
    </i>
    <i r="2">
      <x v="3"/>
    </i>
    <i r="1">
      <x v="20"/>
      <x v="2"/>
    </i>
    <i r="1">
      <x v="21"/>
      <x v="2"/>
    </i>
    <i r="1">
      <x v="22"/>
      <x v="3"/>
    </i>
    <i r="1">
      <x v="23"/>
      <x v="2"/>
    </i>
    <i r="2">
      <x v="3"/>
    </i>
    <i r="1">
      <x v="24"/>
      <x v="2"/>
    </i>
    <i r="1">
      <x v="26"/>
      <x v="3"/>
    </i>
    <i r="1">
      <x v="28"/>
      <x v="3"/>
    </i>
    <i r="1">
      <x v="29"/>
      <x v="2"/>
    </i>
    <i r="1">
      <x v="30"/>
      <x v="2"/>
    </i>
    <i r="2">
      <x v="3"/>
    </i>
    <i r="1">
      <x v="31"/>
      <x v="2"/>
    </i>
    <i>
      <x v="88"/>
      <x v="3"/>
      <x v="2"/>
    </i>
    <i r="1">
      <x v="4"/>
      <x v="2"/>
    </i>
    <i r="1">
      <x v="7"/>
      <x v="2"/>
    </i>
    <i r="1">
      <x v="10"/>
      <x v="2"/>
    </i>
    <i r="1">
      <x v="11"/>
      <x v="2"/>
    </i>
    <i r="1">
      <x v="12"/>
      <x v="2"/>
    </i>
    <i r="1">
      <x v="15"/>
      <x v="2"/>
    </i>
    <i r="1">
      <x v="16"/>
      <x v="3"/>
    </i>
    <i r="1">
      <x v="18"/>
      <x v="2"/>
    </i>
    <i r="1">
      <x v="22"/>
      <x v="3"/>
    </i>
    <i r="1">
      <x v="23"/>
      <x v="2"/>
    </i>
    <i r="1">
      <x v="24"/>
      <x v="2"/>
    </i>
    <i r="1">
      <x v="25"/>
      <x v="3"/>
    </i>
    <i r="1">
      <x v="26"/>
      <x v="2"/>
    </i>
    <i r="1">
      <x v="27"/>
      <x v="3"/>
    </i>
    <i r="1">
      <x v="28"/>
      <x v="3"/>
    </i>
    <i r="1">
      <x v="29"/>
      <x v="3"/>
    </i>
    <i r="1">
      <x v="30"/>
      <x v="3"/>
    </i>
    <i r="1">
      <x v="31"/>
      <x v="2"/>
    </i>
    <i>
      <x v="89"/>
      <x v="28"/>
      <x v="2"/>
    </i>
    <i>
      <x v="90"/>
      <x v="2"/>
      <x v="2"/>
    </i>
    <i r="1">
      <x v="8"/>
      <x v="2"/>
    </i>
    <i r="1">
      <x v="10"/>
      <x v="2"/>
    </i>
    <i r="1">
      <x v="11"/>
      <x v="2"/>
    </i>
    <i r="1">
      <x v="21"/>
      <x v="2"/>
    </i>
    <i>
      <x v="91"/>
      <x v="10"/>
      <x v="2"/>
    </i>
    <i r="1">
      <x v="14"/>
      <x v="2"/>
    </i>
    <i r="1">
      <x v="15"/>
      <x v="2"/>
    </i>
    <i r="1">
      <x v="17"/>
      <x v="2"/>
    </i>
    <i r="1">
      <x v="21"/>
      <x v="2"/>
    </i>
    <i r="1">
      <x v="23"/>
      <x v="2"/>
    </i>
    <i r="1">
      <x v="31"/>
      <x v="2"/>
    </i>
    <i>
      <x v="92"/>
      <x v="3"/>
      <x v="2"/>
    </i>
    <i>
      <x v="93"/>
      <x v="8"/>
      <x v="2"/>
    </i>
    <i r="1">
      <x v="15"/>
      <x v="2"/>
    </i>
    <i r="1">
      <x v="16"/>
      <x v="2"/>
    </i>
    <i>
      <x v="94"/>
      <x v="3"/>
      <x v="2"/>
    </i>
    <i r="1">
      <x v="8"/>
      <x v="2"/>
    </i>
    <i r="1">
      <x v="9"/>
      <x v="2"/>
    </i>
    <i r="1">
      <x v="12"/>
      <x v="2"/>
    </i>
    <i r="1">
      <x v="14"/>
      <x v="2"/>
    </i>
    <i r="1">
      <x v="18"/>
      <x v="2"/>
    </i>
    <i>
      <x v="95"/>
      <x v="3"/>
      <x v="2"/>
    </i>
    <i r="1">
      <x v="13"/>
      <x v="2"/>
    </i>
    <i>
      <x v="96"/>
      <x v="4"/>
      <x v="2"/>
    </i>
    <i r="1">
      <x v="19"/>
      <x v="2"/>
    </i>
    <i r="1">
      <x v="21"/>
      <x v="2"/>
    </i>
    <i>
      <x v="97"/>
      <x v="19"/>
      <x v="2"/>
    </i>
    <i r="1">
      <x v="29"/>
      <x v="2"/>
    </i>
    <i>
      <x v="98"/>
      <x v="13"/>
      <x v="2"/>
    </i>
    <i r="1">
      <x v="17"/>
      <x v="2"/>
    </i>
    <i>
      <x v="99"/>
      <x v="10"/>
      <x v="2"/>
    </i>
    <i r="1">
      <x v="12"/>
      <x v="3"/>
    </i>
    <i r="1">
      <x v="16"/>
      <x v="3"/>
    </i>
    <i r="1">
      <x v="17"/>
      <x v="3"/>
    </i>
    <i r="1">
      <x v="18"/>
      <x v="2"/>
    </i>
    <i r="1">
      <x v="20"/>
      <x v="2"/>
    </i>
    <i r="1">
      <x v="22"/>
      <x v="2"/>
    </i>
    <i r="2">
      <x v="3"/>
    </i>
    <i r="1">
      <x v="25"/>
      <x v="3"/>
    </i>
    <i r="1">
      <x v="26"/>
      <x v="2"/>
    </i>
    <i r="1">
      <x v="28"/>
      <x v="3"/>
    </i>
    <i r="1">
      <x v="30"/>
      <x v="3"/>
    </i>
    <i r="1">
      <x v="31"/>
      <x v="2"/>
    </i>
    <i>
      <x v="100"/>
      <x v="6"/>
      <x v="2"/>
    </i>
    <i r="1">
      <x v="7"/>
      <x v="2"/>
    </i>
    <i r="1">
      <x v="8"/>
      <x v="2"/>
    </i>
    <i r="1">
      <x v="10"/>
      <x v="3"/>
    </i>
    <i r="1">
      <x v="12"/>
      <x v="3"/>
    </i>
    <i r="1">
      <x v="15"/>
      <x v="2"/>
    </i>
    <i r="1">
      <x v="17"/>
      <x v="3"/>
    </i>
    <i r="1">
      <x v="21"/>
      <x v="2"/>
    </i>
    <i r="1">
      <x v="22"/>
      <x v="3"/>
    </i>
    <i r="1">
      <x v="23"/>
      <x v="2"/>
    </i>
    <i r="2">
      <x v="3"/>
    </i>
    <i r="1">
      <x v="25"/>
      <x v="2"/>
    </i>
    <i r="1">
      <x v="28"/>
      <x v="3"/>
    </i>
    <i r="1">
      <x v="30"/>
      <x v="3"/>
    </i>
    <i>
      <x v="101"/>
      <x v="2"/>
      <x v="2"/>
    </i>
    <i r="1">
      <x v="5"/>
      <x v="2"/>
    </i>
    <i r="1">
      <x v="9"/>
      <x v="2"/>
    </i>
    <i r="1">
      <x v="11"/>
      <x v="2"/>
    </i>
    <i r="1">
      <x v="12"/>
      <x v="2"/>
    </i>
    <i r="1">
      <x v="26"/>
      <x v="2"/>
    </i>
    <i r="1">
      <x v="31"/>
      <x v="2"/>
    </i>
    <i>
      <x v="102"/>
      <x v="2"/>
      <x v="2"/>
    </i>
    <i r="1">
      <x v="5"/>
      <x v="2"/>
    </i>
    <i r="1">
      <x v="8"/>
      <x v="2"/>
    </i>
    <i r="1">
      <x v="9"/>
      <x v="2"/>
    </i>
    <i r="1">
      <x v="10"/>
      <x v="2"/>
    </i>
    <i r="1">
      <x v="13"/>
      <x v="2"/>
    </i>
    <i r="1">
      <x v="14"/>
      <x v="2"/>
    </i>
    <i r="1">
      <x v="16"/>
      <x v="2"/>
    </i>
    <i r="1">
      <x v="17"/>
      <x v="2"/>
    </i>
    <i r="1">
      <x v="18"/>
      <x v="2"/>
    </i>
    <i r="1">
      <x v="19"/>
      <x v="2"/>
    </i>
    <i r="1">
      <x v="21"/>
      <x v="2"/>
    </i>
    <i r="1">
      <x v="23"/>
      <x v="2"/>
    </i>
    <i r="1">
      <x v="24"/>
      <x v="2"/>
    </i>
    <i r="1">
      <x v="25"/>
      <x v="2"/>
    </i>
    <i r="1">
      <x v="27"/>
      <x v="2"/>
    </i>
    <i r="1">
      <x v="28"/>
      <x v="2"/>
    </i>
    <i>
      <x v="103"/>
      <x v="2"/>
      <x v="2"/>
    </i>
    <i r="1">
      <x v="4"/>
      <x v="2"/>
    </i>
    <i r="1">
      <x v="5"/>
      <x v="2"/>
    </i>
    <i r="1">
      <x v="9"/>
      <x v="2"/>
    </i>
    <i r="1">
      <x v="13"/>
      <x v="2"/>
    </i>
    <i r="1">
      <x v="14"/>
      <x v="2"/>
    </i>
    <i r="1">
      <x v="20"/>
      <x v="2"/>
    </i>
    <i r="1">
      <x v="21"/>
      <x v="2"/>
    </i>
    <i>
      <x v="104"/>
      <x v="4"/>
      <x v="2"/>
    </i>
    <i r="1">
      <x v="7"/>
      <x v="2"/>
    </i>
    <i r="1">
      <x v="8"/>
      <x v="2"/>
    </i>
    <i r="1">
      <x v="12"/>
      <x v="2"/>
    </i>
    <i r="1">
      <x v="13"/>
      <x v="2"/>
    </i>
    <i r="1">
      <x v="15"/>
      <x v="2"/>
    </i>
    <i r="1">
      <x v="18"/>
      <x v="2"/>
    </i>
    <i r="1">
      <x v="27"/>
      <x v="2"/>
    </i>
    <i>
      <x v="105"/>
      <x v="2"/>
      <x v="2"/>
    </i>
    <i r="1">
      <x v="8"/>
      <x v="2"/>
    </i>
    <i r="1">
      <x v="10"/>
      <x v="2"/>
    </i>
    <i r="1">
      <x v="15"/>
      <x v="2"/>
    </i>
    <i r="1">
      <x v="23"/>
      <x v="2"/>
    </i>
    <i r="1">
      <x v="30"/>
      <x v="2"/>
    </i>
    <i>
      <x v="106"/>
      <x v="2"/>
      <x v="2"/>
    </i>
    <i r="1">
      <x v="15"/>
      <x v="2"/>
    </i>
    <i r="1">
      <x v="16"/>
      <x v="2"/>
    </i>
    <i r="1">
      <x v="24"/>
      <x v="2"/>
    </i>
    <i>
      <x v="107"/>
      <x v="2"/>
      <x v="2"/>
    </i>
    <i r="1">
      <x v="8"/>
      <x v="2"/>
    </i>
    <i r="1">
      <x v="12"/>
      <x v="2"/>
    </i>
    <i>
      <x v="108"/>
      <x v="9"/>
      <x v="2"/>
    </i>
    <i r="1">
      <x v="12"/>
      <x v="2"/>
    </i>
    <i>
      <x v="109"/>
      <x v="2"/>
      <x v="2"/>
    </i>
    <i r="1">
      <x v="10"/>
      <x v="2"/>
    </i>
    <i r="1">
      <x v="12"/>
      <x v="2"/>
    </i>
    <i r="1">
      <x v="13"/>
      <x v="2"/>
    </i>
    <i r="1">
      <x v="16"/>
      <x v="2"/>
    </i>
    <i r="1">
      <x v="21"/>
      <x v="2"/>
    </i>
    <i r="1">
      <x v="23"/>
      <x v="2"/>
    </i>
    <i>
      <x v="110"/>
      <x v="9"/>
      <x v="2"/>
    </i>
    <i r="1">
      <x v="15"/>
      <x v="2"/>
    </i>
    <i r="1">
      <x v="27"/>
      <x v="2"/>
    </i>
    <i r="1">
      <x v="28"/>
      <x v="2"/>
    </i>
    <i r="1">
      <x v="30"/>
      <x v="2"/>
    </i>
    <i r="1">
      <x v="31"/>
      <x v="2"/>
    </i>
    <i>
      <x v="111"/>
      <x v="26"/>
      <x v="2"/>
    </i>
    <i>
      <x v="112"/>
      <x v="8"/>
      <x v="2"/>
    </i>
    <i r="1">
      <x v="9"/>
      <x v="2"/>
    </i>
    <i r="1">
      <x v="18"/>
      <x v="2"/>
    </i>
    <i r="1">
      <x v="26"/>
      <x v="2"/>
    </i>
    <i>
      <x v="113"/>
      <x v="7"/>
      <x v="2"/>
    </i>
    <i r="1">
      <x v="13"/>
      <x v="3"/>
    </i>
    <i r="1">
      <x v="29"/>
      <x v="2"/>
    </i>
    <i>
      <x v="114"/>
      <x v="15"/>
      <x v="2"/>
    </i>
    <i>
      <x v="115"/>
      <x v="28"/>
      <x v="2"/>
    </i>
    <i>
      <x v="116"/>
      <x v="3"/>
      <x v="2"/>
    </i>
    <i r="1">
      <x v="8"/>
      <x v="2"/>
    </i>
    <i r="1">
      <x v="15"/>
      <x v="2"/>
    </i>
    <i r="1">
      <x v="28"/>
      <x v="2"/>
    </i>
    <i>
      <x v="117"/>
      <x v="27"/>
      <x v="2"/>
    </i>
    <i>
      <x v="118"/>
      <x v="7"/>
      <x v="2"/>
    </i>
    <i r="1">
      <x v="26"/>
      <x v="2"/>
    </i>
    <i r="1">
      <x v="27"/>
      <x v="2"/>
    </i>
    <i>
      <x v="119"/>
      <x v="7"/>
      <x v="2"/>
    </i>
    <i r="1">
      <x v="20"/>
      <x v="2"/>
    </i>
    <i r="1">
      <x v="24"/>
      <x v="2"/>
    </i>
    <i r="1">
      <x v="26"/>
      <x v="2"/>
    </i>
    <i>
      <x v="120"/>
      <x v="6"/>
      <x v="2"/>
    </i>
    <i r="1">
      <x v="16"/>
      <x v="2"/>
    </i>
    <i r="1">
      <x v="20"/>
      <x v="2"/>
    </i>
    <i r="1">
      <x v="24"/>
      <x v="2"/>
    </i>
    <i r="1">
      <x v="29"/>
      <x v="2"/>
    </i>
    <i>
      <x v="121"/>
      <x v="6"/>
      <x v="2"/>
    </i>
    <i>
      <x v="122"/>
      <x v="6"/>
      <x v="2"/>
    </i>
    <i r="1">
      <x v="7"/>
      <x v="2"/>
    </i>
    <i r="1">
      <x v="8"/>
      <x v="2"/>
    </i>
    <i r="1">
      <x v="10"/>
      <x v="2"/>
    </i>
    <i r="1">
      <x v="14"/>
      <x v="2"/>
    </i>
    <i r="1">
      <x v="15"/>
      <x v="3"/>
    </i>
    <i r="1">
      <x v="26"/>
      <x v="2"/>
    </i>
    <i>
      <x v="123"/>
      <x v="2"/>
      <x v="2"/>
    </i>
    <i r="1">
      <x v="8"/>
      <x v="2"/>
    </i>
    <i r="1">
      <x v="9"/>
      <x v="2"/>
    </i>
    <i r="2">
      <x v="3"/>
    </i>
    <i r="1">
      <x v="12"/>
      <x v="3"/>
    </i>
    <i r="1">
      <x v="15"/>
      <x v="3"/>
    </i>
    <i r="1">
      <x v="16"/>
      <x v="2"/>
    </i>
    <i r="1">
      <x v="17"/>
      <x v="2"/>
    </i>
    <i r="1">
      <x v="23"/>
      <x v="2"/>
    </i>
    <i r="1">
      <x v="24"/>
      <x v="2"/>
    </i>
    <i r="1">
      <x v="26"/>
      <x v="2"/>
    </i>
    <i>
      <x v="124"/>
      <x v="9"/>
      <x v="2"/>
    </i>
    <i r="1">
      <x v="10"/>
      <x v="3"/>
    </i>
    <i r="1">
      <x v="11"/>
      <x v="2"/>
    </i>
    <i r="1">
      <x v="12"/>
      <x v="2"/>
    </i>
    <i r="1">
      <x v="14"/>
      <x v="3"/>
    </i>
    <i r="1">
      <x v="16"/>
      <x v="3"/>
    </i>
    <i r="1">
      <x v="26"/>
      <x v="2"/>
    </i>
    <i r="1">
      <x v="27"/>
      <x v="2"/>
    </i>
    <i>
      <x v="125"/>
      <x v="2"/>
      <x v="2"/>
    </i>
    <i r="1">
      <x v="3"/>
      <x v="2"/>
    </i>
    <i r="1">
      <x v="12"/>
      <x v="2"/>
    </i>
    <i r="1">
      <x v="27"/>
      <x v="2"/>
    </i>
    <i r="1">
      <x v="28"/>
      <x v="2"/>
    </i>
    <i>
      <x v="126"/>
      <x v="22"/>
      <x v="2"/>
    </i>
    <i r="1">
      <x v="28"/>
      <x v="2"/>
    </i>
    <i r="1">
      <x v="29"/>
      <x v="2"/>
    </i>
    <i r="1">
      <x v="30"/>
      <x v="2"/>
    </i>
    <i>
      <x v="127"/>
      <x v="18"/>
      <x v="2"/>
    </i>
    <i>
      <x v="128"/>
      <x v="8"/>
      <x v="2"/>
    </i>
    <i>
      <x v="129"/>
      <x v="2"/>
      <x v="2"/>
    </i>
    <i r="1">
      <x v="4"/>
      <x v="2"/>
    </i>
    <i r="1">
      <x v="5"/>
      <x v="2"/>
    </i>
    <i r="1">
      <x v="7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8"/>
      <x v="2"/>
    </i>
    <i r="1">
      <x v="19"/>
      <x v="2"/>
    </i>
    <i r="1">
      <x v="20"/>
      <x v="2"/>
    </i>
    <i r="1">
      <x v="21"/>
      <x v="2"/>
    </i>
    <i r="1">
      <x v="22"/>
      <x v="2"/>
    </i>
    <i r="1">
      <x v="23"/>
      <x v="2"/>
    </i>
    <i r="1">
      <x v="24"/>
      <x v="2"/>
    </i>
    <i r="1">
      <x v="25"/>
      <x v="2"/>
    </i>
    <i r="1">
      <x v="26"/>
      <x v="2"/>
    </i>
    <i r="1">
      <x v="27"/>
      <x v="2"/>
    </i>
    <i>
      <x v="130"/>
      <x v="4"/>
      <x v="2"/>
    </i>
    <i r="1">
      <x v="9"/>
      <x v="2"/>
    </i>
    <i r="1">
      <x v="12"/>
      <x v="2"/>
    </i>
    <i r="1">
      <x v="13"/>
      <x v="2"/>
    </i>
    <i r="1">
      <x v="16"/>
      <x v="2"/>
    </i>
    <i r="1">
      <x v="19"/>
      <x v="2"/>
    </i>
    <i r="1">
      <x v="20"/>
      <x v="2"/>
    </i>
    <i r="1">
      <x v="30"/>
      <x v="2"/>
    </i>
    <i>
      <x v="131"/>
      <x v="2"/>
      <x v="2"/>
    </i>
    <i r="1">
      <x v="4"/>
      <x v="2"/>
    </i>
    <i r="1">
      <x v="19"/>
      <x v="2"/>
    </i>
    <i r="1">
      <x v="21"/>
      <x v="2"/>
    </i>
    <i r="1">
      <x v="29"/>
      <x v="2"/>
    </i>
    <i>
      <x v="132"/>
      <x v="2"/>
      <x v="2"/>
    </i>
    <i r="1">
      <x v="3"/>
      <x v="2"/>
    </i>
    <i r="1">
      <x v="4"/>
      <x v="2"/>
    </i>
    <i r="1">
      <x v="6"/>
      <x v="2"/>
    </i>
    <i r="1">
      <x v="7"/>
      <x v="2"/>
    </i>
    <i r="1">
      <x v="8"/>
      <x v="2"/>
    </i>
    <i r="1">
      <x v="9"/>
      <x v="2"/>
    </i>
    <i r="1">
      <x v="11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19"/>
      <x v="2"/>
    </i>
    <i r="1">
      <x v="20"/>
      <x v="2"/>
    </i>
    <i r="1">
      <x v="22"/>
      <x v="2"/>
    </i>
    <i r="1">
      <x v="24"/>
      <x v="2"/>
    </i>
    <i r="1">
      <x v="25"/>
      <x v="2"/>
    </i>
    <i r="1">
      <x v="27"/>
      <x v="2"/>
    </i>
    <i r="1">
      <x v="28"/>
      <x v="2"/>
    </i>
    <i r="1">
      <x v="29"/>
      <x v="2"/>
    </i>
    <i r="1">
      <x v="31"/>
      <x v="2"/>
    </i>
    <i>
      <x v="133"/>
      <x v="6"/>
      <x v="2"/>
    </i>
    <i r="1">
      <x v="9"/>
      <x v="2"/>
    </i>
    <i r="1">
      <x v="11"/>
      <x v="2"/>
    </i>
    <i r="1">
      <x v="13"/>
      <x v="2"/>
    </i>
    <i r="1">
      <x v="15"/>
      <x v="2"/>
    </i>
    <i r="1">
      <x v="16"/>
      <x v="2"/>
    </i>
    <i r="1">
      <x v="19"/>
      <x v="2"/>
    </i>
    <i r="1">
      <x v="20"/>
      <x v="2"/>
    </i>
    <i r="1">
      <x v="21"/>
      <x v="2"/>
    </i>
    <i r="1">
      <x v="28"/>
      <x v="2"/>
    </i>
    <i>
      <x v="134"/>
      <x v="9"/>
      <x v="2"/>
    </i>
    <i r="1">
      <x v="13"/>
      <x v="2"/>
    </i>
    <i r="1">
      <x v="15"/>
      <x v="2"/>
    </i>
    <i r="1">
      <x v="16"/>
      <x v="2"/>
    </i>
    <i r="1">
      <x v="20"/>
      <x v="2"/>
    </i>
    <i r="1">
      <x v="28"/>
      <x v="2"/>
    </i>
    <i>
      <x v="135"/>
      <x v="18"/>
      <x v="2"/>
    </i>
    <i>
      <x v="136"/>
      <x v="3"/>
      <x v="2"/>
    </i>
    <i r="1">
      <x v="4"/>
      <x v="2"/>
    </i>
    <i r="1">
      <x v="5"/>
      <x v="2"/>
    </i>
    <i r="1">
      <x v="6"/>
      <x v="2"/>
    </i>
    <i r="1">
      <x v="8"/>
      <x v="2"/>
    </i>
    <i r="1">
      <x v="9"/>
      <x v="2"/>
    </i>
    <i r="2">
      <x v="3"/>
    </i>
    <i r="1">
      <x v="10"/>
      <x v="3"/>
    </i>
    <i r="1">
      <x v="11"/>
      <x v="2"/>
    </i>
    <i r="2">
      <x v="3"/>
    </i>
    <i r="1">
      <x v="12"/>
      <x v="2"/>
    </i>
    <i r="2">
      <x v="3"/>
    </i>
    <i r="1">
      <x v="13"/>
      <x v="3"/>
    </i>
    <i r="1">
      <x v="15"/>
      <x v="2"/>
    </i>
    <i r="2">
      <x v="3"/>
    </i>
    <i r="1">
      <x v="16"/>
      <x v="2"/>
    </i>
    <i r="2">
      <x v="3"/>
    </i>
    <i r="1">
      <x v="17"/>
      <x v="2"/>
    </i>
    <i r="2">
      <x v="3"/>
    </i>
    <i r="1">
      <x v="18"/>
      <x v="2"/>
    </i>
    <i r="1">
      <x v="21"/>
      <x v="2"/>
    </i>
    <i r="1">
      <x v="22"/>
      <x v="3"/>
    </i>
    <i r="1">
      <x v="23"/>
      <x v="3"/>
    </i>
    <i r="1">
      <x v="24"/>
      <x v="2"/>
    </i>
    <i r="2">
      <x v="3"/>
    </i>
    <i r="1">
      <x v="25"/>
      <x v="2"/>
    </i>
    <i r="2">
      <x v="3"/>
    </i>
    <i r="1">
      <x v="26"/>
      <x v="2"/>
    </i>
    <i r="2">
      <x v="3"/>
    </i>
    <i r="1">
      <x v="27"/>
      <x v="2"/>
    </i>
    <i r="2">
      <x v="3"/>
    </i>
    <i r="1">
      <x v="28"/>
      <x v="3"/>
    </i>
    <i r="1">
      <x v="29"/>
      <x v="2"/>
    </i>
    <i r="2">
      <x v="3"/>
    </i>
    <i r="1">
      <x v="30"/>
      <x v="2"/>
    </i>
    <i r="2">
      <x v="3"/>
    </i>
    <i r="1">
      <x v="31"/>
      <x v="2"/>
    </i>
    <i>
      <x v="137"/>
      <x v="28"/>
      <x v="2"/>
    </i>
    <i>
      <x v="138"/>
      <x v="23"/>
      <x v="3"/>
    </i>
    <i>
      <x v="139"/>
      <x v="5"/>
      <x v="2"/>
    </i>
    <i>
      <x v="140"/>
      <x v="30"/>
      <x v="3"/>
    </i>
    <i>
      <x v="141"/>
      <x v="16"/>
      <x v="2"/>
    </i>
    <i>
      <x v="142"/>
      <x v="2"/>
      <x v="2"/>
    </i>
    <i r="1">
      <x v="4"/>
      <x v="2"/>
    </i>
    <i r="1">
      <x v="5"/>
      <x v="2"/>
    </i>
    <i r="1">
      <x v="6"/>
      <x v="2"/>
    </i>
    <i r="1">
      <x v="7"/>
      <x v="2"/>
    </i>
    <i r="1">
      <x v="8"/>
      <x v="2"/>
    </i>
    <i r="1">
      <x v="9"/>
      <x v="2"/>
    </i>
    <i r="2">
      <x v="3"/>
    </i>
    <i r="1">
      <x v="10"/>
      <x v="2"/>
    </i>
    <i r="2">
      <x v="3"/>
    </i>
    <i r="1">
      <x v="11"/>
      <x v="2"/>
    </i>
    <i r="2">
      <x v="3"/>
    </i>
    <i r="1">
      <x v="12"/>
      <x v="2"/>
    </i>
    <i r="2">
      <x v="3"/>
    </i>
    <i r="1">
      <x v="13"/>
      <x v="2"/>
    </i>
    <i r="2">
      <x v="3"/>
    </i>
    <i r="1">
      <x v="14"/>
      <x v="2"/>
    </i>
    <i r="2">
      <x v="3"/>
    </i>
    <i r="1">
      <x v="15"/>
      <x v="3"/>
    </i>
    <i r="1">
      <x v="16"/>
      <x v="3"/>
    </i>
    <i r="1">
      <x v="17"/>
      <x v="2"/>
    </i>
    <i r="2">
      <x v="3"/>
    </i>
    <i r="1">
      <x v="18"/>
      <x v="2"/>
    </i>
    <i r="1">
      <x v="19"/>
      <x v="2"/>
    </i>
    <i r="1">
      <x v="21"/>
      <x v="2"/>
    </i>
    <i r="1">
      <x v="22"/>
      <x v="3"/>
    </i>
    <i r="1">
      <x v="23"/>
      <x v="2"/>
    </i>
    <i r="1">
      <x v="24"/>
      <x v="2"/>
    </i>
    <i r="1">
      <x v="25"/>
      <x v="2"/>
    </i>
    <i r="1">
      <x v="26"/>
      <x v="3"/>
    </i>
    <i r="1">
      <x v="27"/>
      <x v="2"/>
    </i>
    <i r="1">
      <x v="28"/>
      <x v="2"/>
    </i>
    <i r="2">
      <x v="3"/>
    </i>
    <i r="1">
      <x v="29"/>
      <x v="2"/>
    </i>
    <i r="2">
      <x v="3"/>
    </i>
    <i r="1">
      <x v="30"/>
      <x v="3"/>
    </i>
    <i r="1">
      <x v="31"/>
      <x v="2"/>
    </i>
    <i>
      <x v="143"/>
      <x v="11"/>
      <x v="2"/>
    </i>
    <i r="1">
      <x v="17"/>
      <x v="2"/>
    </i>
    <i r="1">
      <x v="23"/>
      <x v="2"/>
    </i>
    <i r="1">
      <x v="28"/>
      <x v="2"/>
    </i>
    <i>
      <x v="144"/>
      <x v="2"/>
      <x v="2"/>
    </i>
    <i r="1">
      <x v="3"/>
      <x v="2"/>
    </i>
    <i r="1">
      <x v="6"/>
      <x v="2"/>
    </i>
    <i r="1">
      <x v="7"/>
      <x v="2"/>
    </i>
    <i r="1">
      <x v="8"/>
      <x v="2"/>
    </i>
    <i r="1">
      <x v="9"/>
      <x v="2"/>
    </i>
    <i r="2">
      <x v="3"/>
    </i>
    <i r="1">
      <x v="10"/>
      <x v="2"/>
    </i>
    <i r="2">
      <x v="3"/>
    </i>
    <i r="1">
      <x v="11"/>
      <x v="2"/>
    </i>
    <i r="2">
      <x v="3"/>
    </i>
    <i r="1">
      <x v="12"/>
      <x v="2"/>
    </i>
    <i r="2">
      <x v="3"/>
    </i>
    <i r="1">
      <x v="13"/>
      <x v="2"/>
    </i>
    <i r="2">
      <x v="3"/>
    </i>
    <i r="1">
      <x v="14"/>
      <x v="2"/>
    </i>
    <i r="2">
      <x v="3"/>
    </i>
    <i r="1">
      <x v="15"/>
      <x v="2"/>
    </i>
    <i r="2">
      <x v="3"/>
    </i>
    <i r="1">
      <x v="16"/>
      <x v="2"/>
    </i>
    <i r="2">
      <x v="3"/>
    </i>
    <i r="1">
      <x v="17"/>
      <x v="2"/>
    </i>
    <i r="2">
      <x v="3"/>
    </i>
    <i r="1">
      <x v="18"/>
      <x v="2"/>
    </i>
    <i r="1">
      <x v="19"/>
      <x v="2"/>
    </i>
    <i r="1">
      <x v="20"/>
      <x v="2"/>
    </i>
    <i r="1">
      <x v="21"/>
      <x v="2"/>
    </i>
    <i r="1">
      <x v="22"/>
      <x v="2"/>
    </i>
    <i r="2">
      <x v="3"/>
    </i>
    <i r="1">
      <x v="23"/>
      <x v="2"/>
    </i>
    <i r="2">
      <x v="3"/>
    </i>
    <i r="1">
      <x v="24"/>
      <x v="2"/>
    </i>
    <i r="2">
      <x v="3"/>
    </i>
    <i r="1">
      <x v="25"/>
      <x v="2"/>
    </i>
    <i r="2">
      <x v="3"/>
    </i>
    <i r="1">
      <x v="26"/>
      <x v="2"/>
    </i>
    <i r="2">
      <x v="3"/>
    </i>
    <i r="1">
      <x v="27"/>
      <x v="2"/>
    </i>
    <i r="2">
      <x v="3"/>
    </i>
    <i r="1">
      <x v="28"/>
      <x v="2"/>
    </i>
    <i r="2">
      <x v="3"/>
    </i>
    <i r="1">
      <x v="29"/>
      <x v="2"/>
    </i>
    <i r="2">
      <x v="3"/>
    </i>
    <i r="1">
      <x v="30"/>
      <x v="2"/>
    </i>
    <i r="2">
      <x v="3"/>
    </i>
    <i r="1">
      <x v="31"/>
      <x v="2"/>
    </i>
    <i>
      <x v="145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 r="1">
      <x v="8"/>
      <x v="2"/>
    </i>
    <i r="1">
      <x v="9"/>
      <x v="2"/>
    </i>
    <i r="2">
      <x v="3"/>
    </i>
    <i r="1">
      <x v="10"/>
      <x v="2"/>
    </i>
    <i r="2">
      <x v="3"/>
    </i>
    <i r="1">
      <x v="11"/>
      <x v="2"/>
    </i>
    <i r="2">
      <x v="3"/>
    </i>
    <i r="1">
      <x v="12"/>
      <x v="2"/>
    </i>
    <i r="2">
      <x v="3"/>
    </i>
    <i r="1">
      <x v="13"/>
      <x v="2"/>
    </i>
    <i r="2">
      <x v="3"/>
    </i>
    <i r="1">
      <x v="14"/>
      <x v="2"/>
    </i>
    <i r="2">
      <x v="3"/>
    </i>
    <i r="1">
      <x v="15"/>
      <x v="2"/>
    </i>
    <i r="2">
      <x v="3"/>
    </i>
    <i r="1">
      <x v="16"/>
      <x v="2"/>
    </i>
    <i r="2">
      <x v="3"/>
    </i>
    <i r="1">
      <x v="17"/>
      <x v="2"/>
    </i>
    <i r="2">
      <x v="3"/>
    </i>
    <i r="1">
      <x v="18"/>
      <x v="2"/>
    </i>
    <i r="1">
      <x v="19"/>
      <x v="2"/>
    </i>
    <i r="1">
      <x v="21"/>
      <x v="2"/>
    </i>
    <i r="1">
      <x v="22"/>
      <x v="2"/>
    </i>
    <i r="2">
      <x v="3"/>
    </i>
    <i r="1">
      <x v="23"/>
      <x v="2"/>
    </i>
    <i r="2">
      <x v="3"/>
    </i>
    <i r="1">
      <x v="24"/>
      <x v="2"/>
    </i>
    <i r="2">
      <x v="3"/>
    </i>
    <i r="1">
      <x v="25"/>
      <x v="3"/>
    </i>
    <i r="1">
      <x v="26"/>
      <x v="2"/>
    </i>
    <i r="2">
      <x v="3"/>
    </i>
    <i r="1">
      <x v="27"/>
      <x v="2"/>
    </i>
    <i r="2">
      <x v="3"/>
    </i>
    <i r="1">
      <x v="28"/>
      <x v="3"/>
    </i>
    <i r="1">
      <x v="29"/>
      <x v="3"/>
    </i>
    <i r="1">
      <x v="30"/>
      <x v="2"/>
    </i>
    <i r="2">
      <x v="3"/>
    </i>
    <i r="1">
      <x v="31"/>
      <x v="2"/>
    </i>
    <i>
      <x v="146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 r="1">
      <x v="8"/>
      <x v="2"/>
    </i>
    <i r="1">
      <x v="9"/>
      <x v="2"/>
    </i>
    <i r="2">
      <x v="3"/>
    </i>
    <i r="1">
      <x v="10"/>
      <x v="2"/>
    </i>
    <i r="2">
      <x v="3"/>
    </i>
    <i r="1">
      <x v="11"/>
      <x v="2"/>
    </i>
    <i r="2">
      <x v="3"/>
    </i>
    <i r="1">
      <x v="12"/>
      <x v="2"/>
    </i>
    <i r="2">
      <x v="3"/>
    </i>
    <i r="1">
      <x v="13"/>
      <x v="3"/>
    </i>
    <i r="1">
      <x v="14"/>
      <x v="3"/>
    </i>
    <i r="1">
      <x v="15"/>
      <x v="2"/>
    </i>
    <i r="2">
      <x v="3"/>
    </i>
    <i r="1">
      <x v="16"/>
      <x v="2"/>
    </i>
    <i r="2">
      <x v="3"/>
    </i>
    <i r="1">
      <x v="17"/>
      <x v="2"/>
    </i>
    <i r="2">
      <x v="3"/>
    </i>
    <i r="1">
      <x v="18"/>
      <x v="2"/>
    </i>
    <i r="1">
      <x v="21"/>
      <x v="2"/>
    </i>
    <i r="1">
      <x v="22"/>
      <x v="2"/>
    </i>
    <i r="2">
      <x v="3"/>
    </i>
    <i r="1">
      <x v="23"/>
      <x v="2"/>
    </i>
    <i r="2">
      <x v="3"/>
    </i>
    <i r="1">
      <x v="24"/>
      <x v="2"/>
    </i>
    <i r="2">
      <x v="3"/>
    </i>
    <i r="1">
      <x v="25"/>
      <x v="3"/>
    </i>
    <i r="1">
      <x v="26"/>
      <x v="2"/>
    </i>
    <i r="2">
      <x v="3"/>
    </i>
    <i r="1">
      <x v="27"/>
      <x v="2"/>
    </i>
    <i r="2">
      <x v="3"/>
    </i>
    <i r="1">
      <x v="28"/>
      <x v="3"/>
    </i>
    <i r="1">
      <x v="29"/>
      <x v="2"/>
    </i>
    <i r="2">
      <x v="3"/>
    </i>
    <i r="1">
      <x v="30"/>
      <x v="2"/>
    </i>
    <i r="2">
      <x v="3"/>
    </i>
    <i r="1">
      <x v="31"/>
      <x v="2"/>
    </i>
    <i>
      <x v="147"/>
      <x v="27"/>
      <x v="2"/>
    </i>
    <i>
      <x v="148"/>
      <x v="5"/>
      <x v="2"/>
    </i>
    <i r="1">
      <x v="22"/>
      <x v="2"/>
    </i>
    <i>
      <x v="149"/>
      <x v="30"/>
      <x v="3"/>
    </i>
    <i>
      <x v="150"/>
      <x v="2"/>
      <x v="2"/>
    </i>
    <i r="1">
      <x v="4"/>
      <x v="2"/>
    </i>
    <i r="1">
      <x v="5"/>
      <x v="2"/>
    </i>
    <i r="1">
      <x v="6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5"/>
      <x v="2"/>
    </i>
    <i r="1">
      <x v="16"/>
      <x v="2"/>
    </i>
    <i r="1">
      <x v="17"/>
      <x v="2"/>
    </i>
    <i r="1">
      <x v="18"/>
      <x v="2"/>
    </i>
    <i r="1">
      <x v="19"/>
      <x v="2"/>
    </i>
    <i r="1">
      <x v="20"/>
      <x v="2"/>
    </i>
    <i r="1">
      <x v="21"/>
      <x v="2"/>
    </i>
    <i r="1">
      <x v="22"/>
      <x v="2"/>
    </i>
    <i r="1">
      <x v="23"/>
      <x v="2"/>
    </i>
    <i r="1">
      <x v="24"/>
      <x v="2"/>
    </i>
    <i r="1">
      <x v="25"/>
      <x v="2"/>
    </i>
    <i r="1">
      <x v="26"/>
      <x v="2"/>
    </i>
    <i r="1">
      <x v="27"/>
      <x v="2"/>
    </i>
    <i r="1">
      <x v="28"/>
      <x v="2"/>
    </i>
    <i r="1">
      <x v="29"/>
      <x v="2"/>
    </i>
    <i r="1">
      <x v="30"/>
      <x v="2"/>
    </i>
    <i r="1">
      <x v="31"/>
      <x v="2"/>
    </i>
    <i>
      <x v="151"/>
      <x v="2"/>
      <x v="2"/>
    </i>
    <i r="1">
      <x v="8"/>
      <x v="2"/>
    </i>
    <i r="1">
      <x v="13"/>
      <x v="2"/>
    </i>
    <i r="1">
      <x v="17"/>
      <x v="3"/>
    </i>
    <i r="1">
      <x v="27"/>
      <x v="2"/>
    </i>
    <i>
      <x v="152"/>
      <x v="9"/>
      <x v="2"/>
    </i>
    <i r="1">
      <x v="14"/>
      <x v="2"/>
    </i>
    <i>
      <x v="153"/>
      <x v="2"/>
      <x v="2"/>
    </i>
    <i r="1">
      <x v="8"/>
      <x v="2"/>
    </i>
    <i r="1">
      <x v="12"/>
      <x v="2"/>
    </i>
    <i r="1">
      <x v="14"/>
      <x v="2"/>
    </i>
    <i r="1">
      <x v="16"/>
      <x v="2"/>
    </i>
    <i r="1">
      <x v="22"/>
      <x v="2"/>
    </i>
    <i r="1">
      <x v="23"/>
      <x v="2"/>
    </i>
    <i r="1">
      <x v="24"/>
      <x v="2"/>
    </i>
    <i>
      <x v="154"/>
      <x v="2"/>
      <x v="2"/>
    </i>
    <i r="1">
      <x v="4"/>
      <x v="2"/>
    </i>
    <i r="1">
      <x v="8"/>
      <x v="2"/>
    </i>
    <i r="1">
      <x v="10"/>
      <x v="2"/>
    </i>
    <i r="1">
      <x v="11"/>
      <x v="2"/>
    </i>
    <i r="1">
      <x v="15"/>
      <x v="2"/>
    </i>
    <i r="1">
      <x v="22"/>
      <x v="2"/>
    </i>
    <i r="1">
      <x v="27"/>
      <x v="2"/>
    </i>
    <i r="1">
      <x v="28"/>
      <x v="2"/>
    </i>
    <i>
      <x v="155"/>
      <x v="2"/>
      <x v="2"/>
    </i>
    <i r="1">
      <x v="3"/>
      <x v="2"/>
    </i>
    <i r="1">
      <x v="5"/>
      <x v="2"/>
    </i>
    <i r="1">
      <x v="10"/>
      <x v="2"/>
    </i>
    <i r="1">
      <x v="11"/>
      <x v="2"/>
    </i>
    <i r="1">
      <x v="20"/>
      <x v="2"/>
    </i>
    <i r="1">
      <x v="21"/>
      <x v="2"/>
    </i>
    <i r="1">
      <x v="23"/>
      <x v="2"/>
    </i>
    <i r="1">
      <x v="27"/>
      <x v="2"/>
    </i>
    <i r="1">
      <x v="29"/>
      <x v="2"/>
    </i>
    <i>
      <x v="156"/>
      <x v="11"/>
      <x v="2"/>
    </i>
    <i r="1">
      <x v="20"/>
      <x v="2"/>
    </i>
    <i>
      <x v="157"/>
      <x v="8"/>
      <x v="2"/>
    </i>
    <i r="1">
      <x v="11"/>
      <x v="2"/>
    </i>
    <i r="1">
      <x v="12"/>
      <x v="2"/>
    </i>
    <i r="1">
      <x v="21"/>
      <x v="2"/>
    </i>
    <i>
      <x v="158"/>
      <x v="2"/>
      <x v="2"/>
    </i>
    <i r="1">
      <x v="8"/>
      <x v="2"/>
    </i>
    <i r="1">
      <x v="9"/>
      <x v="2"/>
    </i>
    <i r="1">
      <x v="17"/>
      <x v="2"/>
    </i>
    <i r="1">
      <x v="26"/>
      <x v="2"/>
    </i>
    <i>
      <x v="159"/>
      <x v="3"/>
      <x v="2"/>
    </i>
    <i r="1">
      <x v="8"/>
      <x v="2"/>
    </i>
    <i r="1">
      <x v="9"/>
      <x v="2"/>
    </i>
    <i r="1">
      <x v="12"/>
      <x v="2"/>
    </i>
    <i r="1">
      <x v="13"/>
      <x v="2"/>
    </i>
    <i r="1">
      <x v="16"/>
      <x v="2"/>
    </i>
    <i r="1">
      <x v="26"/>
      <x v="2"/>
    </i>
    <i>
      <x v="160"/>
      <x v="14"/>
      <x v="2"/>
    </i>
    <i r="1">
      <x v="16"/>
      <x v="2"/>
    </i>
    <i r="1">
      <x v="21"/>
      <x v="2"/>
    </i>
    <i>
      <x v="161"/>
      <x v="22"/>
      <x v="2"/>
    </i>
    <i r="1">
      <x v="23"/>
      <x v="2"/>
    </i>
    <i r="1">
      <x v="24"/>
      <x v="2"/>
    </i>
    <i r="1">
      <x v="25"/>
      <x v="2"/>
    </i>
    <i r="1">
      <x v="26"/>
      <x v="2"/>
    </i>
    <i r="1">
      <x v="27"/>
      <x v="2"/>
    </i>
    <i r="1">
      <x v="28"/>
      <x v="2"/>
    </i>
    <i r="1">
      <x v="29"/>
      <x v="2"/>
    </i>
    <i r="1">
      <x v="30"/>
      <x v="2"/>
    </i>
    <i>
      <x v="162"/>
      <x v="3"/>
      <x v="2"/>
    </i>
    <i r="1">
      <x v="8"/>
      <x v="2"/>
    </i>
    <i r="1">
      <x v="9"/>
      <x v="2"/>
    </i>
    <i r="1">
      <x v="10"/>
      <x v="2"/>
    </i>
    <i r="1">
      <x v="11"/>
      <x v="2"/>
    </i>
    <i r="1">
      <x v="13"/>
      <x v="2"/>
    </i>
    <i r="2">
      <x v="3"/>
    </i>
    <i r="1">
      <x v="14"/>
      <x v="2"/>
    </i>
    <i r="1">
      <x v="15"/>
      <x v="2"/>
    </i>
    <i r="2">
      <x v="3"/>
    </i>
    <i r="1">
      <x v="16"/>
      <x v="2"/>
    </i>
    <i r="2">
      <x v="3"/>
    </i>
    <i r="1">
      <x v="17"/>
      <x v="2"/>
    </i>
    <i r="1">
      <x v="18"/>
      <x v="2"/>
    </i>
    <i r="1">
      <x v="19"/>
      <x v="2"/>
    </i>
    <i r="1">
      <x v="20"/>
      <x v="2"/>
    </i>
    <i r="1">
      <x v="22"/>
      <x v="2"/>
    </i>
    <i r="1">
      <x v="23"/>
      <x v="2"/>
    </i>
    <i r="2">
      <x v="3"/>
    </i>
    <i r="1">
      <x v="27"/>
      <x v="2"/>
    </i>
    <i r="1">
      <x v="29"/>
      <x v="2"/>
    </i>
    <i r="1">
      <x v="30"/>
      <x v="2"/>
    </i>
    <i r="1">
      <x v="31"/>
      <x v="2"/>
    </i>
    <i>
      <x v="163"/>
      <x v="6"/>
      <x v="2"/>
    </i>
    <i r="1">
      <x v="14"/>
      <x v="2"/>
    </i>
    <i r="1">
      <x v="27"/>
      <x v="2"/>
    </i>
    <i>
      <x v="164"/>
      <x v="16"/>
      <x v="2"/>
    </i>
    <i r="1">
      <x v="22"/>
      <x v="2"/>
    </i>
    <i r="1">
      <x v="24"/>
      <x v="2"/>
    </i>
    <i r="1">
      <x v="28"/>
      <x v="2"/>
    </i>
    <i r="1">
      <x v="29"/>
      <x v="2"/>
    </i>
    <i>
      <x v="165"/>
      <x v="12"/>
      <x v="2"/>
    </i>
    <i r="1">
      <x v="14"/>
      <x v="2"/>
    </i>
    <i r="1">
      <x v="16"/>
      <x v="2"/>
    </i>
    <i r="1">
      <x v="22"/>
      <x v="2"/>
    </i>
    <i r="1">
      <x v="23"/>
      <x v="2"/>
    </i>
    <i r="1">
      <x v="24"/>
      <x v="2"/>
    </i>
    <i r="1">
      <x v="28"/>
      <x v="2"/>
    </i>
    <i r="1">
      <x v="29"/>
      <x v="2"/>
    </i>
    <i r="1">
      <x v="30"/>
      <x v="2"/>
    </i>
    <i>
      <x v="166"/>
      <x v="12"/>
      <x v="2"/>
    </i>
    <i r="1">
      <x v="14"/>
      <x v="2"/>
    </i>
    <i r="1">
      <x v="16"/>
      <x v="2"/>
    </i>
    <i r="1">
      <x v="22"/>
      <x v="2"/>
    </i>
    <i r="1">
      <x v="23"/>
      <x v="2"/>
    </i>
    <i r="1">
      <x v="24"/>
      <x v="2"/>
    </i>
    <i r="1">
      <x v="27"/>
      <x v="2"/>
    </i>
    <i r="1">
      <x v="29"/>
      <x v="2"/>
    </i>
    <i r="1">
      <x v="30"/>
      <x v="2"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加總 - 數量" fld="13" baseField="0" baseItem="0"/>
    <dataField name="加總 - 未稅價格" fld="20" baseField="0" baseItem="0" numFmtId="3"/>
  </dataFields>
  <formats count="24">
    <format dxfId="200">
      <pivotArea type="all" dataOnly="0" outline="0" fieldPosition="0"/>
    </format>
    <format dxfId="199">
      <pivotArea type="all" dataOnly="0" outline="0" fieldPosition="0"/>
    </format>
    <format dxfId="198">
      <pivotArea field="1" type="button" dataOnly="0" labelOnly="1" outline="0" axis="axisRow" fieldPosition="1"/>
    </format>
    <format dxfId="197">
      <pivotArea dataOnly="0" labelOnly="1" grandRow="1" outline="0" fieldPosition="0"/>
    </format>
    <format dxfId="196">
      <pivotArea outline="0" collapsedLevelsAreSubtotals="1" fieldPosition="0"/>
    </format>
    <format dxfId="195">
      <pivotArea field="9" type="button" dataOnly="0" labelOnly="1" outline="0"/>
    </format>
    <format dxfId="194">
      <pivotArea field="4" type="button" dataOnly="0" labelOnly="1" outline="0"/>
    </format>
    <format dxfId="193">
      <pivotArea field="3" type="button" dataOnly="0" labelOnly="1" outline="0" axis="axisRow" fieldPosition="0"/>
    </format>
    <format dxfId="192">
      <pivotArea type="topRight" dataOnly="0" labelOnly="1" outline="0" fieldPosition="0"/>
    </format>
    <format dxfId="191">
      <pivotArea dataOnly="0" labelOnly="1" grandCol="1" outline="0" fieldPosition="0"/>
    </format>
    <format dxfId="190">
      <pivotArea dataOnly="0" labelOnly="1" outline="0" fieldPosition="0">
        <references count="1">
          <reference field="2" count="0"/>
        </references>
      </pivotArea>
    </format>
    <format dxfId="189">
      <pivotArea outline="0" collapsedLevelsAreSubtotals="1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 axis="axisRow" fieldPosition="0"/>
    </format>
    <format dxfId="184">
      <pivotArea field="4" type="button" dataOnly="0" labelOnly="1" outline="0"/>
    </format>
    <format dxfId="183">
      <pivotArea field="1" type="button" dataOnly="0" labelOnly="1" outline="0" axis="axisRow" fieldPosition="1"/>
    </format>
    <format dxfId="182">
      <pivotArea field="8" type="button" dataOnly="0" labelOnly="1" outline="0" axis="axisRow" fieldPosition="2"/>
    </format>
    <format dxfId="181">
      <pivotArea dataOnly="0" labelOnly="1" fieldPosition="0">
        <references count="1">
          <reference field="3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80">
      <pivotArea dataOnly="0" labelOnly="1" fieldPosition="0">
        <references count="1">
          <reference field="3" count="50">
            <x v="53"/>
            <x v="54"/>
            <x v="55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0"/>
            <x v="81"/>
            <x v="82"/>
            <x v="83"/>
            <x v="84"/>
            <x v="85"/>
            <x v="86"/>
            <x v="87"/>
            <x v="88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</reference>
        </references>
      </pivotArea>
    </format>
    <format dxfId="179">
      <pivotArea dataOnly="0" labelOnly="1" fieldPosition="0">
        <references count="1">
          <reference field="3" count="50">
            <x v="106"/>
            <x v="107"/>
            <x v="108"/>
            <x v="109"/>
            <x v="110"/>
            <x v="112"/>
            <x v="113"/>
            <x v="114"/>
            <x v="116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9"/>
            <x v="141"/>
            <x v="142"/>
            <x v="143"/>
            <x v="144"/>
            <x v="145"/>
            <x v="146"/>
            <x v="148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</reference>
        </references>
      </pivotArea>
    </format>
    <format dxfId="178">
      <pivotArea dataOnly="0" labelOnly="1" fieldPosition="0">
        <references count="1">
          <reference field="3" count="3">
            <x v="164"/>
            <x v="165"/>
            <x v="166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0DA1A-3DC3-442E-AE6D-30031A3DBD7B}" name="樞紐分析表16" cacheId="0" applyNumberFormats="0" applyBorderFormats="0" applyFontFormats="0" applyPatternFormats="0" applyAlignmentFormats="0" applyWidthHeightFormats="1" dataCaption="值" updatedVersion="8" minRefreshableVersion="3" enableDrill="0" rowGrandTotals="0" colGrandTotals="0" itemPrintTitles="1" createdVersion="7" indent="0" compact="0" compactData="0" multipleFieldFilters="0">
  <location ref="B3:E326" firstHeaderRow="0" firstDataRow="1" firstDataCol="2" rowPageCount="1" colPageCount="1"/>
  <pivotFields count="6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8">
        <item h="1" x="17"/>
        <item x="16"/>
        <item x="3"/>
        <item h="1" x="1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m="1" x="35"/>
        <item m="1" x="36"/>
        <item m="1" x="37"/>
        <item m="1" x="22"/>
        <item m="1" x="21"/>
        <item m="1" x="18"/>
        <item m="1" x="19"/>
        <item m="1" x="20"/>
        <item h="1" m="1" x="2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58">
        <item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4">
        <item x="53"/>
        <item m="1" x="74"/>
        <item m="1" x="87"/>
        <item m="1" x="54"/>
        <item m="1" x="73"/>
        <item x="24"/>
        <item x="26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35"/>
        <item m="1" x="88"/>
        <item x="36"/>
        <item x="2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7"/>
        <item x="28"/>
        <item x="29"/>
        <item x="30"/>
        <item x="31"/>
        <item x="32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60">
        <item m="1" x="50"/>
        <item m="1" x="52"/>
        <item x="22"/>
        <item x="23"/>
        <item m="1" x="57"/>
        <item x="20"/>
        <item m="1" x="53"/>
        <item x="26"/>
        <item x="27"/>
        <item x="25"/>
        <item x="10"/>
        <item x="4"/>
        <item x="7"/>
        <item x="24"/>
        <item x="21"/>
        <item x="6"/>
        <item x="41"/>
        <item x="35"/>
        <item x="30"/>
        <item x="39"/>
        <item m="1" x="49"/>
        <item x="18"/>
        <item m="1" x="55"/>
        <item m="1" x="51"/>
        <item x="8"/>
        <item x="31"/>
        <item x="3"/>
        <item m="1" x="54"/>
        <item x="13"/>
        <item x="40"/>
        <item x="14"/>
        <item x="2"/>
        <item x="37"/>
        <item x="45"/>
        <item x="19"/>
        <item x="38"/>
        <item x="0"/>
        <item x="9"/>
        <item x="15"/>
        <item x="11"/>
        <item x="1"/>
        <item x="36"/>
        <item x="32"/>
        <item x="33"/>
        <item x="42"/>
        <item x="17"/>
        <item x="16"/>
        <item x="48"/>
        <item m="1" x="56"/>
        <item x="12"/>
        <item m="1" x="58"/>
        <item x="5"/>
        <item x="28"/>
        <item x="29"/>
        <item x="34"/>
        <item x="43"/>
        <item x="44"/>
        <item x="46"/>
        <item x="4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6">
        <item x="62"/>
        <item x="6"/>
        <item x="15"/>
        <item x="49"/>
        <item x="10"/>
        <item x="7"/>
        <item x="20"/>
        <item x="3"/>
        <item x="29"/>
        <item x="48"/>
        <item m="1" x="81"/>
        <item m="1" x="63"/>
        <item x="8"/>
        <item x="14"/>
        <item x="16"/>
        <item x="1"/>
        <item x="50"/>
        <item x="27"/>
        <item x="60"/>
        <item x="53"/>
        <item x="5"/>
        <item x="47"/>
        <item m="1" x="64"/>
        <item m="1" x="68"/>
        <item m="1" x="65"/>
        <item m="1" x="66"/>
        <item x="26"/>
        <item x="21"/>
        <item x="22"/>
        <item x="19"/>
        <item x="4"/>
        <item x="42"/>
        <item m="1" x="74"/>
        <item x="45"/>
        <item x="0"/>
        <item m="1" x="77"/>
        <item x="24"/>
        <item x="25"/>
        <item x="31"/>
        <item x="33"/>
        <item x="34"/>
        <item x="35"/>
        <item x="36"/>
        <item x="9"/>
        <item x="2"/>
        <item m="1" x="79"/>
        <item x="30"/>
        <item m="1" x="67"/>
        <item x="23"/>
        <item x="41"/>
        <item x="40"/>
        <item m="1" x="71"/>
        <item m="1" x="72"/>
        <item x="39"/>
        <item x="32"/>
        <item x="28"/>
        <item x="46"/>
        <item x="38"/>
        <item m="1" x="69"/>
        <item m="1" x="70"/>
        <item m="1" x="73"/>
        <item m="1" x="75"/>
        <item x="11"/>
        <item m="1" x="76"/>
        <item m="1" x="78"/>
        <item x="52"/>
        <item x="17"/>
        <item x="43"/>
        <item m="1" x="80"/>
        <item x="18"/>
        <item m="1" x="82"/>
        <item m="1" x="83"/>
        <item x="12"/>
        <item m="1" x="84"/>
        <item m="1" x="85"/>
        <item x="13"/>
        <item x="37"/>
        <item x="44"/>
        <item x="51"/>
        <item x="54"/>
        <item x="55"/>
        <item x="56"/>
        <item x="57"/>
        <item x="58"/>
        <item x="59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5"/>
  </rowFields>
  <rowItems count="323">
    <i>
      <x v="1"/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2"/>
      <x v="29"/>
    </i>
    <i r="1">
      <x v="30"/>
    </i>
    <i r="1">
      <x v="34"/>
    </i>
    <i r="1">
      <x v="38"/>
    </i>
    <i r="1">
      <x v="39"/>
    </i>
    <i r="1">
      <x v="41"/>
    </i>
    <i r="1">
      <x v="44"/>
    </i>
    <i r="1">
      <x v="45"/>
    </i>
    <i r="1">
      <x v="47"/>
    </i>
    <i r="1">
      <x v="50"/>
    </i>
    <i r="1">
      <x v="55"/>
    </i>
    <i>
      <x v="3"/>
      <x v="37"/>
    </i>
    <i>
      <x v="4"/>
      <x v="28"/>
    </i>
    <i r="1">
      <x v="30"/>
    </i>
    <i r="1">
      <x v="32"/>
    </i>
    <i r="1">
      <x v="33"/>
    </i>
    <i r="1">
      <x v="37"/>
    </i>
    <i r="1">
      <x v="41"/>
    </i>
    <i r="1">
      <x v="44"/>
    </i>
    <i r="1">
      <x v="49"/>
    </i>
    <i r="1">
      <x v="50"/>
    </i>
    <i r="1">
      <x v="56"/>
    </i>
    <i>
      <x v="5"/>
      <x v="27"/>
    </i>
    <i r="1">
      <x v="28"/>
    </i>
    <i r="1">
      <x v="30"/>
    </i>
    <i r="1">
      <x v="34"/>
    </i>
    <i r="1">
      <x v="44"/>
    </i>
    <i r="1">
      <x v="45"/>
    </i>
    <i r="1">
      <x v="52"/>
    </i>
    <i r="1">
      <x v="56"/>
    </i>
    <i>
      <x v="6"/>
      <x v="30"/>
    </i>
    <i r="1">
      <x v="31"/>
    </i>
    <i r="1">
      <x v="35"/>
    </i>
    <i r="1">
      <x v="38"/>
    </i>
    <i r="1">
      <x v="44"/>
    </i>
    <i r="1">
      <x v="45"/>
    </i>
    <i r="1">
      <x v="51"/>
    </i>
    <i r="1">
      <x v="53"/>
    </i>
    <i r="1">
      <x v="54"/>
    </i>
    <i r="1">
      <x v="55"/>
    </i>
    <i>
      <x v="7"/>
      <x v="27"/>
    </i>
    <i r="1">
      <x v="28"/>
    </i>
    <i r="1">
      <x v="30"/>
    </i>
    <i r="1">
      <x v="34"/>
    </i>
    <i r="1">
      <x v="39"/>
    </i>
    <i r="1">
      <x v="44"/>
    </i>
    <i r="1">
      <x v="45"/>
    </i>
    <i r="1">
      <x v="46"/>
    </i>
    <i r="1">
      <x v="47"/>
    </i>
    <i r="1">
      <x v="48"/>
    </i>
    <i r="1">
      <x v="53"/>
    </i>
    <i r="1">
      <x v="54"/>
    </i>
    <i>
      <x v="8"/>
      <x v="30"/>
    </i>
    <i>
      <x v="9"/>
      <x v="36"/>
    </i>
    <i r="1">
      <x v="41"/>
    </i>
    <i r="1">
      <x v="51"/>
    </i>
    <i>
      <x v="12"/>
      <x v="27"/>
    </i>
    <i r="1">
      <x v="30"/>
    </i>
    <i r="1">
      <x v="35"/>
    </i>
    <i r="1">
      <x v="43"/>
    </i>
    <i r="1">
      <x v="44"/>
    </i>
    <i r="1">
      <x v="50"/>
    </i>
    <i r="1">
      <x v="55"/>
    </i>
    <i>
      <x v="13"/>
      <x v="29"/>
    </i>
    <i>
      <x v="14"/>
      <x v="29"/>
    </i>
    <i r="1">
      <x v="36"/>
    </i>
    <i r="1">
      <x v="40"/>
    </i>
    <i r="1">
      <x v="45"/>
    </i>
    <i r="1">
      <x v="47"/>
    </i>
    <i>
      <x v="15"/>
      <x v="27"/>
    </i>
    <i r="1">
      <x v="30"/>
    </i>
    <i r="1">
      <x v="31"/>
    </i>
    <i r="1">
      <x v="36"/>
    </i>
    <i r="1">
      <x v="38"/>
    </i>
    <i r="1">
      <x v="44"/>
    </i>
    <i r="1">
      <x v="45"/>
    </i>
    <i r="1">
      <x v="47"/>
    </i>
    <i r="1">
      <x v="51"/>
    </i>
    <i>
      <x v="16"/>
      <x v="39"/>
    </i>
    <i r="1">
      <x v="51"/>
    </i>
    <i>
      <x v="17"/>
      <x v="30"/>
    </i>
    <i r="1">
      <x v="32"/>
    </i>
    <i r="1">
      <x v="42"/>
    </i>
    <i>
      <x v="18"/>
      <x v="50"/>
    </i>
    <i>
      <x v="19"/>
      <x v="44"/>
    </i>
    <i>
      <x v="20"/>
      <x v="27"/>
    </i>
    <i r="1">
      <x v="30"/>
    </i>
    <i r="1">
      <x v="34"/>
    </i>
    <i r="1">
      <x v="38"/>
    </i>
    <i r="1">
      <x v="39"/>
    </i>
    <i r="1">
      <x v="44"/>
    </i>
    <i r="1">
      <x v="45"/>
    </i>
    <i r="1">
      <x v="46"/>
    </i>
    <i r="1">
      <x v="48"/>
    </i>
    <i r="1">
      <x v="51"/>
    </i>
    <i r="1">
      <x v="52"/>
    </i>
    <i>
      <x v="21"/>
      <x v="36"/>
    </i>
    <i r="1">
      <x v="44"/>
    </i>
    <i r="1">
      <x v="51"/>
    </i>
    <i r="1">
      <x v="53"/>
    </i>
    <i>
      <x v="26"/>
      <x v="30"/>
    </i>
    <i r="1">
      <x v="32"/>
    </i>
    <i r="1">
      <x v="42"/>
    </i>
    <i>
      <x v="27"/>
      <x v="30"/>
    </i>
    <i r="1">
      <x v="32"/>
    </i>
    <i r="1">
      <x v="42"/>
    </i>
    <i>
      <x v="28"/>
      <x v="30"/>
    </i>
    <i r="1">
      <x v="32"/>
    </i>
    <i r="1">
      <x v="42"/>
    </i>
    <i>
      <x v="29"/>
      <x v="30"/>
    </i>
    <i r="1">
      <x v="35"/>
    </i>
    <i>
      <x v="30"/>
      <x v="28"/>
    </i>
    <i r="1">
      <x v="30"/>
    </i>
    <i r="1">
      <x v="31"/>
    </i>
    <i r="1">
      <x v="52"/>
    </i>
    <i r="1">
      <x v="53"/>
    </i>
    <i>
      <x v="31"/>
      <x v="33"/>
    </i>
    <i r="1">
      <x v="52"/>
    </i>
    <i>
      <x v="33"/>
      <x v="35"/>
    </i>
    <i>
      <x v="34"/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36"/>
      <x v="30"/>
    </i>
    <i r="1">
      <x v="32"/>
    </i>
    <i r="1">
      <x v="44"/>
    </i>
    <i r="1">
      <x v="46"/>
    </i>
    <i>
      <x v="37"/>
      <x v="30"/>
    </i>
    <i r="1">
      <x v="31"/>
    </i>
    <i r="1">
      <x v="32"/>
    </i>
    <i r="1">
      <x v="46"/>
    </i>
    <i>
      <x v="38"/>
      <x v="30"/>
    </i>
    <i r="1">
      <x v="32"/>
    </i>
    <i r="1">
      <x v="51"/>
    </i>
    <i>
      <x v="39"/>
      <x v="30"/>
    </i>
    <i r="1">
      <x v="32"/>
    </i>
    <i r="1">
      <x v="51"/>
    </i>
    <i>
      <x v="40"/>
      <x v="30"/>
    </i>
    <i r="1">
      <x v="32"/>
    </i>
    <i r="1">
      <x v="51"/>
    </i>
    <i>
      <x v="41"/>
      <x v="30"/>
    </i>
    <i r="1">
      <x v="32"/>
    </i>
    <i r="1">
      <x v="51"/>
    </i>
    <i>
      <x v="42"/>
      <x v="30"/>
    </i>
    <i r="1">
      <x v="32"/>
    </i>
    <i r="1">
      <x v="51"/>
    </i>
    <i>
      <x v="43"/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41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44"/>
      <x v="27"/>
    </i>
    <i>
      <x v="46"/>
      <x v="30"/>
    </i>
    <i r="1">
      <x v="34"/>
    </i>
    <i r="1">
      <x v="44"/>
    </i>
    <i r="1">
      <x v="46"/>
    </i>
    <i>
      <x v="48"/>
      <x v="30"/>
    </i>
    <i>
      <x v="49"/>
      <x v="32"/>
    </i>
    <i r="1">
      <x v="37"/>
    </i>
    <i>
      <x v="50"/>
      <x v="32"/>
    </i>
    <i r="1">
      <x v="35"/>
    </i>
    <i r="1">
      <x v="37"/>
    </i>
    <i>
      <x v="53"/>
      <x v="32"/>
    </i>
    <i r="1">
      <x v="37"/>
    </i>
    <i>
      <x v="54"/>
      <x v="30"/>
    </i>
    <i r="1">
      <x v="37"/>
    </i>
    <i r="1">
      <x v="41"/>
    </i>
    <i>
      <x v="55"/>
      <x v="30"/>
    </i>
    <i r="1">
      <x v="32"/>
    </i>
    <i r="1">
      <x v="56"/>
    </i>
    <i>
      <x v="56"/>
      <x v="35"/>
    </i>
    <i r="1">
      <x v="37"/>
    </i>
    <i>
      <x v="57"/>
      <x v="31"/>
    </i>
    <i r="1">
      <x v="35"/>
    </i>
    <i r="1">
      <x v="39"/>
    </i>
    <i r="1">
      <x v="44"/>
    </i>
    <i r="1">
      <x v="49"/>
    </i>
    <i r="1">
      <x v="50"/>
    </i>
    <i>
      <x v="62"/>
      <x v="28"/>
    </i>
    <i r="1">
      <x v="30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65"/>
      <x v="44"/>
    </i>
    <i r="1">
      <x v="47"/>
    </i>
    <i>
      <x v="66"/>
      <x v="29"/>
    </i>
    <i r="1">
      <x v="32"/>
    </i>
    <i r="1">
      <x v="34"/>
    </i>
    <i r="1">
      <x v="40"/>
    </i>
    <i>
      <x v="67"/>
      <x v="34"/>
    </i>
    <i r="1">
      <x v="44"/>
    </i>
    <i r="1">
      <x v="45"/>
    </i>
    <i r="1">
      <x v="51"/>
    </i>
    <i>
      <x v="69"/>
      <x v="30"/>
    </i>
    <i r="1">
      <x v="36"/>
    </i>
    <i>
      <x v="72"/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5"/>
    </i>
    <i>
      <x v="75"/>
      <x v="28"/>
    </i>
    <i r="1">
      <x v="29"/>
    </i>
    <i r="1">
      <x v="30"/>
    </i>
    <i r="1">
      <x v="31"/>
    </i>
    <i r="1">
      <x v="32"/>
    </i>
    <i r="1">
      <x v="36"/>
    </i>
    <i r="1">
      <x v="39"/>
    </i>
    <i r="1">
      <x v="42"/>
    </i>
    <i r="1">
      <x v="45"/>
    </i>
    <i r="1">
      <x v="46"/>
    </i>
    <i r="1">
      <x v="49"/>
    </i>
    <i>
      <x v="76"/>
      <x v="30"/>
    </i>
    <i>
      <x v="77"/>
      <x v="34"/>
    </i>
    <i>
      <x v="78"/>
      <x v="41"/>
    </i>
    <i r="1">
      <x v="44"/>
    </i>
    <i r="1">
      <x v="51"/>
    </i>
    <i>
      <x v="79"/>
      <x v="44"/>
    </i>
    <i r="1">
      <x v="45"/>
    </i>
    <i r="1">
      <x v="49"/>
    </i>
    <i r="1">
      <x v="51"/>
    </i>
    <i>
      <x v="80"/>
      <x v="44"/>
    </i>
    <i r="1">
      <x v="50"/>
    </i>
    <i>
      <x v="81"/>
      <x v="45"/>
    </i>
    <i r="1">
      <x v="49"/>
    </i>
    <i r="1">
      <x v="51"/>
    </i>
    <i>
      <x v="82"/>
      <x v="45"/>
    </i>
    <i>
      <x v="83"/>
      <x v="45"/>
    </i>
    <i r="1">
      <x v="46"/>
    </i>
    <i>
      <x v="84"/>
      <x v="47"/>
    </i>
    <i>
      <x v="85"/>
      <x v="50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加總 - 數量" fld="33" baseField="0" baseItem="0"/>
    <dataField name="加總 - 未稅價格" fld="59" baseField="0" baseItem="0" numFmtId="3"/>
  </dataFields>
  <formats count="31">
    <format dxfId="176">
      <pivotArea dataOnly="0" labelOnly="1" grandCol="1" outline="0" offset="IV1" fieldPosition="0"/>
    </format>
    <format dxfId="175">
      <pivotArea outline="0" collapsedLevelsAreSubtotals="1" fieldPosition="0"/>
    </format>
    <format dxfId="174">
      <pivotArea dataOnly="0" labelOnly="1" outline="0" fieldPosition="0">
        <references count="1">
          <reference field="1" count="0"/>
        </references>
      </pivotArea>
    </format>
    <format dxfId="173">
      <pivotArea field="31" type="button" dataOnly="0" labelOnly="1" outline="0" axis="axisRow" fieldPosition="0"/>
    </format>
    <format dxfId="172">
      <pivotArea field="24" type="button" dataOnly="0" labelOnly="1" outline="0"/>
    </format>
    <format dxfId="171">
      <pivotArea dataOnly="0" labelOnly="1" grandCol="1" outline="0" fieldPosition="0"/>
    </format>
    <format dxfId="170">
      <pivotArea dataOnly="0" labelOnly="1" grandRow="1" outline="0" fieldPosition="0"/>
    </format>
    <format dxfId="169">
      <pivotArea type="origin" dataOnly="0" labelOnly="1" outline="0" fieldPosition="0"/>
    </format>
    <format dxfId="168">
      <pivotArea dataOnly="0" labelOnly="1" grandRow="1" outline="0" fieldPosition="0"/>
    </format>
    <format dxfId="167">
      <pivotArea field="24" type="button" dataOnly="0" labelOnly="1" outline="0"/>
    </format>
    <format dxfId="166">
      <pivotArea field="24" type="button" dataOnly="0" labelOnly="1" outline="0"/>
    </format>
    <format dxfId="165">
      <pivotArea type="topRight" dataOnly="0" labelOnly="1" outline="0" fieldPosition="0"/>
    </format>
    <format dxfId="164">
      <pivotArea dataOnly="0" labelOnly="1" outline="0" fieldPosition="0">
        <references count="1">
          <reference field="5" count="0"/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dataOnly="0" labelOnly="1" outline="0" fieldPosition="0">
        <references count="1">
          <reference field="31" count="0"/>
        </references>
      </pivotArea>
    </format>
    <format dxfId="160">
      <pivotArea dataOnly="0" labelOnly="1" outline="0" axis="axisValues" fieldPosition="0"/>
    </format>
    <format dxfId="159">
      <pivotArea outline="0" collapsedLevelsAreSubtotals="1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31" type="button" dataOnly="0" labelOnly="1" outline="0" axis="axisRow" fieldPosition="0"/>
    </format>
    <format dxfId="154">
      <pivotArea field="24" type="button" dataOnly="0" labelOnly="1" outline="0"/>
    </format>
    <format dxfId="153">
      <pivotArea field="5" type="button" dataOnly="0" labelOnly="1" outline="0" axis="axisRow" fieldPosition="1"/>
    </format>
    <format dxfId="152">
      <pivotArea dataOnly="0" labelOnly="1" outline="0" fieldPosition="0">
        <references count="1">
          <reference field="31" count="50">
            <x v="1"/>
            <x v="2"/>
            <x v="3"/>
            <x v="4"/>
            <x v="5"/>
            <x v="6"/>
            <x v="7"/>
            <x v="8"/>
            <x v="9"/>
            <x v="12"/>
            <x v="13"/>
            <x v="14"/>
            <x v="15"/>
            <x v="16"/>
            <x v="17"/>
            <x v="19"/>
            <x v="20"/>
            <x v="21"/>
            <x v="26"/>
            <x v="27"/>
            <x v="28"/>
            <x v="29"/>
            <x v="30"/>
            <x v="31"/>
            <x v="33"/>
            <x v="34"/>
            <x v="36"/>
            <x v="37"/>
            <x v="38"/>
            <x v="39"/>
            <x v="40"/>
            <x v="41"/>
            <x v="42"/>
            <x v="43"/>
            <x v="44"/>
            <x v="46"/>
            <x v="48"/>
            <x v="49"/>
            <x v="50"/>
            <x v="53"/>
            <x v="54"/>
            <x v="55"/>
            <x v="56"/>
            <x v="57"/>
            <x v="62"/>
            <x v="65"/>
            <x v="66"/>
            <x v="67"/>
            <x v="69"/>
            <x v="72"/>
          </reference>
        </references>
      </pivotArea>
    </format>
    <format dxfId="151">
      <pivotArea dataOnly="0" labelOnly="1" outline="0" fieldPosition="0">
        <references count="1">
          <reference field="31" count="10">
            <x v="75"/>
            <x v="76"/>
            <x v="77"/>
            <x v="78"/>
            <x v="79"/>
            <x v="80"/>
            <x v="81"/>
            <x v="82"/>
            <x v="83"/>
            <x v="84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9">
      <pivotArea outline="0" fieldPosition="0">
        <references count="1">
          <reference field="4294967294" count="1" selected="0">
            <x v="1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7">
      <pivotArea field="1" type="button" dataOnly="0" labelOnly="1" outline="0" axis="axisPage" fieldPosition="0"/>
    </format>
    <format dxfId="146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8CE64-F3C0-4B79-A83E-B64F3C53BCC4}" name="樞紐分析表2" cacheId="23" applyNumberFormats="0" applyBorderFormats="0" applyFontFormats="0" applyPatternFormats="0" applyAlignmentFormats="0" applyWidthHeightFormats="1" dataCaption="值" updatedVersion="8" minRefreshableVersion="3" enableDrill="0" rowGrandTotals="0" colGrandTotals="0" itemPrintTitles="1" createdVersion="7" indent="0" compact="0" compactData="0" multipleFieldFilters="0">
  <location ref="B3:F158" firstHeaderRow="0" firstDataRow="1" firstDataCol="3" rowPageCount="1" colPageCount="1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x="6"/>
        <item x="7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h="1" x="1"/>
        <item h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ascending" defaultSubtotal="0">
      <items count="75">
        <item x="73"/>
        <item x="14"/>
        <item x="43"/>
        <item x="24"/>
        <item x="69"/>
        <item x="59"/>
        <item x="60"/>
        <item x="65"/>
        <item x="29"/>
        <item x="25"/>
        <item x="23"/>
        <item x="33"/>
        <item x="22"/>
        <item x="72"/>
        <item x="64"/>
        <item x="18"/>
        <item x="16"/>
        <item x="57"/>
        <item x="40"/>
        <item x="31"/>
        <item x="52"/>
        <item x="42"/>
        <item x="38"/>
        <item x="27"/>
        <item x="63"/>
        <item x="71"/>
        <item x="62"/>
        <item x="54"/>
        <item x="53"/>
        <item x="68"/>
        <item x="34"/>
        <item x="2"/>
        <item x="5"/>
        <item x="21"/>
        <item x="50"/>
        <item x="39"/>
        <item x="67"/>
        <item x="26"/>
        <item x="49"/>
        <item x="0"/>
        <item x="13"/>
        <item x="58"/>
        <item x="12"/>
        <item x="36"/>
        <item x="37"/>
        <item x="61"/>
        <item x="10"/>
        <item x="48"/>
        <item x="51"/>
        <item x="32"/>
        <item x="70"/>
        <item x="19"/>
        <item x="17"/>
        <item x="55"/>
        <item x="56"/>
        <item x="20"/>
        <item x="6"/>
        <item x="1"/>
        <item x="3"/>
        <item x="4"/>
        <item x="15"/>
        <item x="44"/>
        <item x="11"/>
        <item x="30"/>
        <item x="47"/>
        <item x="46"/>
        <item x="66"/>
        <item x="45"/>
        <item x="35"/>
        <item x="28"/>
        <item x="41"/>
        <item x="9"/>
        <item x="7"/>
        <item x="8"/>
        <item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78">
        <item x="76"/>
        <item x="77"/>
        <item x="1"/>
        <item x="6"/>
        <item x="3"/>
        <item x="5"/>
        <item x="4"/>
        <item x="27"/>
        <item x="38"/>
        <item x="15"/>
        <item x="17"/>
        <item x="14"/>
        <item x="37"/>
        <item x="36"/>
        <item x="13"/>
        <item x="32"/>
        <item x="11"/>
        <item x="20"/>
        <item x="25"/>
        <item x="23"/>
        <item x="26"/>
        <item x="34"/>
        <item x="16"/>
        <item x="21"/>
        <item x="28"/>
        <item x="12"/>
        <item x="19"/>
        <item x="2"/>
        <item x="40"/>
        <item x="41"/>
        <item x="33"/>
        <item x="22"/>
        <item x="44"/>
        <item x="10"/>
        <item x="43"/>
        <item x="29"/>
        <item x="39"/>
        <item x="0"/>
        <item x="46"/>
        <item x="7"/>
        <item x="8"/>
        <item x="35"/>
        <item x="30"/>
        <item x="9"/>
        <item x="31"/>
        <item x="18"/>
        <item x="42"/>
        <item x="24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4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5">
        <item x="2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3"/>
        <item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1"/>
    <field x="8"/>
  </rowFields>
  <rowItems count="155">
    <i>
      <x v="1"/>
      <x v="2"/>
      <x v="2"/>
    </i>
    <i r="1">
      <x v="3"/>
      <x v="2"/>
    </i>
    <i r="1">
      <x v="4"/>
      <x v="2"/>
    </i>
    <i r="1">
      <x v="5"/>
      <x v="2"/>
    </i>
    <i>
      <x v="2"/>
      <x v="4"/>
      <x v="2"/>
    </i>
    <i>
      <x v="3"/>
      <x v="3"/>
      <x v="2"/>
    </i>
    <i r="1">
      <x v="6"/>
      <x v="2"/>
    </i>
    <i>
      <x v="4"/>
      <x v="7"/>
      <x v="2"/>
    </i>
    <i>
      <x v="5"/>
      <x v="6"/>
      <x v="2"/>
    </i>
    <i r="1">
      <x v="7"/>
      <x v="2"/>
    </i>
    <i>
      <x v="6"/>
      <x v="6"/>
      <x v="2"/>
    </i>
    <i>
      <x v="7"/>
      <x v="6"/>
      <x v="2"/>
    </i>
    <i>
      <x v="8"/>
      <x v="3"/>
      <x v="2"/>
    </i>
    <i r="1">
      <x v="4"/>
      <x v="2"/>
    </i>
    <i>
      <x v="9"/>
      <x v="3"/>
      <x v="2"/>
    </i>
    <i r="1">
      <x v="5"/>
      <x v="2"/>
    </i>
    <i>
      <x v="10"/>
      <x v="3"/>
      <x v="2"/>
    </i>
    <i r="1">
      <x v="4"/>
      <x v="2"/>
    </i>
    <i r="1">
      <x v="5"/>
      <x v="2"/>
    </i>
    <i>
      <x v="11"/>
      <x v="4"/>
      <x v="2"/>
    </i>
    <i>
      <x v="12"/>
      <x v="3"/>
      <x v="2"/>
    </i>
    <i r="1">
      <x v="4"/>
      <x v="2"/>
    </i>
    <i r="1">
      <x v="5"/>
      <x v="2"/>
    </i>
    <i r="1">
      <x v="6"/>
      <x v="2"/>
    </i>
    <i r="2">
      <x v="3"/>
    </i>
    <i r="1">
      <x v="7"/>
      <x v="2"/>
    </i>
    <i>
      <x v="13"/>
      <x v="7"/>
      <x v="2"/>
    </i>
    <i>
      <x v="14"/>
      <x v="6"/>
      <x v="2"/>
    </i>
    <i r="1">
      <x v="7"/>
      <x v="2"/>
    </i>
    <i>
      <x v="15"/>
      <x v="2"/>
      <x v="2"/>
    </i>
    <i>
      <x v="16"/>
      <x v="2"/>
      <x v="2"/>
    </i>
    <i>
      <x v="17"/>
      <x v="6"/>
      <x v="2"/>
    </i>
    <i>
      <x v="18"/>
      <x v="4"/>
      <x v="2"/>
    </i>
    <i r="1">
      <x v="6"/>
      <x v="2"/>
    </i>
    <i>
      <x v="19"/>
      <x v="3"/>
      <x v="2"/>
    </i>
    <i>
      <x v="20"/>
      <x v="6"/>
      <x v="2"/>
    </i>
    <i>
      <x v="21"/>
      <x v="4"/>
      <x v="2"/>
    </i>
    <i r="1">
      <x v="5"/>
      <x v="2"/>
    </i>
    <i>
      <x v="22"/>
      <x v="4"/>
      <x v="2"/>
    </i>
    <i>
      <x v="23"/>
      <x v="3"/>
      <x v="2"/>
    </i>
    <i r="1">
      <x v="4"/>
      <x v="2"/>
    </i>
    <i r="1">
      <x v="5"/>
      <x v="2"/>
    </i>
    <i r="1">
      <x v="6"/>
      <x v="2"/>
    </i>
    <i r="1">
      <x v="7"/>
      <x v="2"/>
    </i>
    <i>
      <x v="24"/>
      <x v="6"/>
      <x v="2"/>
    </i>
    <i>
      <x v="25"/>
      <x v="7"/>
      <x v="2"/>
    </i>
    <i>
      <x v="26"/>
      <x v="6"/>
      <x v="2"/>
    </i>
    <i r="1">
      <x v="7"/>
      <x v="2"/>
    </i>
    <i>
      <x v="27"/>
      <x v="6"/>
      <x v="2"/>
    </i>
    <i>
      <x v="28"/>
      <x v="6"/>
      <x v="2"/>
    </i>
    <i>
      <x v="29"/>
      <x v="6"/>
      <x v="2"/>
    </i>
    <i>
      <x v="30"/>
      <x v="4"/>
      <x v="2"/>
    </i>
    <i>
      <x v="31"/>
      <x v="2"/>
      <x v="2"/>
    </i>
    <i r="1">
      <x v="3"/>
      <x v="2"/>
    </i>
    <i r="1">
      <x v="6"/>
      <x v="2"/>
    </i>
    <i>
      <x v="32"/>
      <x v="2"/>
      <x v="2"/>
    </i>
    <i r="1">
      <x v="4"/>
      <x v="2"/>
    </i>
    <i r="1">
      <x v="5"/>
      <x v="2"/>
    </i>
    <i>
      <x v="33"/>
      <x v="3"/>
      <x v="2"/>
    </i>
    <i r="1">
      <x v="5"/>
      <x v="2"/>
    </i>
    <i r="1">
      <x v="6"/>
      <x v="2"/>
    </i>
    <i r="1">
      <x v="7"/>
      <x v="2"/>
    </i>
    <i>
      <x v="34"/>
      <x v="5"/>
      <x v="2"/>
    </i>
    <i>
      <x v="35"/>
      <x v="4"/>
      <x v="2"/>
    </i>
    <i>
      <x v="36"/>
      <x v="6"/>
      <x v="2"/>
    </i>
    <i r="1">
      <x v="7"/>
      <x v="2"/>
    </i>
    <i>
      <x v="37"/>
      <x v="3"/>
      <x v="2"/>
    </i>
    <i r="1">
      <x v="6"/>
      <x v="2"/>
    </i>
    <i>
      <x v="38"/>
      <x v="5"/>
      <x v="2"/>
    </i>
    <i>
      <x v="39"/>
      <x v="2"/>
      <x v="2"/>
    </i>
    <i>
      <x v="40"/>
      <x v="2"/>
      <x v="2"/>
    </i>
    <i r="1">
      <x v="7"/>
      <x v="2"/>
    </i>
    <i>
      <x v="41"/>
      <x v="6"/>
      <x v="2"/>
    </i>
    <i>
      <x v="42"/>
      <x v="2"/>
      <x v="2"/>
    </i>
    <i r="1">
      <x v="5"/>
      <x v="2"/>
    </i>
    <i>
      <x v="43"/>
      <x v="4"/>
      <x v="2"/>
    </i>
    <i r="1">
      <x v="6"/>
      <x v="2"/>
    </i>
    <i r="1">
      <x v="7"/>
      <x v="2"/>
    </i>
    <i>
      <x v="44"/>
      <x v="4"/>
      <x v="2"/>
    </i>
    <i r="1">
      <x v="6"/>
      <x v="2"/>
    </i>
    <i>
      <x v="45"/>
      <x v="6"/>
      <x v="2"/>
    </i>
    <i>
      <x v="46"/>
      <x v="2"/>
      <x v="2"/>
    </i>
    <i r="1">
      <x v="4"/>
      <x v="2"/>
    </i>
    <i r="1">
      <x v="5"/>
      <x v="2"/>
    </i>
    <i>
      <x v="47"/>
      <x v="5"/>
      <x v="2"/>
    </i>
    <i>
      <x v="48"/>
      <x v="5"/>
      <x v="2"/>
    </i>
    <i>
      <x v="49"/>
      <x v="3"/>
      <x v="2"/>
    </i>
    <i r="1">
      <x v="7"/>
      <x v="3"/>
    </i>
    <i>
      <x v="50"/>
      <x v="7"/>
      <x v="2"/>
    </i>
    <i>
      <x v="51"/>
      <x v="2"/>
      <x v="2"/>
    </i>
    <i r="1">
      <x v="6"/>
      <x v="2"/>
    </i>
    <i>
      <x v="52"/>
      <x v="2"/>
      <x v="2"/>
    </i>
    <i r="1">
      <x v="4"/>
      <x v="2"/>
    </i>
    <i r="1">
      <x v="6"/>
      <x v="2"/>
    </i>
    <i r="1">
      <x v="7"/>
      <x v="2"/>
    </i>
    <i>
      <x v="53"/>
      <x v="6"/>
      <x v="2"/>
    </i>
    <i>
      <x v="54"/>
      <x v="6"/>
      <x v="2"/>
    </i>
    <i>
      <x v="55"/>
      <x v="2"/>
      <x v="2"/>
    </i>
    <i r="1">
      <x v="3"/>
      <x v="2"/>
    </i>
    <i r="1">
      <x v="5"/>
      <x v="2"/>
    </i>
    <i r="1">
      <x v="6"/>
      <x v="2"/>
    </i>
    <i r="1">
      <x v="7"/>
      <x v="2"/>
    </i>
    <i>
      <x v="56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>
      <x v="57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 r="2">
      <x v="3"/>
    </i>
    <i>
      <x v="58"/>
      <x v="2"/>
      <x v="2"/>
    </i>
    <i r="1">
      <x v="3"/>
      <x v="2"/>
    </i>
    <i r="1">
      <x v="5"/>
      <x v="2"/>
    </i>
    <i r="1">
      <x v="6"/>
      <x v="2"/>
    </i>
    <i>
      <x v="59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>
      <x v="60"/>
      <x v="2"/>
      <x v="2"/>
    </i>
    <i r="1">
      <x v="3"/>
      <x v="2"/>
    </i>
    <i r="1">
      <x v="4"/>
      <x v="2"/>
    </i>
    <i r="1">
      <x v="5"/>
      <x v="2"/>
    </i>
    <i r="1">
      <x v="6"/>
      <x v="2"/>
    </i>
    <i r="1">
      <x v="7"/>
      <x v="2"/>
    </i>
    <i>
      <x v="61"/>
      <x v="4"/>
      <x v="2"/>
    </i>
    <i>
      <x v="62"/>
      <x v="2"/>
      <x v="2"/>
    </i>
    <i r="1">
      <x v="5"/>
      <x v="2"/>
    </i>
    <i r="1">
      <x v="7"/>
      <x v="2"/>
    </i>
    <i>
      <x v="63"/>
      <x v="3"/>
      <x v="2"/>
    </i>
    <i r="1">
      <x v="5"/>
      <x v="2"/>
    </i>
    <i r="1">
      <x v="7"/>
      <x v="2"/>
    </i>
    <i>
      <x v="64"/>
      <x v="4"/>
      <x v="2"/>
    </i>
    <i r="1">
      <x v="6"/>
      <x v="2"/>
    </i>
    <i>
      <x v="65"/>
      <x v="4"/>
      <x v="2"/>
    </i>
    <i>
      <x v="66"/>
      <x v="6"/>
      <x v="2"/>
    </i>
    <i>
      <x v="67"/>
      <x v="4"/>
      <x v="2"/>
    </i>
    <i r="1">
      <x v="6"/>
      <x v="2"/>
    </i>
    <i>
      <x v="68"/>
      <x v="4"/>
      <x v="2"/>
    </i>
    <i r="1">
      <x v="6"/>
      <x v="2"/>
    </i>
    <i>
      <x v="69"/>
      <x v="3"/>
      <x v="2"/>
    </i>
    <i r="1">
      <x v="5"/>
      <x v="2"/>
    </i>
    <i>
      <x v="70"/>
      <x v="4"/>
      <x v="2"/>
    </i>
    <i r="1">
      <x v="6"/>
      <x v="2"/>
    </i>
    <i>
      <x v="71"/>
      <x v="2"/>
      <x v="2"/>
    </i>
    <i>
      <x v="72"/>
      <x v="2"/>
      <x v="2"/>
    </i>
    <i r="1">
      <x v="4"/>
      <x v="2"/>
    </i>
    <i>
      <x v="73"/>
      <x v="2"/>
      <x v="2"/>
    </i>
    <i r="1">
      <x v="4"/>
      <x v="2"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加總 - 數量" fld="13" baseField="0" baseItem="0"/>
    <dataField name="加總 - 未稅價格" fld="20" baseField="0" baseItem="0" numFmtId="3"/>
  </dataFields>
  <formats count="24">
    <format dxfId="145">
      <pivotArea type="all" dataOnly="0" outline="0" fieldPosition="0"/>
    </format>
    <format dxfId="144">
      <pivotArea type="all" dataOnly="0" outline="0" fieldPosition="0"/>
    </format>
    <format dxfId="143">
      <pivotArea field="1" type="button" dataOnly="0" labelOnly="1" outline="0" axis="axisRow" fieldPosition="1"/>
    </format>
    <format dxfId="142">
      <pivotArea dataOnly="0" labelOnly="1" grandRow="1" outline="0" fieldPosition="0"/>
    </format>
    <format dxfId="141">
      <pivotArea outline="0" collapsedLevelsAreSubtotals="1" fieldPosition="0"/>
    </format>
    <format dxfId="140">
      <pivotArea field="9" type="button" dataOnly="0" labelOnly="1" outline="0"/>
    </format>
    <format dxfId="139">
      <pivotArea field="4" type="button" dataOnly="0" labelOnly="1" outline="0"/>
    </format>
    <format dxfId="138">
      <pivotArea field="3" type="button" dataOnly="0" labelOnly="1" outline="0" axis="axisRow" fieldPosition="0"/>
    </format>
    <format dxfId="137">
      <pivotArea type="topRight" dataOnly="0" labelOnly="1" outline="0" fieldPosition="0"/>
    </format>
    <format dxfId="136">
      <pivotArea dataOnly="0" labelOnly="1" grandCol="1" outline="0" fieldPosition="0"/>
    </format>
    <format dxfId="135">
      <pivotArea dataOnly="0" labelOnly="1" outline="0" fieldPosition="0">
        <references count="1">
          <reference field="2" count="0"/>
        </references>
      </pivotArea>
    </format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" type="button" dataOnly="0" labelOnly="1" outline="0" axis="axisRow" fieldPosition="0"/>
    </format>
    <format dxfId="129">
      <pivotArea field="4" type="button" dataOnly="0" labelOnly="1" outline="0"/>
    </format>
    <format dxfId="128">
      <pivotArea field="1" type="button" dataOnly="0" labelOnly="1" outline="0" axis="axisRow" fieldPosition="1"/>
    </format>
    <format dxfId="127">
      <pivotArea field="8" type="button" dataOnly="0" labelOnly="1" outline="0" axis="axisRow" fieldPosition="2"/>
    </format>
    <format dxfId="126">
      <pivotArea dataOnly="0" labelOnly="1" fieldPosition="0">
        <references count="1">
          <reference field="3" count="9">
            <x v="1"/>
            <x v="2"/>
            <x v="8"/>
            <x v="9"/>
            <x v="10"/>
            <x v="11"/>
            <x v="12"/>
            <x v="15"/>
            <x v="16"/>
          </reference>
        </references>
      </pivotArea>
    </format>
    <format dxfId="125">
      <pivotArea dataOnly="0" labelOnly="1" fieldPosition="0">
        <references count="1">
          <reference field="3" count="15">
            <x v="18"/>
            <x v="19"/>
            <x v="21"/>
            <x v="22"/>
            <x v="23"/>
            <x v="30"/>
            <x v="31"/>
            <x v="32"/>
            <x v="33"/>
            <x v="35"/>
            <x v="37"/>
            <x v="39"/>
            <x v="40"/>
            <x v="42"/>
            <x v="43"/>
          </reference>
        </references>
      </pivotArea>
    </format>
    <format dxfId="124">
      <pivotArea dataOnly="0" labelOnly="1" fieldPosition="0">
        <references count="1">
          <reference field="3" count="18">
            <x v="44"/>
            <x v="46"/>
            <x v="49"/>
            <x v="51"/>
            <x v="52"/>
            <x v="55"/>
            <x v="56"/>
            <x v="57"/>
            <x v="58"/>
            <x v="59"/>
            <x v="60"/>
            <x v="61"/>
            <x v="62"/>
            <x v="63"/>
            <x v="65"/>
            <x v="68"/>
            <x v="69"/>
            <x v="70"/>
          </reference>
        </references>
      </pivotArea>
    </format>
    <format dxfId="123">
      <pivotArea dataOnly="0" labelOnly="1" fieldPosition="0">
        <references count="1">
          <reference field="3" count="3">
            <x v="71"/>
            <x v="72"/>
            <x v="73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DC0BF-3BDF-4C02-9443-505E47578863}" name="樞紐分析表3" cacheId="14" applyNumberFormats="0" applyBorderFormats="0" applyFontFormats="0" applyPatternFormats="0" applyAlignmentFormats="0" applyWidthHeightFormats="1" dataCaption="值" updatedVersion="8" minRefreshableVersion="3" enableDrill="0" rowGrandTotals="0" colGrandTotals="0" itemPrintTitles="1" createdVersion="7" indent="0" compact="0" compactData="0" multipleFieldFilters="0">
  <location ref="B3:E81" firstHeaderRow="0" firstDataRow="1" firstDataCol="2" rowPageCount="1" colPageCount="1"/>
  <pivotFields count="6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7">
        <item h="1" x="6"/>
        <item x="5"/>
        <item x="1"/>
        <item x="0"/>
        <item h="1" x="3"/>
        <item h="1"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8">
        <item x="6"/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4">
        <item x="33"/>
        <item x="8"/>
        <item x="3"/>
        <item x="1"/>
        <item x="13"/>
        <item x="0"/>
        <item x="2"/>
        <item x="4"/>
        <item x="5"/>
        <item x="6"/>
        <item x="7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39">
        <item x="38"/>
        <item x="16"/>
        <item x="3"/>
        <item x="15"/>
        <item x="0"/>
        <item x="8"/>
        <item x="10"/>
        <item x="9"/>
        <item x="13"/>
        <item x="4"/>
        <item x="12"/>
        <item x="17"/>
        <item x="1"/>
        <item x="7"/>
        <item x="11"/>
        <item x="5"/>
        <item x="14"/>
        <item x="6"/>
        <item x="2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5"/>
  </rowFields>
  <rowItems count="78">
    <i>
      <x v="1"/>
      <x v="3"/>
    </i>
    <i r="1">
      <x v="4"/>
    </i>
    <i r="1">
      <x v="5"/>
    </i>
    <i r="1">
      <x v="6"/>
    </i>
    <i>
      <x v="2"/>
      <x v="1"/>
    </i>
    <i r="1">
      <x v="2"/>
    </i>
    <i r="1">
      <x v="4"/>
    </i>
    <i r="1">
      <x v="5"/>
    </i>
    <i r="1">
      <x v="6"/>
    </i>
    <i>
      <x v="3"/>
      <x v="3"/>
    </i>
    <i r="1">
      <x v="5"/>
    </i>
    <i>
      <x v="4"/>
      <x v="1"/>
    </i>
    <i r="1">
      <x v="2"/>
    </i>
    <i r="1">
      <x v="3"/>
    </i>
    <i r="1">
      <x v="4"/>
    </i>
    <i r="1">
      <x v="5"/>
    </i>
    <i>
      <x v="5"/>
      <x v="1"/>
    </i>
    <i r="1">
      <x v="4"/>
    </i>
    <i r="1">
      <x v="5"/>
    </i>
    <i>
      <x v="6"/>
      <x v="2"/>
    </i>
    <i r="1">
      <x v="5"/>
    </i>
    <i>
      <x v="7"/>
      <x v="2"/>
    </i>
    <i r="1">
      <x v="4"/>
    </i>
    <i r="1">
      <x v="5"/>
    </i>
    <i>
      <x v="8"/>
      <x v="3"/>
    </i>
    <i r="1">
      <x v="5"/>
    </i>
    <i>
      <x v="9"/>
      <x v="1"/>
    </i>
    <i r="1">
      <x v="2"/>
    </i>
    <i r="1">
      <x v="5"/>
    </i>
    <i>
      <x v="10"/>
      <x v="3"/>
    </i>
    <i r="1">
      <x v="5"/>
    </i>
    <i>
      <x v="11"/>
      <x v="3"/>
    </i>
    <i r="1">
      <x v="4"/>
    </i>
    <i r="1">
      <x v="5"/>
    </i>
    <i>
      <x v="12"/>
      <x v="1"/>
    </i>
    <i r="1">
      <x v="2"/>
    </i>
    <i r="1">
      <x v="3"/>
    </i>
    <i r="1">
      <x v="4"/>
    </i>
    <i r="1">
      <x v="5"/>
    </i>
    <i r="1">
      <x v="6"/>
    </i>
    <i>
      <x v="13"/>
      <x v="1"/>
    </i>
    <i r="1">
      <x v="5"/>
    </i>
    <i r="1">
      <x v="6"/>
    </i>
    <i>
      <x v="14"/>
      <x v="2"/>
    </i>
    <i r="1">
      <x v="3"/>
    </i>
    <i r="1">
      <x v="5"/>
    </i>
    <i r="1">
      <x v="6"/>
    </i>
    <i>
      <x v="15"/>
      <x v="1"/>
    </i>
    <i r="1">
      <x v="3"/>
    </i>
    <i r="1">
      <x v="5"/>
    </i>
    <i r="1">
      <x v="6"/>
    </i>
    <i>
      <x v="16"/>
      <x v="3"/>
    </i>
    <i r="1">
      <x v="5"/>
    </i>
    <i>
      <x v="17"/>
      <x v="1"/>
    </i>
    <i r="1">
      <x v="5"/>
    </i>
    <i>
      <x v="18"/>
      <x v="1"/>
    </i>
    <i r="1">
      <x v="5"/>
    </i>
    <i>
      <x v="19"/>
      <x v="4"/>
    </i>
    <i>
      <x v="20"/>
      <x v="4"/>
    </i>
    <i>
      <x v="21"/>
      <x v="4"/>
    </i>
    <i>
      <x v="22"/>
      <x v="5"/>
    </i>
    <i r="1">
      <x v="6"/>
    </i>
    <i>
      <x v="23"/>
      <x v="5"/>
    </i>
    <i>
      <x v="24"/>
      <x v="5"/>
    </i>
    <i r="1">
      <x v="6"/>
    </i>
    <i>
      <x v="25"/>
      <x v="5"/>
    </i>
    <i>
      <x v="26"/>
      <x v="5"/>
    </i>
    <i>
      <x v="28"/>
      <x v="5"/>
    </i>
    <i>
      <x v="29"/>
      <x v="5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5"/>
    </i>
    <i>
      <x v="38"/>
      <x v="5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加總 - 數量" fld="33" baseField="0" baseItem="0"/>
    <dataField name="加總 - 未稅價格" fld="59" baseField="0" baseItem="0" numFmtId="3"/>
  </dataFields>
  <formats count="29">
    <format dxfId="121">
      <pivotArea dataOnly="0" labelOnly="1" grandCol="1" outline="0" offset="IV1" fieldPosition="0"/>
    </format>
    <format dxfId="120">
      <pivotArea outline="0" collapsedLevelsAreSubtotals="1" fieldPosition="0"/>
    </format>
    <format dxfId="119">
      <pivotArea field="31" type="button" dataOnly="0" labelOnly="1" outline="0" axis="axisRow" fieldPosition="0"/>
    </format>
    <format dxfId="118">
      <pivotArea field="24" type="button" dataOnly="0" labelOnly="1" outline="0"/>
    </format>
    <format dxfId="117">
      <pivotArea dataOnly="0" labelOnly="1" grandCol="1" outline="0" fieldPosition="0"/>
    </format>
    <format dxfId="116">
      <pivotArea dataOnly="0" labelOnly="1" grandRow="1" outline="0" fieldPosition="0"/>
    </format>
    <format dxfId="115">
      <pivotArea field="1" type="button" dataOnly="0" labelOnly="1" outline="0" axis="axisPage" fieldPosition="0"/>
    </format>
    <format dxfId="114">
      <pivotArea type="origin" dataOnly="0" labelOnly="1" outline="0" fieldPosition="0"/>
    </format>
    <format dxfId="113">
      <pivotArea dataOnly="0" labelOnly="1" grandRow="1" outline="0" fieldPosition="0"/>
    </format>
    <format dxfId="112">
      <pivotArea field="24" type="button" dataOnly="0" labelOnly="1" outline="0"/>
    </format>
    <format dxfId="111">
      <pivotArea field="24" type="button" dataOnly="0" labelOnly="1" outline="0"/>
    </format>
    <format dxfId="110">
      <pivotArea type="topRight" dataOnly="0" labelOnly="1" outline="0" fieldPosition="0"/>
    </format>
    <format dxfId="109">
      <pivotArea dataOnly="0" labelOnly="1" outline="0" fieldPosition="0">
        <references count="1">
          <reference field="5" count="0"/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31" count="0"/>
        </references>
      </pivotArea>
    </format>
    <format dxfId="105">
      <pivotArea dataOnly="0" labelOnly="1" outline="0" axis="axisValues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1" type="button" dataOnly="0" labelOnly="1" outline="0" axis="axisRow" fieldPosition="0"/>
    </format>
    <format dxfId="99">
      <pivotArea field="24" type="button" dataOnly="0" labelOnly="1" outline="0"/>
    </format>
    <format dxfId="98">
      <pivotArea field="5" type="button" dataOnly="0" labelOnly="1" outline="0" axis="axisRow" fieldPosition="1"/>
    </format>
    <format dxfId="97">
      <pivotArea dataOnly="0" labelOnly="1" outline="0" fieldPosition="0">
        <references count="1">
          <reference field="31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96">
      <pivotArea dataOnly="0" labelOnly="1" outline="0" fieldPosition="0">
        <references count="1">
          <reference field="31" count="3">
            <x v="16"/>
            <x v="17"/>
            <x v="18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">
      <pivotArea outline="0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B5E14-D9DC-4EC5-A537-2EFCC3FA2786}" name="樞紐分析表1" cacheId="7" applyNumberFormats="0" applyBorderFormats="0" applyFontFormats="0" applyPatternFormats="0" applyAlignmentFormats="0" applyWidthHeightFormats="1" dataCaption="值" updatedVersion="8" minRefreshableVersion="3" enableDrill="0" subtotalHiddenItems="1" rowGrandTotals="0" colGrandTotals="0" itemPrintTitles="1" createdVersion="7" indent="0" compact="0" compactData="0" multipleFieldFilters="0" fieldListSortAscending="1">
  <location ref="B3:F61" firstHeaderRow="0" firstDataRow="1" firstDataCol="3" rowPageCount="1" colPageCount="1"/>
  <pivotFields count="13">
    <pivotField compact="0" allDrilled="1" outline="0" subtotalTop="0" showAll="0" dataSourceSort="1" defaultAttributeDrillState="1"/>
    <pivotField compact="0" allDrilled="1" outline="0" subtotalTop="0" showAll="0" dataSourceSort="1" defaultAttributeDrillState="1"/>
    <pivotField dataField="1" compact="0" outline="0" subtotalTop="0" showAll="0"/>
    <pivotField dataField="1" compact="0" outline="0" subtotalTop="0" showAll="0"/>
    <pivotField axis="axisPage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showPropTip="1"/>
    <pivotField compact="0" outline="0" subtotalTop="0" showAll="0" dataSourceSort="1" showPropTip="1"/>
    <pivotField compact="0" outline="0" subtotalTop="0" showAll="0" dataSourceSort="1" showPropTip="1"/>
    <pivotField axis="axisRow" compact="0" outline="0" subtotalTop="0" showAll="0" dataSourceSort="1" defaultAttributeDrillState="1">
      <items count="3">
        <item s="1" x="0"/>
        <item s="1" x="1"/>
        <item t="default"/>
      </items>
    </pivotField>
    <pivotField compact="0" allDrilled="1" outline="0" subtotalTop="0" showAll="0" dataSourceSort="1" defaultAttributeDrillState="1"/>
    <pivotField axis="axisRow" compact="0" allDrilled="1" outline="0" subtotalTop="0" showAll="0" defaultSubtotal="0" defaultAttributeDrillState="1">
      <items count="4">
        <item x="0"/>
        <item x="1"/>
        <item x="3"/>
        <item x="2"/>
      </items>
    </pivotField>
    <pivotField name="管道" axis="axisRow" compact="0" allDrilled="1" outline="0" subtotalTop="0" showAll="0" hideNewItems="1">
      <items count="2">
        <item n="電銷" c="1" x="0"/>
        <item t="default"/>
      </items>
    </pivotField>
  </pivotFields>
  <rowFields count="3">
    <field x="5"/>
    <field x="11"/>
    <field x="12"/>
  </rowFields>
  <rowItems count="58">
    <i>
      <x/>
      <x/>
      <x/>
    </i>
    <i r="1">
      <x v="1"/>
      <x/>
    </i>
    <i>
      <x v="1"/>
      <x v="1"/>
      <x/>
    </i>
    <i>
      <x v="2"/>
      <x v="3"/>
      <x/>
    </i>
    <i>
      <x v="3"/>
      <x v="1"/>
      <x/>
    </i>
    <i>
      <x v="4"/>
      <x v="1"/>
      <x/>
    </i>
    <i>
      <x v="5"/>
      <x v="1"/>
      <x/>
    </i>
    <i>
      <x v="6"/>
      <x v="1"/>
      <x/>
    </i>
    <i r="1">
      <x v="2"/>
      <x/>
    </i>
    <i r="1">
      <x v="3"/>
      <x/>
    </i>
    <i>
      <x v="7"/>
      <x/>
      <x/>
    </i>
    <i r="1">
      <x v="1"/>
      <x/>
    </i>
    <i r="1">
      <x v="2"/>
      <x/>
    </i>
    <i>
      <x v="8"/>
      <x v="1"/>
      <x/>
    </i>
    <i>
      <x v="9"/>
      <x v="1"/>
      <x/>
    </i>
    <i>
      <x v="10"/>
      <x v="1"/>
      <x/>
    </i>
    <i>
      <x v="11"/>
      <x v="1"/>
      <x/>
    </i>
    <i r="1">
      <x v="2"/>
      <x/>
    </i>
    <i>
      <x v="12"/>
      <x v="1"/>
      <x/>
    </i>
    <i>
      <x v="13"/>
      <x v="2"/>
      <x/>
    </i>
    <i>
      <x v="14"/>
      <x v="1"/>
      <x/>
    </i>
    <i>
      <x v="15"/>
      <x v="2"/>
      <x/>
    </i>
    <i>
      <x v="16"/>
      <x v="2"/>
      <x/>
    </i>
    <i>
      <x v="17"/>
      <x v="3"/>
      <x/>
    </i>
    <i>
      <x v="18"/>
      <x v="2"/>
      <x/>
    </i>
    <i>
      <x v="19"/>
      <x v="1"/>
      <x/>
    </i>
    <i r="1">
      <x v="2"/>
      <x/>
    </i>
    <i r="1">
      <x v="3"/>
      <x/>
    </i>
    <i>
      <x v="20"/>
      <x/>
      <x/>
    </i>
    <i r="1">
      <x v="1"/>
      <x/>
    </i>
    <i r="1">
      <x v="2"/>
      <x/>
    </i>
    <i r="1">
      <x v="3"/>
      <x/>
    </i>
    <i>
      <x v="21"/>
      <x v="1"/>
      <x/>
    </i>
    <i r="1">
      <x v="2"/>
      <x/>
    </i>
    <i r="1">
      <x v="3"/>
      <x/>
    </i>
    <i>
      <x v="22"/>
      <x/>
      <x/>
    </i>
    <i r="1">
      <x v="1"/>
      <x/>
    </i>
    <i r="1">
      <x v="2"/>
      <x/>
    </i>
    <i r="1">
      <x v="3"/>
      <x/>
    </i>
    <i>
      <x v="23"/>
      <x v="3"/>
      <x/>
    </i>
    <i>
      <x v="24"/>
      <x v="3"/>
      <x/>
    </i>
    <i>
      <x v="25"/>
      <x/>
      <x/>
    </i>
    <i r="1">
      <x v="1"/>
      <x/>
    </i>
    <i r="1">
      <x v="2"/>
      <x/>
    </i>
    <i r="1">
      <x v="3"/>
      <x/>
    </i>
    <i>
      <x v="26"/>
      <x v="1"/>
      <x/>
    </i>
    <i>
      <x v="27"/>
      <x v="3"/>
      <x/>
    </i>
    <i>
      <x v="28"/>
      <x v="1"/>
      <x/>
    </i>
    <i r="1">
      <x v="3"/>
      <x/>
    </i>
    <i>
      <x v="29"/>
      <x v="3"/>
      <x/>
    </i>
    <i>
      <x v="30"/>
      <x v="2"/>
      <x/>
    </i>
    <i r="1">
      <x v="3"/>
      <x/>
    </i>
    <i>
      <x v="31"/>
      <x v="3"/>
      <x/>
    </i>
    <i>
      <x v="32"/>
      <x v="1"/>
      <x/>
    </i>
    <i r="1">
      <x v="2"/>
      <x/>
    </i>
    <i r="1">
      <x v="3"/>
      <x/>
    </i>
    <i>
      <x v="33"/>
      <x v="3"/>
      <x/>
    </i>
    <i>
      <x v="34"/>
      <x v="3"/>
      <x/>
    </i>
  </rowItems>
  <colFields count="1">
    <field x="-2"/>
  </colFields>
  <colItems count="2">
    <i>
      <x/>
    </i>
    <i i="1">
      <x v="1"/>
    </i>
  </colItems>
  <pageFields count="1">
    <pageField fld="4" hier="8" name="[維度_出貨].[發貨年月].&amp;[202605]" cap="202605"/>
  </pageFields>
  <dataFields count="2">
    <dataField fld="2" baseField="0" baseItem="0"/>
    <dataField name="含稅金額" fld="3" baseField="0" baseItem="0" numFmtId="3"/>
  </dataFields>
  <formats count="10">
    <format dxfId="92">
      <pivotArea outline="0" fieldPosition="0">
        <references count="1">
          <reference field="4294967294" count="1" selected="0">
            <x v="1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5" type="button" dataOnly="0" labelOnly="1" outline="0" axis="axisRow" fieldPosition="0"/>
    </format>
    <format dxfId="87">
      <pivotArea field="11" type="button" dataOnly="0" labelOnly="1" outline="0" axis="axisRow" fieldPosition="1"/>
    </format>
    <format dxfId="86">
      <pivotArea field="12" type="button" dataOnly="0" labelOnly="1" outline="0" axis="axisRow" fieldPosition="2"/>
    </format>
    <format dxfId="85">
      <pivotArea dataOnly="0" labelOnly="1" outline="0" fieldPosition="0">
        <references count="1">
          <reference field="5" count="50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1"/>
            <x v="22"/>
            <x v="24"/>
            <x v="25"/>
            <x v="26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84">
      <pivotArea dataOnly="0" labelOnly="1" outline="0" fieldPosition="0">
        <references count="1">
          <reference field="5" count="11">
            <x v="27"/>
            <x v="28"/>
            <x v="29"/>
            <x v="31"/>
            <x v="32"/>
            <x v="33"/>
            <x v="34"/>
            <x v="61"/>
            <x v="62"/>
            <x v="63"/>
            <x v="64"/>
          </reference>
        </references>
      </pivotArea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90">
    <pivotHierarchy/>
    <pivotHierarchy/>
    <pivotHierarchy/>
    <pivotHierarchy multipleItemSelectionAllowed="1"/>
    <pivotHierarchy/>
    <pivotHierarchy/>
    <pivotHierarchy multipleItemSelectionAllowed="1">
      <members count="1" level="1">
        <member name="[維度_出貨].[發送狀態].&amp;[已發送]"/>
      </members>
    </pivotHierarchy>
    <pivotHierarchy multipleItemSelectionAllowed="1"/>
    <pivotHierarchy multipleItemSelectionAllowed="1">
      <members count="1" level="1">
        <member name="[維度_出貨].[發貨年月].&amp;[20260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維度_契約].[建單年月].&amp;[202602]"/>
        <member name="[維度_契約].[建單年月].&amp;[202603]"/>
      </members>
    </pivotHierarchy>
    <pivotHierarchy/>
    <pivotHierarchy/>
    <pivotHierarchy/>
    <pivotHierarchy/>
    <pivotHierarchy multipleItemSelectionAllowed="1">
      <members count="1" level="1">
        <member name="[維度_契約].[債權狀態].&amp;[完納]"/>
      </members>
    </pivotHierarchy>
    <pivotHierarchy multipleItemSelectionAllowed="1"/>
    <pivotHierarchy/>
    <pivotHierarchy/>
    <pivotHierarchy multipleItemSelectionAllowed="1">
      <mps count="3"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showInFieldList="0"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 caption="含稅金額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59"/>
    <rowHierarchyUsage hierarchyUsage="7"/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278AC-E3B8-4737-9123-6758CFC0BEC6}" name="假日" displayName="假日" ref="B1:D42" totalsRowShown="0" headerRowDxfId="214" dataDxfId="213">
  <autoFilter ref="B1:D42" xr:uid="{62FD6A5F-0759-4699-B13C-3CB74F26A108}"/>
  <tableColumns count="3">
    <tableColumn id="1" xr3:uid="{542417C5-A47B-462A-9841-D3CD0BCD4818}" name="日期" dataDxfId="212"/>
    <tableColumn id="2" xr3:uid="{70A36ECE-949F-4890-B23F-BB39C84836F3}" name="假日" dataDxfId="211"/>
    <tableColumn id="3" xr3:uid="{CFE20D6B-FD45-472E-8BB2-0C1FA4D459B2}" name="星期" dataDxfId="210">
      <calculatedColumnFormula>"("&amp;RIGHT(TEXT(假日[[#This Row],[日期]],"[$-zh-TW]aaaa;@"),1)&amp;")"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B7FEC-22F0-430B-9B78-DEAD1E91A240}" name="表格1" displayName="表格1" ref="B2:D14" totalsRowShown="0">
  <autoFilter ref="B2:D14" xr:uid="{D25E40A6-8541-4C9E-BB73-D5523B671D1E}"/>
  <tableColumns count="3">
    <tableColumn id="1" xr3:uid="{09E86198-66B5-47AA-84C4-FDD3A9851130}" name="起始日" dataDxfId="209"/>
    <tableColumn id="2" xr3:uid="{F925C7F6-0828-4CE1-A02D-6794119EEBDE}" name="終止日" dataDxfId="208">
      <calculatedColumnFormula>EOMONTH(B3,0)</calculatedColumnFormula>
    </tableColumn>
    <tableColumn id="3" xr3:uid="{59936D85-D280-4ECF-88A7-002AC6DFF066}" name="工作天數" dataDxfId="20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CDEFAE-1776-4111-A2D1-2316807419EB}" name="表格1_4" displayName="表格1_4" ref="B19:D31" totalsRowShown="0">
  <autoFilter ref="B19:D31" xr:uid="{E832897A-2861-4C73-98E9-0C809E8F7644}"/>
  <tableColumns count="3">
    <tableColumn id="1" xr3:uid="{C4922B26-D77B-44D1-8477-424D6A92BC99}" name="起始日" dataDxfId="206"/>
    <tableColumn id="2" xr3:uid="{F84E6A04-9E14-4F12-9A88-7ADF4478498F}" name="終止日" dataDxfId="205">
      <calculatedColumnFormula>EOMONTH(B20,0)</calculatedColumnFormula>
    </tableColumn>
    <tableColumn id="3" xr3:uid="{E588E696-1E99-411F-973B-CD05AB259EAD}" name="工作天數" dataDxfId="20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FFF281-502B-418E-B52A-31284739E2B9}" name="表格1_46" displayName="表格1_46" ref="B35:D47" totalsRowShown="0">
  <autoFilter ref="B35:D47" xr:uid="{86B802A3-3A6E-40A3-925E-35EDC836E794}"/>
  <tableColumns count="3">
    <tableColumn id="1" xr3:uid="{7EBF01CC-42EA-4A3C-89BC-80236A461881}" name="起始日" dataDxfId="203"/>
    <tableColumn id="2" xr3:uid="{6B63F6A9-1842-4AF3-B0E1-C13306D044A6}" name="終止日" dataDxfId="202">
      <calculatedColumnFormula>EOMONTH(B36,0)</calculatedColumnFormula>
    </tableColumn>
    <tableColumn id="3" xr3:uid="{5E05EBAC-A306-4C89-9DB7-9FB87D2D3426}" name="工作天數" dataDxfId="20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Doris1">
      <a:dk1>
        <a:sysClr val="windowText" lastClr="000000"/>
      </a:dk1>
      <a:lt1>
        <a:sysClr val="window" lastClr="FFFFFF"/>
      </a:lt1>
      <a:dk2>
        <a:srgbClr val="444D26"/>
      </a:dk2>
      <a:lt2>
        <a:srgbClr val="FFFFE9"/>
      </a:lt2>
      <a:accent1>
        <a:srgbClr val="A4ECC1"/>
      </a:accent1>
      <a:accent2>
        <a:srgbClr val="F3A447"/>
      </a:accent2>
      <a:accent3>
        <a:srgbClr val="F4AEF8"/>
      </a:accent3>
      <a:accent4>
        <a:srgbClr val="EAE9B8"/>
      </a:accent4>
      <a:accent5>
        <a:srgbClr val="D1BCE1"/>
      </a:accent5>
      <a:accent6>
        <a:srgbClr val="97DDF3"/>
      </a:accent6>
      <a:hlink>
        <a:srgbClr val="007635"/>
      </a:hlink>
      <a:folHlink>
        <a:srgbClr val="7153A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176B-A30B-4773-90D4-59AFAF67A77F}">
  <dimension ref="A1:E42"/>
  <sheetViews>
    <sheetView topLeftCell="A30" workbookViewId="0">
      <selection activeCell="D26" sqref="D26"/>
    </sheetView>
  </sheetViews>
  <sheetFormatPr defaultRowHeight="15.75"/>
  <cols>
    <col min="1" max="1" width="7.109375" customWidth="1"/>
    <col min="2" max="2" width="11.21875" style="2" bestFit="1" customWidth="1"/>
    <col min="3" max="3" width="30" style="3" bestFit="1" customWidth="1"/>
    <col min="4" max="4" width="9.44140625" style="3" bestFit="1" customWidth="1"/>
    <col min="5" max="5" width="9.44140625" style="3" customWidth="1"/>
    <col min="6" max="6" width="15.21875" customWidth="1"/>
  </cols>
  <sheetData>
    <row r="1" spans="1:5" ht="16.5">
      <c r="A1" s="1" t="s">
        <v>0</v>
      </c>
      <c r="B1" s="2" t="s">
        <v>1</v>
      </c>
      <c r="C1" s="3" t="s">
        <v>2</v>
      </c>
      <c r="D1" s="3" t="s">
        <v>3</v>
      </c>
    </row>
    <row r="2" spans="1:5">
      <c r="A2" s="4" t="s">
        <v>4</v>
      </c>
      <c r="B2" s="2">
        <v>45750</v>
      </c>
      <c r="C2" s="3" t="s">
        <v>5</v>
      </c>
      <c r="D2" s="5" t="str">
        <f>"("&amp;RIGHT(TEXT(假日[[#This Row],[日期]],"[$-zh-TW]aaaa;@"),1)&amp;")"</f>
        <v>(四)</v>
      </c>
      <c r="E2" s="5"/>
    </row>
    <row r="3" spans="1:5">
      <c r="A3" s="4"/>
      <c r="B3" s="2">
        <v>45751</v>
      </c>
      <c r="C3" s="3" t="s">
        <v>6</v>
      </c>
      <c r="D3" s="5" t="str">
        <f>"("&amp;RIGHT(TEXT(假日[[#This Row],[日期]],"[$-zh-TW]aaaa;@"),1)&amp;")"</f>
        <v>(五)</v>
      </c>
      <c r="E3" s="5"/>
    </row>
    <row r="4" spans="1:5">
      <c r="A4" s="4"/>
      <c r="B4" s="2">
        <v>45778</v>
      </c>
      <c r="C4" s="3" t="s">
        <v>7</v>
      </c>
      <c r="D4" s="5" t="str">
        <f>"("&amp;RIGHT(TEXT(假日[[#This Row],[日期]],"[$-zh-TW]aaaa;@"),1)&amp;")"</f>
        <v>(四)</v>
      </c>
      <c r="E4" s="5"/>
    </row>
    <row r="5" spans="1:5">
      <c r="A5" s="4"/>
      <c r="B5" s="2">
        <v>45807</v>
      </c>
      <c r="C5" s="6" t="s">
        <v>8</v>
      </c>
      <c r="D5" s="5" t="str">
        <f>"("&amp;RIGHT(TEXT(假日[[#This Row],[日期]],"[$-zh-TW]aaaa;@"),1)&amp;")"</f>
        <v>(五)</v>
      </c>
      <c r="E5" s="5"/>
    </row>
    <row r="6" spans="1:5">
      <c r="A6" s="4"/>
      <c r="B6" s="2">
        <v>45929</v>
      </c>
      <c r="C6" s="6" t="s">
        <v>9</v>
      </c>
      <c r="D6" s="5" t="str">
        <f>"("&amp;RIGHT(TEXT(假日[[#This Row],[日期]],"[$-zh-TW]aaaa;@"),1)&amp;")"</f>
        <v>(一)</v>
      </c>
      <c r="E6" s="5"/>
    </row>
    <row r="7" spans="1:5">
      <c r="A7" s="4"/>
      <c r="B7" s="2">
        <v>45940</v>
      </c>
      <c r="C7" s="3" t="s">
        <v>10</v>
      </c>
      <c r="D7" s="5" t="str">
        <f>"("&amp;RIGHT(TEXT(假日[[#This Row],[日期]],"[$-zh-TW]aaaa;@"),1)&amp;")"</f>
        <v>(五)</v>
      </c>
      <c r="E7" s="5"/>
    </row>
    <row r="8" spans="1:5">
      <c r="A8" s="4"/>
      <c r="B8" s="2">
        <v>45954</v>
      </c>
      <c r="C8" s="6" t="s">
        <v>11</v>
      </c>
      <c r="D8" s="5" t="str">
        <f>"("&amp;RIGHT(TEXT(假日[[#This Row],[日期]],"[$-zh-TW]aaaa;@"),1)&amp;")"</f>
        <v>(五)</v>
      </c>
      <c r="E8" s="5"/>
    </row>
    <row r="9" spans="1:5">
      <c r="A9" s="4"/>
      <c r="B9" s="2">
        <v>45936</v>
      </c>
      <c r="C9" s="3" t="s">
        <v>12</v>
      </c>
      <c r="D9" s="5" t="str">
        <f>"("&amp;RIGHT(TEXT(假日[[#This Row],[日期]],"[$-zh-TW]aaaa;@"),1)&amp;")"</f>
        <v>(一)</v>
      </c>
      <c r="E9" s="5"/>
    </row>
    <row r="10" spans="1:5">
      <c r="A10" s="4"/>
      <c r="B10" s="2">
        <v>46016</v>
      </c>
      <c r="C10" s="3" t="s">
        <v>13</v>
      </c>
      <c r="D10" s="5" t="str">
        <f>"("&amp;RIGHT(TEXT(假日[[#This Row],[日期]],"[$-zh-TW]aaaa;@"),1)&amp;")"</f>
        <v>(四)</v>
      </c>
      <c r="E10" s="5"/>
    </row>
    <row r="11" spans="1:5">
      <c r="A11" s="4"/>
      <c r="B11" s="2">
        <v>46023</v>
      </c>
      <c r="C11" s="3" t="s">
        <v>14</v>
      </c>
      <c r="D11" s="5" t="str">
        <f>"("&amp;RIGHT(TEXT(假日[[#This Row],[日期]],"[$-zh-TW]aaaa;@"),1)&amp;")"</f>
        <v>(四)</v>
      </c>
      <c r="E11" s="5"/>
    </row>
    <row r="12" spans="1:5">
      <c r="A12" s="4"/>
      <c r="B12" s="2">
        <v>46069</v>
      </c>
      <c r="C12" s="3" t="s">
        <v>15</v>
      </c>
      <c r="D12" s="5" t="str">
        <f>"("&amp;RIGHT(TEXT(假日[[#This Row],[日期]],"[$-zh-TW]aaaa;@"),1)&amp;")"</f>
        <v>(一)</v>
      </c>
      <c r="E12" s="5"/>
    </row>
    <row r="13" spans="1:5">
      <c r="A13" s="4"/>
      <c r="B13" s="2">
        <f>B12+1</f>
        <v>46070</v>
      </c>
      <c r="C13" s="3" t="s">
        <v>15</v>
      </c>
      <c r="D13" s="5" t="str">
        <f>"("&amp;RIGHT(TEXT(假日[[#This Row],[日期]],"[$-zh-TW]aaaa;@"),1)&amp;")"</f>
        <v>(二)</v>
      </c>
      <c r="E13" s="5"/>
    </row>
    <row r="14" spans="1:5">
      <c r="A14" s="4"/>
      <c r="B14" s="2">
        <f>B13+1</f>
        <v>46071</v>
      </c>
      <c r="C14" s="3" t="s">
        <v>15</v>
      </c>
      <c r="D14" s="5" t="str">
        <f>"("&amp;RIGHT(TEXT(假日[[#This Row],[日期]],"[$-zh-TW]aaaa;@"),1)&amp;")"</f>
        <v>(三)</v>
      </c>
      <c r="E14" s="5"/>
    </row>
    <row r="15" spans="1:5">
      <c r="A15" s="4"/>
      <c r="B15" s="2">
        <f>B14+1</f>
        <v>46072</v>
      </c>
      <c r="C15" s="3" t="s">
        <v>15</v>
      </c>
      <c r="D15" s="5" t="str">
        <f>"("&amp;RIGHT(TEXT(假日[[#This Row],[日期]],"[$-zh-TW]aaaa;@"),1)&amp;")"</f>
        <v>(四)</v>
      </c>
      <c r="E15" s="5"/>
    </row>
    <row r="16" spans="1:5">
      <c r="A16" s="4"/>
      <c r="B16" s="2">
        <f>B15+1</f>
        <v>46073</v>
      </c>
      <c r="C16" s="3" t="s">
        <v>15</v>
      </c>
      <c r="D16" s="5" t="str">
        <f>"("&amp;RIGHT(TEXT(假日[[#This Row],[日期]],"[$-zh-TW]aaaa;@"),1)&amp;")"</f>
        <v>(五)</v>
      </c>
      <c r="E16" s="5"/>
    </row>
    <row r="17" spans="1:5">
      <c r="A17" s="4"/>
      <c r="B17" s="2">
        <v>46080</v>
      </c>
      <c r="C17" s="6" t="s">
        <v>16</v>
      </c>
      <c r="D17" s="5" t="str">
        <f>"("&amp;RIGHT(TEXT(假日[[#This Row],[日期]],"[$-zh-TW]aaaa;@"),1)&amp;")"</f>
        <v>(五)</v>
      </c>
      <c r="E17" s="5"/>
    </row>
    <row r="18" spans="1:5">
      <c r="A18" s="4"/>
      <c r="B18" s="2">
        <v>45929</v>
      </c>
      <c r="C18" s="6" t="s">
        <v>17</v>
      </c>
      <c r="D18" s="5" t="str">
        <f>"("&amp;RIGHT(TEXT(假日[[#This Row],[日期]],"[$-zh-TW]aaaa;@"),1)&amp;")"</f>
        <v>(一)</v>
      </c>
      <c r="E18" s="5"/>
    </row>
    <row r="19" spans="1:5">
      <c r="A19" s="4"/>
      <c r="B19" s="2">
        <v>45954</v>
      </c>
      <c r="C19" s="6" t="s">
        <v>18</v>
      </c>
      <c r="D19" s="5" t="str">
        <f>"("&amp;RIGHT(TEXT(假日[[#This Row],[日期]],"[$-zh-TW]aaaa;@"),1)&amp;")"</f>
        <v>(五)</v>
      </c>
      <c r="E19" s="5"/>
    </row>
    <row r="20" spans="1:5">
      <c r="A20" s="4"/>
      <c r="B20" s="2">
        <v>46016</v>
      </c>
      <c r="C20" s="3" t="s">
        <v>13</v>
      </c>
      <c r="D20" s="5" t="str">
        <f>"("&amp;RIGHT(TEXT(假日[[#This Row],[日期]],"[$-zh-TW]aaaa;@"),1)&amp;")"</f>
        <v>(四)</v>
      </c>
    </row>
    <row r="21" spans="1:5">
      <c r="A21" s="7" t="s">
        <v>19</v>
      </c>
      <c r="B21" s="2">
        <v>46115</v>
      </c>
      <c r="C21" s="3" t="s">
        <v>20</v>
      </c>
      <c r="D21" s="5" t="str">
        <f>"("&amp;RIGHT(TEXT(假日[[#This Row],[日期]],"[$-zh-TW]aaaa;@"),1)&amp;")"</f>
        <v>(五)</v>
      </c>
    </row>
    <row r="22" spans="1:5">
      <c r="A22" s="7"/>
      <c r="B22" s="2">
        <v>46116</v>
      </c>
      <c r="C22" s="3" t="s">
        <v>21</v>
      </c>
      <c r="D22" s="5" t="str">
        <f>"("&amp;RIGHT(TEXT(假日[[#This Row],[日期]],"[$-zh-TW]aaaa;@"),1)&amp;")"</f>
        <v>(六)</v>
      </c>
    </row>
    <row r="23" spans="1:5">
      <c r="A23" s="7"/>
      <c r="B23" s="2">
        <v>46117</v>
      </c>
      <c r="C23" s="3" t="s">
        <v>22</v>
      </c>
      <c r="D23" s="5" t="str">
        <f>"("&amp;RIGHT(TEXT(假日[[#This Row],[日期]],"[$-zh-TW]aaaa;@"),1)&amp;")"</f>
        <v>(日)</v>
      </c>
    </row>
    <row r="24" spans="1:5">
      <c r="A24" s="7"/>
      <c r="B24" s="2">
        <v>46118</v>
      </c>
      <c r="C24" s="3" t="s">
        <v>23</v>
      </c>
      <c r="D24" s="5" t="str">
        <f>"("&amp;RIGHT(TEXT(假日[[#This Row],[日期]],"[$-zh-TW]aaaa;@"),1)&amp;")"</f>
        <v>(一)</v>
      </c>
    </row>
    <row r="25" spans="1:5">
      <c r="A25" s="7"/>
      <c r="B25" s="2">
        <v>46143</v>
      </c>
      <c r="C25" s="3" t="s">
        <v>24</v>
      </c>
      <c r="D25" s="5" t="str">
        <f>"("&amp;RIGHT(TEXT(假日[[#This Row],[日期]],"[$-zh-TW]aaaa;@"),1)&amp;")"</f>
        <v>(五)</v>
      </c>
    </row>
    <row r="26" spans="1:5">
      <c r="A26" s="7"/>
      <c r="B26" s="2">
        <v>46192</v>
      </c>
      <c r="C26" s="3" t="s">
        <v>25</v>
      </c>
      <c r="D26" s="5" t="str">
        <f>"("&amp;RIGHT(TEXT(假日[[#This Row],[日期]],"[$-zh-TW]aaaa;@"),1)&amp;")"</f>
        <v>(五)</v>
      </c>
    </row>
    <row r="27" spans="1:5">
      <c r="A27" s="7"/>
      <c r="B27" s="2">
        <v>46290</v>
      </c>
      <c r="C27" s="3" t="s">
        <v>26</v>
      </c>
      <c r="D27" s="5" t="str">
        <f>"("&amp;RIGHT(TEXT(假日[[#This Row],[日期]],"[$-zh-TW]aaaa;@"),1)&amp;")"</f>
        <v>(五)</v>
      </c>
    </row>
    <row r="28" spans="1:5">
      <c r="A28" s="7"/>
      <c r="B28" s="2">
        <v>46293</v>
      </c>
      <c r="C28" s="3" t="s">
        <v>27</v>
      </c>
      <c r="D28" s="5" t="str">
        <f>"("&amp;RIGHT(TEXT(假日[[#This Row],[日期]],"[$-zh-TW]aaaa;@"),1)&amp;")"</f>
        <v>(一)</v>
      </c>
    </row>
    <row r="29" spans="1:5">
      <c r="A29" s="7"/>
      <c r="B29" s="2">
        <v>46304</v>
      </c>
      <c r="C29" s="3" t="s">
        <v>28</v>
      </c>
      <c r="D29" s="5" t="str">
        <f>"("&amp;RIGHT(TEXT(假日[[#This Row],[日期]],"[$-zh-TW]aaaa;@"),1)&amp;")"</f>
        <v>(五)</v>
      </c>
    </row>
    <row r="30" spans="1:5">
      <c r="A30" s="7"/>
      <c r="B30" s="2">
        <v>46305</v>
      </c>
      <c r="C30" s="3" t="s">
        <v>29</v>
      </c>
      <c r="D30" s="5" t="str">
        <f>"("&amp;RIGHT(TEXT(假日[[#This Row],[日期]],"[$-zh-TW]aaaa;@"),1)&amp;")"</f>
        <v>(六)</v>
      </c>
    </row>
    <row r="31" spans="1:5">
      <c r="A31" s="7"/>
      <c r="B31" s="2">
        <v>46320</v>
      </c>
      <c r="C31" s="3" t="s">
        <v>30</v>
      </c>
      <c r="D31" s="5" t="str">
        <f>"("&amp;RIGHT(TEXT(假日[[#This Row],[日期]],"[$-zh-TW]aaaa;@"),1)&amp;")"</f>
        <v>(日)</v>
      </c>
    </row>
    <row r="32" spans="1:5">
      <c r="A32" s="7"/>
      <c r="B32" s="2">
        <v>46321</v>
      </c>
      <c r="C32" s="3" t="s">
        <v>31</v>
      </c>
      <c r="D32" s="5" t="str">
        <f>"("&amp;RIGHT(TEXT(假日[[#This Row],[日期]],"[$-zh-TW]aaaa;@"),1)&amp;")"</f>
        <v>(一)</v>
      </c>
    </row>
    <row r="33" spans="1:4">
      <c r="A33" s="7"/>
      <c r="B33" s="2">
        <v>46381</v>
      </c>
      <c r="C33" s="3" t="s">
        <v>32</v>
      </c>
      <c r="D33" s="5" t="str">
        <f>"("&amp;RIGHT(TEXT(假日[[#This Row],[日期]],"[$-zh-TW]aaaa;@"),1)&amp;")"</f>
        <v>(五)</v>
      </c>
    </row>
    <row r="34" spans="1:4">
      <c r="A34" s="7"/>
      <c r="B34" s="2">
        <v>46388</v>
      </c>
      <c r="C34" s="3" t="s">
        <v>33</v>
      </c>
      <c r="D34" s="5" t="str">
        <f>"("&amp;RIGHT(TEXT(假日[[#This Row],[日期]],"[$-zh-TW]aaaa;@"),1)&amp;")"</f>
        <v>(五)</v>
      </c>
    </row>
    <row r="35" spans="1:4">
      <c r="A35" s="7"/>
      <c r="B35" s="2">
        <v>46423</v>
      </c>
      <c r="C35" s="3" t="s">
        <v>34</v>
      </c>
      <c r="D35" s="5" t="str">
        <f>"("&amp;RIGHT(TEXT(假日[[#This Row],[日期]],"[$-zh-TW]aaaa;@"),1)&amp;")"</f>
        <v>(五)</v>
      </c>
    </row>
    <row r="36" spans="1:4">
      <c r="A36" s="7"/>
      <c r="B36" s="2">
        <v>46424</v>
      </c>
      <c r="C36" s="3" t="s">
        <v>34</v>
      </c>
      <c r="D36" s="5" t="str">
        <f>"("&amp;RIGHT(TEXT(假日[[#This Row],[日期]],"[$-zh-TW]aaaa;@"),1)&amp;")"</f>
        <v>(六)</v>
      </c>
    </row>
    <row r="37" spans="1:4">
      <c r="A37" s="7"/>
      <c r="B37" s="2">
        <v>46425</v>
      </c>
      <c r="C37" s="3" t="s">
        <v>34</v>
      </c>
      <c r="D37" s="5" t="str">
        <f>"("&amp;RIGHT(TEXT(假日[[#This Row],[日期]],"[$-zh-TW]aaaa;@"),1)&amp;")"</f>
        <v>(日)</v>
      </c>
    </row>
    <row r="38" spans="1:4">
      <c r="A38" s="7"/>
      <c r="B38" s="2">
        <v>46426</v>
      </c>
      <c r="C38" s="3" t="s">
        <v>34</v>
      </c>
      <c r="D38" s="5" t="str">
        <f>"("&amp;RIGHT(TEXT(假日[[#This Row],[日期]],"[$-zh-TW]aaaa;@"),1)&amp;")"</f>
        <v>(一)</v>
      </c>
    </row>
    <row r="39" spans="1:4">
      <c r="A39" s="7"/>
      <c r="B39" s="2">
        <v>46427</v>
      </c>
      <c r="C39" s="3" t="s">
        <v>34</v>
      </c>
      <c r="D39" s="5" t="str">
        <f>"("&amp;RIGHT(TEXT(假日[[#This Row],[日期]],"[$-zh-TW]aaaa;@"),1)&amp;")"</f>
        <v>(二)</v>
      </c>
    </row>
    <row r="40" spans="1:4">
      <c r="A40" s="7"/>
      <c r="B40" s="2">
        <v>46428</v>
      </c>
      <c r="C40" s="3" t="s">
        <v>34</v>
      </c>
      <c r="D40" s="5" t="str">
        <f>"("&amp;RIGHT(TEXT(假日[[#This Row],[日期]],"[$-zh-TW]aaaa;@"),1)&amp;")"</f>
        <v>(三)</v>
      </c>
    </row>
    <row r="41" spans="1:4">
      <c r="A41" s="7"/>
      <c r="B41" s="2">
        <v>46446</v>
      </c>
      <c r="C41" s="3" t="s">
        <v>35</v>
      </c>
      <c r="D41" s="5" t="str">
        <f>"("&amp;RIGHT(TEXT(假日[[#This Row],[日期]],"[$-zh-TW]aaaa;@"),1)&amp;")"</f>
        <v>(日)</v>
      </c>
    </row>
    <row r="42" spans="1:4">
      <c r="A42" s="7"/>
      <c r="B42" s="2">
        <v>46447</v>
      </c>
      <c r="C42" s="3" t="s">
        <v>36</v>
      </c>
      <c r="D42" s="5" t="str">
        <f>"("&amp;RIGHT(TEXT(假日[[#This Row],[日期]],"[$-zh-TW]aaaa;@"),1)&amp;")"</f>
        <v>(一)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6AB5-7D38-4F41-9934-A486FA8DF8D9}">
  <dimension ref="A1:J47"/>
  <sheetViews>
    <sheetView topLeftCell="A21" zoomScale="85" zoomScaleNormal="85" workbookViewId="0">
      <selection activeCell="D43" sqref="D43"/>
    </sheetView>
  </sheetViews>
  <sheetFormatPr defaultRowHeight="16.5"/>
  <cols>
    <col min="2" max="2" width="10.109375" bestFit="1" customWidth="1"/>
    <col min="3" max="3" width="11.21875" bestFit="1" customWidth="1"/>
    <col min="4" max="4" width="12.77734375" style="10" customWidth="1"/>
    <col min="6" max="6" width="11.77734375" bestFit="1" customWidth="1"/>
  </cols>
  <sheetData>
    <row r="1" spans="1:8" s="8" customFormat="1">
      <c r="A1" s="8" t="s">
        <v>37</v>
      </c>
      <c r="D1" s="9"/>
    </row>
    <row r="2" spans="1:8">
      <c r="B2" t="s">
        <v>38</v>
      </c>
      <c r="C2" t="s">
        <v>39</v>
      </c>
      <c r="D2" s="10" t="s">
        <v>40</v>
      </c>
    </row>
    <row r="3" spans="1:8">
      <c r="B3" s="11">
        <v>45383</v>
      </c>
      <c r="C3" s="11">
        <f>EOMONTH(B3,0)</f>
        <v>45412</v>
      </c>
      <c r="D3" s="10">
        <v>22</v>
      </c>
      <c r="F3" s="12">
        <f>SUM(表格1[工作天數])</f>
        <v>261</v>
      </c>
    </row>
    <row r="4" spans="1:8">
      <c r="B4" s="11">
        <v>45413</v>
      </c>
      <c r="C4" s="11">
        <f t="shared" ref="C4:C14" si="0">EOMONTH(B4,0)</f>
        <v>45443</v>
      </c>
      <c r="D4" s="10">
        <v>23</v>
      </c>
    </row>
    <row r="5" spans="1:8">
      <c r="B5" s="11">
        <v>45444</v>
      </c>
      <c r="C5" s="11">
        <f t="shared" si="0"/>
        <v>45473</v>
      </c>
      <c r="D5" s="10">
        <v>20</v>
      </c>
    </row>
    <row r="6" spans="1:8">
      <c r="B6" s="11">
        <v>45474</v>
      </c>
      <c r="C6" s="11">
        <f t="shared" si="0"/>
        <v>45504</v>
      </c>
      <c r="D6" s="10">
        <v>23</v>
      </c>
    </row>
    <row r="7" spans="1:8">
      <c r="B7" s="11">
        <v>45505</v>
      </c>
      <c r="C7" s="11">
        <f t="shared" si="0"/>
        <v>45535</v>
      </c>
      <c r="D7" s="10">
        <v>22</v>
      </c>
    </row>
    <row r="8" spans="1:8">
      <c r="B8" s="11">
        <v>45536</v>
      </c>
      <c r="C8" s="11">
        <f t="shared" si="0"/>
        <v>45565</v>
      </c>
      <c r="D8" s="10">
        <v>21</v>
      </c>
    </row>
    <row r="9" spans="1:8">
      <c r="B9" s="11">
        <v>45566</v>
      </c>
      <c r="C9" s="11">
        <f t="shared" si="0"/>
        <v>45596</v>
      </c>
      <c r="D9" s="10">
        <v>23</v>
      </c>
    </row>
    <row r="10" spans="1:8">
      <c r="B10" s="11">
        <v>45597</v>
      </c>
      <c r="C10" s="11">
        <f t="shared" si="0"/>
        <v>45626</v>
      </c>
      <c r="D10" s="10">
        <v>21</v>
      </c>
    </row>
    <row r="11" spans="1:8">
      <c r="B11" s="11">
        <v>45627</v>
      </c>
      <c r="C11" s="11">
        <f t="shared" si="0"/>
        <v>45657</v>
      </c>
      <c r="D11" s="10">
        <v>22</v>
      </c>
    </row>
    <row r="12" spans="1:8">
      <c r="B12" s="11">
        <v>45658</v>
      </c>
      <c r="C12" s="11">
        <f t="shared" si="0"/>
        <v>45688</v>
      </c>
      <c r="D12" s="10">
        <v>23</v>
      </c>
      <c r="F12" s="13"/>
      <c r="G12" s="13"/>
      <c r="H12" s="13"/>
    </row>
    <row r="13" spans="1:8">
      <c r="B13" s="11">
        <v>45689</v>
      </c>
      <c r="C13" s="11">
        <f t="shared" si="0"/>
        <v>45716</v>
      </c>
      <c r="D13" s="10">
        <v>20</v>
      </c>
      <c r="F13" s="13"/>
      <c r="G13" s="13"/>
      <c r="H13" s="13"/>
    </row>
    <row r="14" spans="1:8">
      <c r="B14" s="11">
        <v>45717</v>
      </c>
      <c r="C14" s="11">
        <f t="shared" si="0"/>
        <v>45747</v>
      </c>
      <c r="D14" s="10">
        <v>21</v>
      </c>
      <c r="F14" s="13"/>
      <c r="G14" s="13"/>
    </row>
    <row r="18" spans="1:10" s="4" customFormat="1">
      <c r="A18" s="4" t="s">
        <v>4</v>
      </c>
      <c r="D18" s="14"/>
    </row>
    <row r="19" spans="1:10">
      <c r="B19" t="s">
        <v>38</v>
      </c>
      <c r="C19" t="s">
        <v>39</v>
      </c>
      <c r="D19" s="10" t="s">
        <v>40</v>
      </c>
    </row>
    <row r="20" spans="1:10">
      <c r="B20" s="11">
        <v>45748</v>
      </c>
      <c r="C20" s="11">
        <f>EOMONTH(B20,0)</f>
        <v>45777</v>
      </c>
      <c r="D20" s="10">
        <v>20</v>
      </c>
      <c r="F20" s="15">
        <f>SUM(表格1_4[工作天數])</f>
        <v>245</v>
      </c>
    </row>
    <row r="21" spans="1:10">
      <c r="B21" s="11">
        <v>45778</v>
      </c>
      <c r="C21" s="11">
        <f t="shared" ref="C21:C31" si="1">EOMONTH(B21,0)</f>
        <v>45808</v>
      </c>
      <c r="D21" s="10">
        <v>20</v>
      </c>
    </row>
    <row r="22" spans="1:10">
      <c r="B22" s="11">
        <v>45809</v>
      </c>
      <c r="C22" s="11">
        <f t="shared" si="1"/>
        <v>45838</v>
      </c>
      <c r="D22" s="10">
        <v>21</v>
      </c>
    </row>
    <row r="23" spans="1:10">
      <c r="B23" s="11">
        <v>45839</v>
      </c>
      <c r="C23" s="11">
        <f t="shared" si="1"/>
        <v>45869</v>
      </c>
      <c r="D23" s="10">
        <v>23</v>
      </c>
    </row>
    <row r="24" spans="1:10">
      <c r="B24" s="11">
        <v>45870</v>
      </c>
      <c r="C24" s="11">
        <f t="shared" si="1"/>
        <v>45900</v>
      </c>
      <c r="D24" s="10">
        <v>21</v>
      </c>
    </row>
    <row r="25" spans="1:10">
      <c r="B25" s="11">
        <v>45901</v>
      </c>
      <c r="C25" s="11">
        <f t="shared" si="1"/>
        <v>45930</v>
      </c>
      <c r="D25" s="10">
        <v>21</v>
      </c>
    </row>
    <row r="26" spans="1:10">
      <c r="B26" s="11">
        <v>45931</v>
      </c>
      <c r="C26" s="11">
        <f t="shared" si="1"/>
        <v>45961</v>
      </c>
      <c r="D26" s="16">
        <v>20</v>
      </c>
    </row>
    <row r="27" spans="1:10">
      <c r="B27" s="11">
        <v>45962</v>
      </c>
      <c r="C27" s="11">
        <f t="shared" si="1"/>
        <v>45991</v>
      </c>
      <c r="D27" s="10">
        <v>20</v>
      </c>
    </row>
    <row r="28" spans="1:10">
      <c r="B28" s="11">
        <v>45992</v>
      </c>
      <c r="C28" s="11">
        <f t="shared" si="1"/>
        <v>46022</v>
      </c>
      <c r="D28" s="10">
        <v>22</v>
      </c>
    </row>
    <row r="29" spans="1:10">
      <c r="B29" s="11">
        <v>46023</v>
      </c>
      <c r="C29" s="11">
        <f t="shared" si="1"/>
        <v>46053</v>
      </c>
      <c r="D29" s="10">
        <v>21</v>
      </c>
      <c r="H29" s="17"/>
      <c r="I29" s="17"/>
      <c r="J29" s="17"/>
    </row>
    <row r="30" spans="1:10">
      <c r="B30" s="11">
        <v>46054</v>
      </c>
      <c r="C30" s="11">
        <f t="shared" si="1"/>
        <v>46081</v>
      </c>
      <c r="D30" s="10">
        <v>14</v>
      </c>
    </row>
    <row r="31" spans="1:10">
      <c r="B31" s="11">
        <v>46082</v>
      </c>
      <c r="C31" s="11">
        <f t="shared" si="1"/>
        <v>46112</v>
      </c>
      <c r="D31" s="10">
        <v>22</v>
      </c>
    </row>
    <row r="34" spans="1:6" s="18" customFormat="1">
      <c r="A34" s="18" t="s">
        <v>19</v>
      </c>
      <c r="D34" s="19"/>
    </row>
    <row r="35" spans="1:6">
      <c r="B35" t="s">
        <v>38</v>
      </c>
      <c r="C35" t="s">
        <v>39</v>
      </c>
      <c r="D35" s="10" t="s">
        <v>40</v>
      </c>
    </row>
    <row r="36" spans="1:6">
      <c r="B36" s="11">
        <v>46113</v>
      </c>
      <c r="C36" s="11">
        <f>EOMONTH(B36,0)</f>
        <v>46142</v>
      </c>
      <c r="D36" s="10">
        <v>20</v>
      </c>
      <c r="F36" s="20">
        <f>SUM(表格1_46[工作天數])</f>
        <v>246</v>
      </c>
    </row>
    <row r="37" spans="1:6">
      <c r="B37" s="11">
        <v>46143</v>
      </c>
      <c r="C37" s="11">
        <f t="shared" ref="C37:C47" si="2">EOMONTH(B37,0)</f>
        <v>46173</v>
      </c>
      <c r="D37" s="10">
        <v>20</v>
      </c>
    </row>
    <row r="38" spans="1:6">
      <c r="B38" s="11">
        <v>46174</v>
      </c>
      <c r="C38" s="11">
        <f t="shared" si="2"/>
        <v>46203</v>
      </c>
      <c r="D38" s="10">
        <v>21</v>
      </c>
    </row>
    <row r="39" spans="1:6">
      <c r="B39" s="11">
        <v>46204</v>
      </c>
      <c r="C39" s="11">
        <f t="shared" si="2"/>
        <v>46234</v>
      </c>
      <c r="D39" s="10">
        <v>23</v>
      </c>
    </row>
    <row r="40" spans="1:6">
      <c r="B40" s="11">
        <v>46235</v>
      </c>
      <c r="C40" s="11">
        <f t="shared" si="2"/>
        <v>46265</v>
      </c>
      <c r="D40" s="10">
        <v>21</v>
      </c>
    </row>
    <row r="41" spans="1:6">
      <c r="B41" s="11">
        <v>46266</v>
      </c>
      <c r="C41" s="11">
        <f t="shared" si="2"/>
        <v>46295</v>
      </c>
      <c r="D41" s="10">
        <v>20</v>
      </c>
    </row>
    <row r="42" spans="1:6">
      <c r="B42" s="11">
        <v>46296</v>
      </c>
      <c r="C42" s="11">
        <f t="shared" si="2"/>
        <v>46326</v>
      </c>
      <c r="D42" s="21">
        <v>20</v>
      </c>
    </row>
    <row r="43" spans="1:6">
      <c r="B43" s="11">
        <v>46327</v>
      </c>
      <c r="C43" s="11">
        <f t="shared" si="2"/>
        <v>46356</v>
      </c>
      <c r="D43" s="10">
        <v>21</v>
      </c>
    </row>
    <row r="44" spans="1:6">
      <c r="B44" s="11">
        <v>46357</v>
      </c>
      <c r="C44" s="11">
        <f t="shared" si="2"/>
        <v>46387</v>
      </c>
      <c r="D44" s="10">
        <v>22</v>
      </c>
    </row>
    <row r="45" spans="1:6">
      <c r="B45" s="11">
        <v>46388</v>
      </c>
      <c r="C45" s="11">
        <f t="shared" si="2"/>
        <v>46418</v>
      </c>
      <c r="D45" s="10">
        <v>20</v>
      </c>
    </row>
    <row r="46" spans="1:6">
      <c r="B46" s="11">
        <v>46419</v>
      </c>
      <c r="C46" s="11">
        <f t="shared" si="2"/>
        <v>46446</v>
      </c>
      <c r="D46" s="10">
        <v>16</v>
      </c>
    </row>
    <row r="47" spans="1:6">
      <c r="B47" s="11">
        <v>46447</v>
      </c>
      <c r="C47" s="11">
        <f t="shared" si="2"/>
        <v>46477</v>
      </c>
      <c r="D47" s="10">
        <v>22</v>
      </c>
    </row>
  </sheetData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0949-B0C3-4403-9F80-25F27751A59E}">
  <dimension ref="A1:B5"/>
  <sheetViews>
    <sheetView zoomScale="130" zoomScaleNormal="130" workbookViewId="0">
      <selection activeCell="D8" sqref="D8"/>
    </sheetView>
  </sheetViews>
  <sheetFormatPr defaultRowHeight="15.75"/>
  <cols>
    <col min="1" max="1" width="12.109375" customWidth="1"/>
    <col min="2" max="2" width="12.44140625" bestFit="1" customWidth="1"/>
  </cols>
  <sheetData>
    <row r="1" spans="1:2">
      <c r="A1" s="32" t="s">
        <v>304</v>
      </c>
      <c r="B1" s="32" t="s">
        <v>305</v>
      </c>
    </row>
    <row r="2" spans="1:2">
      <c r="A2" t="s">
        <v>306</v>
      </c>
      <c r="B2" t="s">
        <v>307</v>
      </c>
    </row>
    <row r="3" spans="1:2">
      <c r="A3" t="s">
        <v>41</v>
      </c>
      <c r="B3" t="s">
        <v>308</v>
      </c>
    </row>
    <row r="4" spans="1:2">
      <c r="A4" t="s">
        <v>309</v>
      </c>
      <c r="B4" t="s">
        <v>309</v>
      </c>
    </row>
    <row r="5" spans="1:2">
      <c r="A5" t="s">
        <v>364</v>
      </c>
      <c r="B5" t="s">
        <v>322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2E59-4C73-4EFF-B6A8-8D2238774A8D}">
  <dimension ref="A1:I1725"/>
  <sheetViews>
    <sheetView zoomScale="85" zoomScaleNormal="85" workbookViewId="0">
      <selection activeCell="E28" sqref="E28"/>
    </sheetView>
  </sheetViews>
  <sheetFormatPr defaultRowHeight="15.75"/>
  <cols>
    <col min="2" max="2" width="19.44140625" customWidth="1"/>
    <col min="3" max="3" width="23.21875" style="23" customWidth="1"/>
    <col min="4" max="4" width="16.33203125" bestFit="1" customWidth="1"/>
    <col min="5" max="5" width="13.88671875" style="23" bestFit="1" customWidth="1"/>
    <col min="6" max="6" width="10.77734375" bestFit="1" customWidth="1"/>
    <col min="7" max="7" width="13.5546875" customWidth="1"/>
  </cols>
  <sheetData>
    <row r="1" spans="1:9">
      <c r="B1" s="22" t="s">
        <v>44</v>
      </c>
      <c r="C1" s="22" t="s">
        <v>45</v>
      </c>
      <c r="E1"/>
      <c r="I1" s="24"/>
    </row>
    <row r="2" spans="1:9">
      <c r="C2"/>
      <c r="E2"/>
      <c r="I2" s="22"/>
    </row>
    <row r="3" spans="1:9" ht="31.5">
      <c r="A3" t="s">
        <v>47</v>
      </c>
      <c r="B3" s="24" t="s">
        <v>363</v>
      </c>
      <c r="C3" s="33" t="s">
        <v>48</v>
      </c>
      <c r="D3" s="22" t="s">
        <v>49</v>
      </c>
      <c r="E3" s="22" t="s">
        <v>365</v>
      </c>
      <c r="F3" s="24" t="s">
        <v>321</v>
      </c>
      <c r="I3" s="22"/>
    </row>
    <row r="4" spans="1:9">
      <c r="A4" t="str">
        <f>IFERROR(VLOOKUP(B4,[1]銷貨單品號主檔!$A:$D,4,0),"學習周邊")</f>
        <v>生活周邊</v>
      </c>
      <c r="B4" s="22" t="s">
        <v>52</v>
      </c>
      <c r="C4" s="22" t="s">
        <v>53</v>
      </c>
      <c r="D4" s="22" t="s">
        <v>54</v>
      </c>
      <c r="E4" s="25">
        <v>1</v>
      </c>
      <c r="F4" s="25">
        <v>523.80952380952374</v>
      </c>
      <c r="I4" s="25"/>
    </row>
    <row r="5" spans="1:9">
      <c r="A5" t="str">
        <f>IFERROR(VLOOKUP(B5,[1]銷貨單品號主檔!$A:$D,4,0),"學習周邊")</f>
        <v>生活周邊</v>
      </c>
      <c r="B5" s="22" t="s">
        <v>57</v>
      </c>
      <c r="C5" s="22" t="s">
        <v>53</v>
      </c>
      <c r="D5" s="22" t="s">
        <v>54</v>
      </c>
      <c r="E5" s="25">
        <v>1</v>
      </c>
      <c r="F5" s="25">
        <v>205.71428571428569</v>
      </c>
      <c r="I5" s="25"/>
    </row>
    <row r="6" spans="1:9">
      <c r="A6" t="str">
        <f>IFERROR(VLOOKUP(B6,[1]銷貨單品號主檔!$A:$D,4,0),"學習周邊")</f>
        <v>學習周邊</v>
      </c>
      <c r="B6" s="22" t="s">
        <v>58</v>
      </c>
      <c r="C6" s="22" t="s">
        <v>59</v>
      </c>
      <c r="D6" s="22" t="s">
        <v>54</v>
      </c>
      <c r="E6" s="25">
        <v>0</v>
      </c>
      <c r="F6" s="25">
        <v>0</v>
      </c>
      <c r="I6" s="25"/>
    </row>
    <row r="7" spans="1:9">
      <c r="A7" t="str">
        <f>IFERROR(VLOOKUP(B7,[1]銷貨單品號主檔!$A:$D,4,0),"學習周邊")</f>
        <v>學習周邊</v>
      </c>
      <c r="B7" s="22" t="s">
        <v>61</v>
      </c>
      <c r="C7" s="22" t="s">
        <v>56</v>
      </c>
      <c r="D7" s="22" t="s">
        <v>54</v>
      </c>
      <c r="E7" s="25">
        <v>0</v>
      </c>
      <c r="F7" s="25">
        <v>0</v>
      </c>
      <c r="I7" s="25"/>
    </row>
    <row r="8" spans="1:9">
      <c r="A8" t="str">
        <f>IFERROR(VLOOKUP(B8,[1]銷貨單品號主檔!$A:$D,4,0),"學習周邊")</f>
        <v>學習周邊</v>
      </c>
      <c r="B8" s="22" t="s">
        <v>61</v>
      </c>
      <c r="C8" s="22" t="s">
        <v>59</v>
      </c>
      <c r="D8" s="22" t="s">
        <v>54</v>
      </c>
      <c r="E8" s="25">
        <v>0</v>
      </c>
      <c r="F8" s="25">
        <v>0</v>
      </c>
      <c r="I8" s="25"/>
    </row>
    <row r="9" spans="1:9">
      <c r="A9" t="str">
        <f>IFERROR(VLOOKUP(B9,[1]銷貨單品號主檔!$A:$D,4,0),"學習周邊")</f>
        <v>學習周邊</v>
      </c>
      <c r="B9" s="22" t="s">
        <v>61</v>
      </c>
      <c r="C9" s="22" t="s">
        <v>66</v>
      </c>
      <c r="D9" s="22" t="s">
        <v>54</v>
      </c>
      <c r="E9" s="25">
        <v>0</v>
      </c>
      <c r="F9" s="25">
        <v>0</v>
      </c>
      <c r="I9" s="25"/>
    </row>
    <row r="10" spans="1:9">
      <c r="A10" t="str">
        <f>IFERROR(VLOOKUP(B10,[1]銷貨單品號主檔!$A:$D,4,0),"學習周邊")</f>
        <v>學習周邊</v>
      </c>
      <c r="B10" s="22" t="s">
        <v>61</v>
      </c>
      <c r="C10" s="22" t="s">
        <v>72</v>
      </c>
      <c r="D10" s="22" t="s">
        <v>54</v>
      </c>
      <c r="E10" s="25">
        <v>0</v>
      </c>
      <c r="F10" s="25">
        <v>0</v>
      </c>
      <c r="I10" s="25"/>
    </row>
    <row r="11" spans="1:9">
      <c r="A11" t="str">
        <f>IFERROR(VLOOKUP(B11,[1]銷貨單品號主檔!$A:$D,4,0),"學習周邊")</f>
        <v>學習周邊</v>
      </c>
      <c r="B11" s="22" t="s">
        <v>61</v>
      </c>
      <c r="C11" s="22" t="s">
        <v>76</v>
      </c>
      <c r="D11" s="22" t="s">
        <v>54</v>
      </c>
      <c r="E11" s="25">
        <v>0</v>
      </c>
      <c r="F11" s="25">
        <v>0</v>
      </c>
      <c r="I11" s="25"/>
    </row>
    <row r="12" spans="1:9">
      <c r="A12" t="str">
        <f>IFERROR(VLOOKUP(B12,[1]銷貨單品號主檔!$A:$D,4,0),"學習周邊")</f>
        <v>學習周邊</v>
      </c>
      <c r="B12" s="22" t="s">
        <v>61</v>
      </c>
      <c r="C12" s="22" t="s">
        <v>78</v>
      </c>
      <c r="D12" s="22" t="s">
        <v>54</v>
      </c>
      <c r="E12" s="25">
        <v>0</v>
      </c>
      <c r="F12" s="25">
        <v>0</v>
      </c>
      <c r="I12" s="25"/>
    </row>
    <row r="13" spans="1:9">
      <c r="A13" t="str">
        <f>IFERROR(VLOOKUP(B13,[1]銷貨單品號主檔!$A:$D,4,0),"學習周邊")</f>
        <v>學習周邊</v>
      </c>
      <c r="B13" s="22" t="s">
        <v>61</v>
      </c>
      <c r="C13" s="22" t="s">
        <v>81</v>
      </c>
      <c r="D13" s="22" t="s">
        <v>54</v>
      </c>
      <c r="E13" s="25">
        <v>0</v>
      </c>
      <c r="F13" s="25">
        <v>0</v>
      </c>
      <c r="I13" s="25"/>
    </row>
    <row r="14" spans="1:9">
      <c r="A14" t="str">
        <f>IFERROR(VLOOKUP(B14,[1]銷貨單品號主檔!$A:$D,4,0),"學習周邊")</f>
        <v>學習周邊</v>
      </c>
      <c r="B14" s="22" t="s">
        <v>61</v>
      </c>
      <c r="C14" s="22" t="s">
        <v>83</v>
      </c>
      <c r="D14" s="22" t="s">
        <v>54</v>
      </c>
      <c r="E14" s="25">
        <v>0</v>
      </c>
      <c r="F14" s="25">
        <v>0</v>
      </c>
      <c r="I14" s="25"/>
    </row>
    <row r="15" spans="1:9">
      <c r="A15" t="str">
        <f>IFERROR(VLOOKUP(B15,[1]銷貨單品號主檔!$A:$D,4,0),"學習周邊")</f>
        <v>學習周邊</v>
      </c>
      <c r="B15" s="22" t="s">
        <v>61</v>
      </c>
      <c r="C15" s="22" t="s">
        <v>85</v>
      </c>
      <c r="D15" s="22" t="s">
        <v>54</v>
      </c>
      <c r="E15" s="25">
        <v>0</v>
      </c>
      <c r="F15" s="25">
        <v>0</v>
      </c>
      <c r="I15" s="25"/>
    </row>
    <row r="16" spans="1:9">
      <c r="A16" t="str">
        <f>IFERROR(VLOOKUP(B16,[1]銷貨單品號主檔!$A:$D,4,0),"學習周邊")</f>
        <v>學習周邊</v>
      </c>
      <c r="B16" s="22" t="s">
        <v>61</v>
      </c>
      <c r="C16" s="22" t="s">
        <v>87</v>
      </c>
      <c r="D16" s="22" t="s">
        <v>54</v>
      </c>
      <c r="E16" s="25">
        <v>0</v>
      </c>
      <c r="F16" s="25">
        <v>0</v>
      </c>
      <c r="I16" s="25"/>
    </row>
    <row r="17" spans="1:9">
      <c r="A17" t="str">
        <f>IFERROR(VLOOKUP(B17,[1]銷貨單品號主檔!$A:$D,4,0),"學習周邊")</f>
        <v>學習周邊</v>
      </c>
      <c r="B17" s="22" t="s">
        <v>61</v>
      </c>
      <c r="C17" s="22" t="s">
        <v>90</v>
      </c>
      <c r="D17" s="22" t="s">
        <v>54</v>
      </c>
      <c r="E17" s="25">
        <v>0</v>
      </c>
      <c r="F17" s="25">
        <v>0</v>
      </c>
      <c r="I17" s="25"/>
    </row>
    <row r="18" spans="1:9">
      <c r="A18" t="str">
        <f>IFERROR(VLOOKUP(B18,[1]銷貨單品號主檔!$A:$D,4,0),"學習周邊")</f>
        <v>學習周邊</v>
      </c>
      <c r="B18" s="22" t="s">
        <v>61</v>
      </c>
      <c r="C18" s="22" t="s">
        <v>92</v>
      </c>
      <c r="D18" s="22" t="s">
        <v>54</v>
      </c>
      <c r="E18" s="25">
        <v>0</v>
      </c>
      <c r="F18" s="25">
        <v>0</v>
      </c>
      <c r="I18" s="25"/>
    </row>
    <row r="19" spans="1:9">
      <c r="A19" t="str">
        <f>IFERROR(VLOOKUP(B19,[1]銷貨單品號主檔!$A:$D,4,0),"學習周邊")</f>
        <v>學習周邊</v>
      </c>
      <c r="B19" s="22" t="s">
        <v>61</v>
      </c>
      <c r="C19" s="22" t="s">
        <v>328</v>
      </c>
      <c r="D19" s="22" t="s">
        <v>54</v>
      </c>
      <c r="E19" s="25">
        <v>0</v>
      </c>
      <c r="F19" s="25">
        <v>0</v>
      </c>
      <c r="I19" s="25"/>
    </row>
    <row r="20" spans="1:9">
      <c r="A20" t="str">
        <f>IFERROR(VLOOKUP(B20,[1]銷貨單品號主檔!$A:$D,4,0),"學習周邊")</f>
        <v>學習周邊</v>
      </c>
      <c r="B20" s="22" t="s">
        <v>61</v>
      </c>
      <c r="C20" s="22" t="s">
        <v>330</v>
      </c>
      <c r="D20" s="22" t="s">
        <v>54</v>
      </c>
      <c r="E20" s="25">
        <v>0</v>
      </c>
      <c r="F20" s="25">
        <v>0</v>
      </c>
      <c r="I20" s="25"/>
    </row>
    <row r="21" spans="1:9">
      <c r="A21" t="str">
        <f>IFERROR(VLOOKUP(B21,[1]銷貨單品號主檔!$A:$D,4,0),"學習周邊")</f>
        <v>學習周邊</v>
      </c>
      <c r="B21" s="22" t="s">
        <v>61</v>
      </c>
      <c r="C21" s="22" t="s">
        <v>331</v>
      </c>
      <c r="D21" s="22" t="s">
        <v>54</v>
      </c>
      <c r="E21" s="25">
        <v>0</v>
      </c>
      <c r="F21" s="25">
        <v>0</v>
      </c>
      <c r="I21" s="25"/>
    </row>
    <row r="22" spans="1:9">
      <c r="A22" t="str">
        <f>IFERROR(VLOOKUP(B22,[1]銷貨單品號主檔!$A:$D,4,0),"學習周邊")</f>
        <v>學習周邊</v>
      </c>
      <c r="B22" s="22" t="s">
        <v>94</v>
      </c>
      <c r="C22" s="22" t="s">
        <v>60</v>
      </c>
      <c r="D22" s="22" t="s">
        <v>54</v>
      </c>
      <c r="E22" s="25">
        <v>0</v>
      </c>
      <c r="F22" s="25">
        <v>0</v>
      </c>
      <c r="I22" s="25"/>
    </row>
    <row r="23" spans="1:9">
      <c r="A23" t="str">
        <f>IFERROR(VLOOKUP(B23,[1]銷貨單品號主檔!$A:$D,4,0),"學習周邊")</f>
        <v>學習周邊</v>
      </c>
      <c r="B23" s="22" t="s">
        <v>94</v>
      </c>
      <c r="C23" s="22" t="s">
        <v>73</v>
      </c>
      <c r="D23" s="22" t="s">
        <v>54</v>
      </c>
      <c r="E23" s="25">
        <v>0</v>
      </c>
      <c r="F23" s="25">
        <v>0</v>
      </c>
      <c r="I23" s="25"/>
    </row>
    <row r="24" spans="1:9">
      <c r="A24" t="str">
        <f>IFERROR(VLOOKUP(B24,[1]銷貨單品號主檔!$A:$D,4,0),"學習周邊")</f>
        <v>學習周邊</v>
      </c>
      <c r="B24" s="22" t="s">
        <v>94</v>
      </c>
      <c r="C24" s="22" t="s">
        <v>59</v>
      </c>
      <c r="D24" s="22" t="s">
        <v>54</v>
      </c>
      <c r="E24" s="25">
        <v>0</v>
      </c>
      <c r="F24" s="25">
        <v>0</v>
      </c>
      <c r="I24" s="25"/>
    </row>
    <row r="25" spans="1:9">
      <c r="A25" t="str">
        <f>IFERROR(VLOOKUP(B25,[1]銷貨單品號主檔!$A:$D,4,0),"學習周邊")</f>
        <v>學習周邊</v>
      </c>
      <c r="B25" s="22" t="s">
        <v>94</v>
      </c>
      <c r="C25" s="22" t="s">
        <v>83</v>
      </c>
      <c r="D25" s="22" t="s">
        <v>54</v>
      </c>
      <c r="E25" s="25">
        <v>0</v>
      </c>
      <c r="F25" s="25">
        <v>0</v>
      </c>
      <c r="I25" s="25"/>
    </row>
    <row r="26" spans="1:9">
      <c r="A26" t="str">
        <f>IFERROR(VLOOKUP(B26,[1]銷貨單品號主檔!$A:$D,4,0),"學習周邊")</f>
        <v>學習周邊</v>
      </c>
      <c r="B26" s="22" t="s">
        <v>94</v>
      </c>
      <c r="C26" s="22" t="s">
        <v>90</v>
      </c>
      <c r="D26" s="22" t="s">
        <v>54</v>
      </c>
      <c r="E26" s="25">
        <v>0</v>
      </c>
      <c r="F26" s="25">
        <v>0</v>
      </c>
      <c r="I26" s="25"/>
    </row>
    <row r="27" spans="1:9">
      <c r="A27" t="str">
        <f>IFERROR(VLOOKUP(B27,[1]銷貨單品號主檔!$A:$D,4,0),"學習周邊")</f>
        <v>學習周邊</v>
      </c>
      <c r="B27" s="22" t="s">
        <v>94</v>
      </c>
      <c r="C27" s="22" t="s">
        <v>331</v>
      </c>
      <c r="D27" s="22" t="s">
        <v>54</v>
      </c>
      <c r="E27" s="25">
        <v>0</v>
      </c>
      <c r="F27" s="25">
        <v>0</v>
      </c>
      <c r="I27" s="25"/>
    </row>
    <row r="28" spans="1:9">
      <c r="A28" t="str">
        <f>IFERROR(VLOOKUP(B28,[1]銷貨單品號主檔!$A:$D,4,0),"學習周邊")</f>
        <v>學習周邊</v>
      </c>
      <c r="B28" s="22" t="s">
        <v>94</v>
      </c>
      <c r="C28" s="22" t="s">
        <v>349</v>
      </c>
      <c r="D28" s="22" t="s">
        <v>54</v>
      </c>
      <c r="E28" s="25">
        <v>0</v>
      </c>
      <c r="F28" s="25">
        <v>0</v>
      </c>
      <c r="I28" s="25"/>
    </row>
    <row r="29" spans="1:9">
      <c r="A29" t="str">
        <f>IFERROR(VLOOKUP(B29,[1]銷貨單品號主檔!$A:$D,4,0),"學習周邊")</f>
        <v>學習周邊</v>
      </c>
      <c r="B29" s="22" t="s">
        <v>99</v>
      </c>
      <c r="C29" s="22" t="s">
        <v>56</v>
      </c>
      <c r="D29" s="22" t="s">
        <v>54</v>
      </c>
      <c r="E29" s="25">
        <v>0</v>
      </c>
      <c r="F29" s="25">
        <v>0</v>
      </c>
      <c r="I29" s="25"/>
    </row>
    <row r="30" spans="1:9">
      <c r="A30" t="str">
        <f>IFERROR(VLOOKUP(B30,[1]銷貨單品號主檔!$A:$D,4,0),"學習周邊")</f>
        <v>學習周邊</v>
      </c>
      <c r="B30" s="22" t="s">
        <v>99</v>
      </c>
      <c r="C30" s="22" t="s">
        <v>60</v>
      </c>
      <c r="D30" s="22" t="s">
        <v>54</v>
      </c>
      <c r="E30" s="25">
        <v>0</v>
      </c>
      <c r="F30" s="25">
        <v>0</v>
      </c>
      <c r="I30" s="25"/>
    </row>
    <row r="31" spans="1:9">
      <c r="A31" t="str">
        <f>IFERROR(VLOOKUP(B31,[1]銷貨單品號主檔!$A:$D,4,0),"學習周邊")</f>
        <v>學習周邊</v>
      </c>
      <c r="B31" s="22" t="s">
        <v>99</v>
      </c>
      <c r="C31" s="22" t="s">
        <v>62</v>
      </c>
      <c r="D31" s="22" t="s">
        <v>54</v>
      </c>
      <c r="E31" s="25">
        <v>0</v>
      </c>
      <c r="F31" s="25">
        <v>0</v>
      </c>
      <c r="I31" s="25"/>
    </row>
    <row r="32" spans="1:9">
      <c r="A32" t="str">
        <f>IFERROR(VLOOKUP(B32,[1]銷貨單品號主檔!$A:$D,4,0),"學習周邊")</f>
        <v>學習周邊</v>
      </c>
      <c r="B32" s="22" t="s">
        <v>99</v>
      </c>
      <c r="C32" s="22" t="s">
        <v>65</v>
      </c>
      <c r="D32" s="22" t="s">
        <v>54</v>
      </c>
      <c r="E32" s="25">
        <v>0</v>
      </c>
      <c r="F32" s="25">
        <v>0</v>
      </c>
      <c r="I32" s="25"/>
    </row>
    <row r="33" spans="1:9">
      <c r="A33" t="str">
        <f>IFERROR(VLOOKUP(B33,[1]銷貨單品號主檔!$A:$D,4,0),"學習周邊")</f>
        <v>學習周邊</v>
      </c>
      <c r="B33" s="22" t="s">
        <v>99</v>
      </c>
      <c r="C33" s="22" t="s">
        <v>73</v>
      </c>
      <c r="D33" s="22" t="s">
        <v>54</v>
      </c>
      <c r="E33" s="25">
        <v>0</v>
      </c>
      <c r="F33" s="25">
        <v>0</v>
      </c>
      <c r="I33" s="25"/>
    </row>
    <row r="34" spans="1:9">
      <c r="A34" t="str">
        <f>IFERROR(VLOOKUP(B34,[1]銷貨單品號主檔!$A:$D,4,0),"學習周邊")</f>
        <v>學習周邊</v>
      </c>
      <c r="B34" s="22" t="s">
        <v>99</v>
      </c>
      <c r="C34" s="22" t="s">
        <v>59</v>
      </c>
      <c r="D34" s="22" t="s">
        <v>54</v>
      </c>
      <c r="E34" s="25">
        <v>0</v>
      </c>
      <c r="F34" s="25">
        <v>0</v>
      </c>
      <c r="I34" s="25"/>
    </row>
    <row r="35" spans="1:9">
      <c r="A35" t="str">
        <f>IFERROR(VLOOKUP(B35,[1]銷貨單品號主檔!$A:$D,4,0),"學習周邊")</f>
        <v>學習周邊</v>
      </c>
      <c r="B35" s="22" t="s">
        <v>99</v>
      </c>
      <c r="C35" s="22" t="s">
        <v>66</v>
      </c>
      <c r="D35" s="22" t="s">
        <v>54</v>
      </c>
      <c r="E35" s="25">
        <v>0</v>
      </c>
      <c r="F35" s="25">
        <v>0</v>
      </c>
      <c r="I35" s="25"/>
    </row>
    <row r="36" spans="1:9">
      <c r="A36" t="str">
        <f>IFERROR(VLOOKUP(B36,[1]銷貨單品號主檔!$A:$D,4,0),"學習周邊")</f>
        <v>學習周邊</v>
      </c>
      <c r="B36" s="22" t="s">
        <v>99</v>
      </c>
      <c r="C36" s="22" t="s">
        <v>107</v>
      </c>
      <c r="D36" s="22" t="s">
        <v>54</v>
      </c>
      <c r="E36" s="25">
        <v>0</v>
      </c>
      <c r="F36" s="25">
        <v>0</v>
      </c>
      <c r="I36" s="25"/>
    </row>
    <row r="37" spans="1:9">
      <c r="A37" t="str">
        <f>IFERROR(VLOOKUP(B37,[1]銷貨單品號主檔!$A:$D,4,0),"學習周邊")</f>
        <v>學習周邊</v>
      </c>
      <c r="B37" s="22" t="s">
        <v>99</v>
      </c>
      <c r="C37" s="22" t="s">
        <v>72</v>
      </c>
      <c r="D37" s="22" t="s">
        <v>54</v>
      </c>
      <c r="E37" s="25">
        <v>0</v>
      </c>
      <c r="F37" s="25">
        <v>0</v>
      </c>
      <c r="I37" s="25"/>
    </row>
    <row r="38" spans="1:9">
      <c r="A38" t="str">
        <f>IFERROR(VLOOKUP(B38,[1]銷貨單品號主檔!$A:$D,4,0),"學習周邊")</f>
        <v>學習周邊</v>
      </c>
      <c r="B38" s="22" t="s">
        <v>99</v>
      </c>
      <c r="C38" s="22" t="s">
        <v>76</v>
      </c>
      <c r="D38" s="22" t="s">
        <v>54</v>
      </c>
      <c r="E38" s="25">
        <v>0</v>
      </c>
      <c r="F38" s="25">
        <v>0</v>
      </c>
      <c r="I38" s="25"/>
    </row>
    <row r="39" spans="1:9">
      <c r="A39" t="str">
        <f>IFERROR(VLOOKUP(B39,[1]銷貨單品號主檔!$A:$D,4,0),"學習周邊")</f>
        <v>學習周邊</v>
      </c>
      <c r="B39" s="22" t="s">
        <v>99</v>
      </c>
      <c r="C39" s="22" t="s">
        <v>78</v>
      </c>
      <c r="D39" s="22" t="s">
        <v>54</v>
      </c>
      <c r="E39" s="25">
        <v>0</v>
      </c>
      <c r="F39" s="25">
        <v>0</v>
      </c>
      <c r="I39" s="25"/>
    </row>
    <row r="40" spans="1:9">
      <c r="A40" t="str">
        <f>IFERROR(VLOOKUP(B40,[1]銷貨單品號主檔!$A:$D,4,0),"學習周邊")</f>
        <v>學習周邊</v>
      </c>
      <c r="B40" s="22" t="s">
        <v>99</v>
      </c>
      <c r="C40" s="22" t="s">
        <v>81</v>
      </c>
      <c r="D40" s="22" t="s">
        <v>54</v>
      </c>
      <c r="E40" s="25">
        <v>0</v>
      </c>
      <c r="F40" s="25">
        <v>0</v>
      </c>
      <c r="I40" s="25"/>
    </row>
    <row r="41" spans="1:9">
      <c r="A41" t="str">
        <f>IFERROR(VLOOKUP(B41,[1]銷貨單品號主檔!$A:$D,4,0),"學習周邊")</f>
        <v>學習周邊</v>
      </c>
      <c r="B41" s="22" t="s">
        <v>99</v>
      </c>
      <c r="C41" s="22" t="s">
        <v>83</v>
      </c>
      <c r="D41" s="22" t="s">
        <v>54</v>
      </c>
      <c r="E41" s="25">
        <v>0</v>
      </c>
      <c r="F41" s="25">
        <v>0</v>
      </c>
      <c r="I41" s="25"/>
    </row>
    <row r="42" spans="1:9">
      <c r="A42" t="str">
        <f>IFERROR(VLOOKUP(B42,[1]銷貨單品號主檔!$A:$D,4,0),"學習周邊")</f>
        <v>學習周邊</v>
      </c>
      <c r="B42" s="22" t="s">
        <v>99</v>
      </c>
      <c r="C42" s="22" t="s">
        <v>85</v>
      </c>
      <c r="D42" s="22" t="s">
        <v>54</v>
      </c>
      <c r="E42" s="25">
        <v>0</v>
      </c>
      <c r="F42" s="25">
        <v>0</v>
      </c>
      <c r="I42" s="25"/>
    </row>
    <row r="43" spans="1:9">
      <c r="A43" t="str">
        <f>IFERROR(VLOOKUP(B43,[1]銷貨單品號主檔!$A:$D,4,0),"學習周邊")</f>
        <v>學習周邊</v>
      </c>
      <c r="B43" s="22" t="s">
        <v>99</v>
      </c>
      <c r="C43" s="22" t="s">
        <v>90</v>
      </c>
      <c r="D43" s="22" t="s">
        <v>54</v>
      </c>
      <c r="E43" s="25">
        <v>0</v>
      </c>
      <c r="F43" s="25">
        <v>0</v>
      </c>
      <c r="I43" s="25"/>
    </row>
    <row r="44" spans="1:9">
      <c r="A44" t="str">
        <f>IFERROR(VLOOKUP(B44,[1]銷貨單品號主檔!$A:$D,4,0),"學習周邊")</f>
        <v>學習周邊</v>
      </c>
      <c r="B44" s="22" t="s">
        <v>99</v>
      </c>
      <c r="C44" s="22" t="s">
        <v>108</v>
      </c>
      <c r="D44" s="22" t="s">
        <v>54</v>
      </c>
      <c r="E44" s="25">
        <v>0</v>
      </c>
      <c r="F44" s="25">
        <v>0</v>
      </c>
      <c r="I44" s="25"/>
    </row>
    <row r="45" spans="1:9">
      <c r="A45" t="str">
        <f>IFERROR(VLOOKUP(B45,[1]銷貨單品號主檔!$A:$D,4,0),"學習周邊")</f>
        <v>學習周邊</v>
      </c>
      <c r="B45" s="22" t="s">
        <v>99</v>
      </c>
      <c r="C45" s="22" t="s">
        <v>53</v>
      </c>
      <c r="D45" s="22" t="s">
        <v>54</v>
      </c>
      <c r="E45" s="25">
        <v>0</v>
      </c>
      <c r="F45" s="25">
        <v>0</v>
      </c>
      <c r="I45" s="25"/>
    </row>
    <row r="46" spans="1:9">
      <c r="A46" t="str">
        <f>IFERROR(VLOOKUP(B46,[1]銷貨單品號主檔!$A:$D,4,0),"學習周邊")</f>
        <v>學習周邊</v>
      </c>
      <c r="B46" s="22" t="s">
        <v>99</v>
      </c>
      <c r="C46" s="22" t="s">
        <v>92</v>
      </c>
      <c r="D46" s="22" t="s">
        <v>54</v>
      </c>
      <c r="E46" s="25">
        <v>0</v>
      </c>
      <c r="F46" s="25">
        <v>0</v>
      </c>
      <c r="I46" s="25"/>
    </row>
    <row r="47" spans="1:9">
      <c r="A47" t="str">
        <f>IFERROR(VLOOKUP(B47,[1]銷貨單品號主檔!$A:$D,4,0),"學習周邊")</f>
        <v>學習周邊</v>
      </c>
      <c r="B47" s="22" t="s">
        <v>99</v>
      </c>
      <c r="C47" s="22" t="s">
        <v>332</v>
      </c>
      <c r="D47" s="22" t="s">
        <v>54</v>
      </c>
      <c r="E47" s="25">
        <v>0</v>
      </c>
      <c r="F47" s="25">
        <v>0</v>
      </c>
      <c r="I47" s="25"/>
    </row>
    <row r="48" spans="1:9">
      <c r="A48" t="str">
        <f>IFERROR(VLOOKUP(B48,[1]銷貨單品號主檔!$A:$D,4,0),"學習周邊")</f>
        <v>學習周邊</v>
      </c>
      <c r="B48" s="22" t="s">
        <v>99</v>
      </c>
      <c r="C48" s="22" t="s">
        <v>330</v>
      </c>
      <c r="D48" s="22" t="s">
        <v>54</v>
      </c>
      <c r="E48" s="25">
        <v>0</v>
      </c>
      <c r="F48" s="25">
        <v>0</v>
      </c>
      <c r="I48" s="25"/>
    </row>
    <row r="49" spans="1:9">
      <c r="A49" t="str">
        <f>IFERROR(VLOOKUP(B49,[1]銷貨單品號主檔!$A:$D,4,0),"學習周邊")</f>
        <v>學習周邊</v>
      </c>
      <c r="B49" s="22" t="s">
        <v>99</v>
      </c>
      <c r="C49" s="22" t="s">
        <v>331</v>
      </c>
      <c r="D49" s="22" t="s">
        <v>54</v>
      </c>
      <c r="E49" s="25">
        <v>0</v>
      </c>
      <c r="F49" s="25">
        <v>0</v>
      </c>
      <c r="I49" s="25"/>
    </row>
    <row r="50" spans="1:9">
      <c r="A50" t="str">
        <f>IFERROR(VLOOKUP(B50,[1]銷貨單品號主檔!$A:$D,4,0),"學習周邊")</f>
        <v>學習周邊</v>
      </c>
      <c r="B50" s="22" t="s">
        <v>99</v>
      </c>
      <c r="C50" s="22" t="s">
        <v>353</v>
      </c>
      <c r="D50" s="22" t="s">
        <v>54</v>
      </c>
      <c r="E50" s="25">
        <v>0</v>
      </c>
      <c r="F50" s="25">
        <v>0</v>
      </c>
      <c r="I50" s="25"/>
    </row>
    <row r="51" spans="1:9">
      <c r="A51" t="str">
        <f>IFERROR(VLOOKUP(B51,[1]銷貨單品號主檔!$A:$D,4,0),"學習周邊")</f>
        <v>學習周邊</v>
      </c>
      <c r="B51" s="22" t="s">
        <v>112</v>
      </c>
      <c r="C51" s="22" t="s">
        <v>81</v>
      </c>
      <c r="D51" s="22" t="s">
        <v>54</v>
      </c>
      <c r="E51" s="25">
        <v>0</v>
      </c>
      <c r="F51" s="25">
        <v>0</v>
      </c>
      <c r="I51" s="25"/>
    </row>
    <row r="52" spans="1:9">
      <c r="A52" t="str">
        <f>IFERROR(VLOOKUP(B52,[1]銷貨單品號主檔!$A:$D,4,0),"學習周邊")</f>
        <v>生活周邊</v>
      </c>
      <c r="B52" s="22" t="s">
        <v>114</v>
      </c>
      <c r="C52" s="22" t="s">
        <v>59</v>
      </c>
      <c r="D52" s="22" t="s">
        <v>54</v>
      </c>
      <c r="E52" s="25">
        <v>1</v>
      </c>
      <c r="F52" s="25">
        <v>552.38095238095241</v>
      </c>
      <c r="I52" s="25"/>
    </row>
    <row r="53" spans="1:9">
      <c r="A53" t="str">
        <f>IFERROR(VLOOKUP(B53,[1]銷貨單品號主檔!$A:$D,4,0),"學習周邊")</f>
        <v>生活周邊</v>
      </c>
      <c r="B53" s="22" t="s">
        <v>114</v>
      </c>
      <c r="C53" s="22" t="s">
        <v>330</v>
      </c>
      <c r="D53" s="22" t="s">
        <v>54</v>
      </c>
      <c r="E53" s="25">
        <v>1</v>
      </c>
      <c r="F53" s="25">
        <v>552.38095238095241</v>
      </c>
      <c r="I53" s="25"/>
    </row>
    <row r="54" spans="1:9">
      <c r="A54" t="str">
        <f>IFERROR(VLOOKUP(B54,[1]銷貨單品號主檔!$A:$D,4,0),"學習周邊")</f>
        <v>生活周邊</v>
      </c>
      <c r="B54" s="22" t="s">
        <v>116</v>
      </c>
      <c r="C54" s="22" t="s">
        <v>59</v>
      </c>
      <c r="D54" s="22" t="s">
        <v>54</v>
      </c>
      <c r="E54" s="25">
        <v>1</v>
      </c>
      <c r="F54" s="25">
        <v>609.52380952380952</v>
      </c>
      <c r="I54" s="25"/>
    </row>
    <row r="55" spans="1:9">
      <c r="A55" t="str">
        <f>IFERROR(VLOOKUP(B55,[1]銷貨單品號主檔!$A:$D,4,0),"學習周邊")</f>
        <v>生活周邊</v>
      </c>
      <c r="B55" s="22" t="s">
        <v>116</v>
      </c>
      <c r="C55" s="22" t="s">
        <v>76</v>
      </c>
      <c r="D55" s="22" t="s">
        <v>54</v>
      </c>
      <c r="E55" s="25">
        <v>1</v>
      </c>
      <c r="F55" s="25">
        <v>609.52380952380952</v>
      </c>
      <c r="I55" s="25"/>
    </row>
    <row r="56" spans="1:9">
      <c r="A56" t="str">
        <f>IFERROR(VLOOKUP(B56,[1]銷貨單品號主檔!$A:$D,4,0),"學習周邊")</f>
        <v>生活周邊</v>
      </c>
      <c r="B56" s="22" t="s">
        <v>116</v>
      </c>
      <c r="C56" s="22" t="s">
        <v>78</v>
      </c>
      <c r="D56" s="22" t="s">
        <v>54</v>
      </c>
      <c r="E56" s="25">
        <v>1</v>
      </c>
      <c r="F56" s="25">
        <v>609.52380952380952</v>
      </c>
      <c r="I56" s="25"/>
    </row>
    <row r="57" spans="1:9">
      <c r="A57" t="str">
        <f>IFERROR(VLOOKUP(B57,[1]銷貨單品號主檔!$A:$D,4,0),"學習周邊")</f>
        <v>生活周邊</v>
      </c>
      <c r="B57" s="22" t="s">
        <v>116</v>
      </c>
      <c r="C57" s="22" t="s">
        <v>90</v>
      </c>
      <c r="D57" s="22" t="s">
        <v>54</v>
      </c>
      <c r="E57" s="25">
        <v>1</v>
      </c>
      <c r="F57" s="25">
        <v>609.52380952380952</v>
      </c>
      <c r="I57" s="25"/>
    </row>
    <row r="58" spans="1:9">
      <c r="A58" t="str">
        <f>IFERROR(VLOOKUP(B58,[1]銷貨單品號主檔!$A:$D,4,0),"學習周邊")</f>
        <v>生活周邊</v>
      </c>
      <c r="B58" s="22" t="s">
        <v>117</v>
      </c>
      <c r="C58" s="22" t="s">
        <v>59</v>
      </c>
      <c r="D58" s="22" t="s">
        <v>54</v>
      </c>
      <c r="E58" s="25">
        <v>1</v>
      </c>
      <c r="F58" s="25">
        <v>838.09523809523807</v>
      </c>
      <c r="I58" s="25"/>
    </row>
    <row r="59" spans="1:9">
      <c r="A59" t="str">
        <f>IFERROR(VLOOKUP(B59,[1]銷貨單品號主檔!$A:$D,4,0),"學習周邊")</f>
        <v>生活周邊</v>
      </c>
      <c r="B59" s="22" t="s">
        <v>117</v>
      </c>
      <c r="C59" s="22" t="s">
        <v>53</v>
      </c>
      <c r="D59" s="22" t="s">
        <v>54</v>
      </c>
      <c r="E59" s="25">
        <v>1</v>
      </c>
      <c r="F59" s="25">
        <v>838.09523809523807</v>
      </c>
      <c r="I59" s="25"/>
    </row>
    <row r="60" spans="1:9">
      <c r="A60" t="str">
        <f>IFERROR(VLOOKUP(B60,[1]銷貨單品號主檔!$A:$D,4,0),"學習周邊")</f>
        <v>生活周邊</v>
      </c>
      <c r="B60" s="22" t="s">
        <v>117</v>
      </c>
      <c r="C60" s="22" t="s">
        <v>330</v>
      </c>
      <c r="D60" s="22" t="s">
        <v>54</v>
      </c>
      <c r="E60" s="25">
        <v>1</v>
      </c>
      <c r="F60" s="25">
        <v>838.09523809523807</v>
      </c>
      <c r="I60" s="25"/>
    </row>
    <row r="61" spans="1:9">
      <c r="A61" t="str">
        <f>IFERROR(VLOOKUP(B61,[1]銷貨單品號主檔!$A:$D,4,0),"學習周邊")</f>
        <v>學習周邊</v>
      </c>
      <c r="B61" s="22" t="s">
        <v>119</v>
      </c>
      <c r="C61" s="22" t="s">
        <v>56</v>
      </c>
      <c r="D61" s="22" t="s">
        <v>54</v>
      </c>
      <c r="E61" s="25">
        <v>0</v>
      </c>
      <c r="F61" s="25">
        <v>0</v>
      </c>
      <c r="I61" s="25"/>
    </row>
    <row r="62" spans="1:9">
      <c r="A62" t="str">
        <f>IFERROR(VLOOKUP(B62,[1]銷貨單品號主檔!$A:$D,4,0),"學習周邊")</f>
        <v>學習周邊</v>
      </c>
      <c r="B62" s="22" t="s">
        <v>119</v>
      </c>
      <c r="C62" s="22" t="s">
        <v>66</v>
      </c>
      <c r="D62" s="22" t="s">
        <v>54</v>
      </c>
      <c r="E62" s="25">
        <v>0</v>
      </c>
      <c r="F62" s="25">
        <v>0</v>
      </c>
      <c r="I62" s="25"/>
    </row>
    <row r="63" spans="1:9">
      <c r="A63" t="str">
        <f>IFERROR(VLOOKUP(B63,[1]銷貨單品號主檔!$A:$D,4,0),"學習周邊")</f>
        <v>學習周邊</v>
      </c>
      <c r="B63" s="22" t="s">
        <v>119</v>
      </c>
      <c r="C63" s="22" t="s">
        <v>76</v>
      </c>
      <c r="D63" s="22" t="s">
        <v>54</v>
      </c>
      <c r="E63" s="25">
        <v>0</v>
      </c>
      <c r="F63" s="25">
        <v>0</v>
      </c>
      <c r="I63" s="25"/>
    </row>
    <row r="64" spans="1:9">
      <c r="A64" t="str">
        <f>IFERROR(VLOOKUP(B64,[1]銷貨單品號主檔!$A:$D,4,0),"學習周邊")</f>
        <v>學習周邊</v>
      </c>
      <c r="B64" s="22" t="s">
        <v>119</v>
      </c>
      <c r="C64" s="22" t="s">
        <v>78</v>
      </c>
      <c r="D64" s="22" t="s">
        <v>54</v>
      </c>
      <c r="E64" s="25">
        <v>0</v>
      </c>
      <c r="F64" s="25">
        <v>0</v>
      </c>
      <c r="I64" s="25"/>
    </row>
    <row r="65" spans="1:9">
      <c r="A65" t="str">
        <f>IFERROR(VLOOKUP(B65,[1]銷貨單品號主檔!$A:$D,4,0),"學習周邊")</f>
        <v>學習周邊</v>
      </c>
      <c r="B65" s="22" t="s">
        <v>119</v>
      </c>
      <c r="C65" s="22" t="s">
        <v>81</v>
      </c>
      <c r="D65" s="22" t="s">
        <v>54</v>
      </c>
      <c r="E65" s="25">
        <v>0</v>
      </c>
      <c r="F65" s="25">
        <v>0</v>
      </c>
      <c r="I65" s="25"/>
    </row>
    <row r="66" spans="1:9">
      <c r="A66" t="str">
        <f>IFERROR(VLOOKUP(B66,[1]銷貨單品號主檔!$A:$D,4,0),"學習周邊")</f>
        <v>學習周邊</v>
      </c>
      <c r="B66" s="22" t="s">
        <v>119</v>
      </c>
      <c r="C66" s="22" t="s">
        <v>87</v>
      </c>
      <c r="D66" s="22" t="s">
        <v>54</v>
      </c>
      <c r="E66" s="25">
        <v>0</v>
      </c>
      <c r="F66" s="25">
        <v>0</v>
      </c>
      <c r="I66" s="25"/>
    </row>
    <row r="67" spans="1:9">
      <c r="A67" t="str">
        <f>IFERROR(VLOOKUP(B67,[1]銷貨單品號主檔!$A:$D,4,0),"學習周邊")</f>
        <v>學習周邊</v>
      </c>
      <c r="B67" s="22" t="s">
        <v>119</v>
      </c>
      <c r="C67" s="22" t="s">
        <v>92</v>
      </c>
      <c r="D67" s="22" t="s">
        <v>54</v>
      </c>
      <c r="E67" s="25">
        <v>0</v>
      </c>
      <c r="F67" s="25">
        <v>0</v>
      </c>
      <c r="I67" s="25"/>
    </row>
    <row r="68" spans="1:9">
      <c r="A68" t="str">
        <f>IFERROR(VLOOKUP(B68,[1]銷貨單品號主檔!$A:$D,4,0),"學習周邊")</f>
        <v>學習周邊</v>
      </c>
      <c r="B68" s="22" t="s">
        <v>119</v>
      </c>
      <c r="C68" s="22" t="s">
        <v>330</v>
      </c>
      <c r="D68" s="22" t="s">
        <v>54</v>
      </c>
      <c r="E68" s="25">
        <v>0</v>
      </c>
      <c r="F68" s="25">
        <v>0</v>
      </c>
      <c r="I68" s="25"/>
    </row>
    <row r="69" spans="1:9">
      <c r="A69" t="str">
        <f>IFERROR(VLOOKUP(B69,[1]銷貨單品號主檔!$A:$D,4,0),"學習周邊")</f>
        <v>學習周邊</v>
      </c>
      <c r="B69" s="22" t="s">
        <v>119</v>
      </c>
      <c r="C69" s="22" t="s">
        <v>331</v>
      </c>
      <c r="D69" s="22" t="s">
        <v>54</v>
      </c>
      <c r="E69" s="25">
        <v>0</v>
      </c>
      <c r="F69" s="25">
        <v>0</v>
      </c>
      <c r="I69" s="25"/>
    </row>
    <row r="70" spans="1:9">
      <c r="A70" t="str">
        <f>IFERROR(VLOOKUP(B70,[1]銷貨單品號主檔!$A:$D,4,0),"學習周邊")</f>
        <v>學習周邊</v>
      </c>
      <c r="B70" s="22" t="s">
        <v>122</v>
      </c>
      <c r="C70" s="22" t="s">
        <v>56</v>
      </c>
      <c r="D70" s="22" t="s">
        <v>54</v>
      </c>
      <c r="E70" s="25">
        <v>0</v>
      </c>
      <c r="F70" s="25">
        <v>0</v>
      </c>
      <c r="I70" s="25"/>
    </row>
    <row r="71" spans="1:9">
      <c r="A71" t="str">
        <f>IFERROR(VLOOKUP(B71,[1]銷貨單品號主檔!$A:$D,4,0),"學習周邊")</f>
        <v>學習周邊</v>
      </c>
      <c r="B71" s="22" t="s">
        <v>122</v>
      </c>
      <c r="C71" s="22" t="s">
        <v>60</v>
      </c>
      <c r="D71" s="22" t="s">
        <v>54</v>
      </c>
      <c r="E71" s="25">
        <v>0</v>
      </c>
      <c r="F71" s="25">
        <v>0</v>
      </c>
    </row>
    <row r="72" spans="1:9">
      <c r="A72" t="str">
        <f>IFERROR(VLOOKUP(B72,[1]銷貨單品號主檔!$A:$D,4,0),"學習周邊")</f>
        <v>學習周邊</v>
      </c>
      <c r="B72" s="22" t="s">
        <v>122</v>
      </c>
      <c r="C72" s="22" t="s">
        <v>62</v>
      </c>
      <c r="D72" s="22" t="s">
        <v>54</v>
      </c>
      <c r="E72" s="25">
        <v>0</v>
      </c>
      <c r="F72" s="25">
        <v>0</v>
      </c>
    </row>
    <row r="73" spans="1:9">
      <c r="A73" t="str">
        <f>IFERROR(VLOOKUP(B73,[1]銷貨單品號主檔!$A:$D,4,0),"學習周邊")</f>
        <v>學習周邊</v>
      </c>
      <c r="B73" s="22" t="s">
        <v>122</v>
      </c>
      <c r="C73" s="22" t="s">
        <v>65</v>
      </c>
      <c r="D73" s="22" t="s">
        <v>54</v>
      </c>
      <c r="E73" s="25">
        <v>0</v>
      </c>
      <c r="F73" s="25">
        <v>0</v>
      </c>
    </row>
    <row r="74" spans="1:9">
      <c r="A74" t="str">
        <f>IFERROR(VLOOKUP(B74,[1]銷貨單品號主檔!$A:$D,4,0),"學習周邊")</f>
        <v>學習周邊</v>
      </c>
      <c r="B74" s="22" t="s">
        <v>122</v>
      </c>
      <c r="C74" s="22" t="s">
        <v>67</v>
      </c>
      <c r="D74" s="22" t="s">
        <v>54</v>
      </c>
      <c r="E74" s="25">
        <v>0</v>
      </c>
      <c r="F74" s="25">
        <v>0</v>
      </c>
    </row>
    <row r="75" spans="1:9">
      <c r="A75" t="str">
        <f>IFERROR(VLOOKUP(B75,[1]銷貨單品號主檔!$A:$D,4,0),"學習周邊")</f>
        <v>學習周邊</v>
      </c>
      <c r="B75" s="22" t="s">
        <v>122</v>
      </c>
      <c r="C75" s="22" t="s">
        <v>73</v>
      </c>
      <c r="D75" s="22" t="s">
        <v>54</v>
      </c>
      <c r="E75" s="25">
        <v>0</v>
      </c>
      <c r="F75" s="25">
        <v>0</v>
      </c>
    </row>
    <row r="76" spans="1:9">
      <c r="A76" t="str">
        <f>IFERROR(VLOOKUP(B76,[1]銷貨單品號主檔!$A:$D,4,0),"學習周邊")</f>
        <v>學習周邊</v>
      </c>
      <c r="B76" s="22" t="s">
        <v>122</v>
      </c>
      <c r="C76" s="22" t="s">
        <v>59</v>
      </c>
      <c r="D76" s="22" t="s">
        <v>54</v>
      </c>
      <c r="E76" s="25">
        <v>0</v>
      </c>
      <c r="F76" s="25">
        <v>0</v>
      </c>
    </row>
    <row r="77" spans="1:9">
      <c r="A77" t="str">
        <f>IFERROR(VLOOKUP(B77,[1]銷貨單品號主檔!$A:$D,4,0),"學習周邊")</f>
        <v>學習周邊</v>
      </c>
      <c r="B77" s="22" t="s">
        <v>122</v>
      </c>
      <c r="C77" s="22" t="s">
        <v>66</v>
      </c>
      <c r="D77" s="22" t="s">
        <v>54</v>
      </c>
      <c r="E77" s="25">
        <v>0</v>
      </c>
      <c r="F77" s="25">
        <v>0</v>
      </c>
    </row>
    <row r="78" spans="1:9">
      <c r="A78" t="str">
        <f>IFERROR(VLOOKUP(B78,[1]銷貨單品號主檔!$A:$D,4,0),"學習周邊")</f>
        <v>學習周邊</v>
      </c>
      <c r="B78" s="22" t="s">
        <v>122</v>
      </c>
      <c r="C78" s="22" t="s">
        <v>107</v>
      </c>
      <c r="D78" s="22" t="s">
        <v>54</v>
      </c>
      <c r="E78" s="25">
        <v>0</v>
      </c>
      <c r="F78" s="25">
        <v>0</v>
      </c>
    </row>
    <row r="79" spans="1:9">
      <c r="A79" t="str">
        <f>IFERROR(VLOOKUP(B79,[1]銷貨單品號主檔!$A:$D,4,0),"學習周邊")</f>
        <v>學習周邊</v>
      </c>
      <c r="B79" s="22" t="s">
        <v>122</v>
      </c>
      <c r="C79" s="22" t="s">
        <v>72</v>
      </c>
      <c r="D79" s="22" t="s">
        <v>54</v>
      </c>
      <c r="E79" s="25">
        <v>0</v>
      </c>
      <c r="F79" s="25">
        <v>0</v>
      </c>
    </row>
    <row r="80" spans="1:9">
      <c r="A80" t="str">
        <f>IFERROR(VLOOKUP(B80,[1]銷貨單品號主檔!$A:$D,4,0),"學習周邊")</f>
        <v>學習周邊</v>
      </c>
      <c r="B80" s="22" t="s">
        <v>122</v>
      </c>
      <c r="C80" s="22" t="s">
        <v>76</v>
      </c>
      <c r="D80" s="22" t="s">
        <v>54</v>
      </c>
      <c r="E80" s="25">
        <v>0</v>
      </c>
      <c r="F80" s="25">
        <v>0</v>
      </c>
    </row>
    <row r="81" spans="1:6">
      <c r="A81" t="str">
        <f>IFERROR(VLOOKUP(B81,[1]銷貨單品號主檔!$A:$D,4,0),"學習周邊")</f>
        <v>學習周邊</v>
      </c>
      <c r="B81" s="22" t="s">
        <v>122</v>
      </c>
      <c r="C81" s="22" t="s">
        <v>78</v>
      </c>
      <c r="D81" s="22" t="s">
        <v>54</v>
      </c>
      <c r="E81" s="25">
        <v>0</v>
      </c>
      <c r="F81" s="25">
        <v>0</v>
      </c>
    </row>
    <row r="82" spans="1:6">
      <c r="A82" t="str">
        <f>IFERROR(VLOOKUP(B82,[1]銷貨單品號主檔!$A:$D,4,0),"學習周邊")</f>
        <v>學習周邊</v>
      </c>
      <c r="B82" s="22" t="s">
        <v>126</v>
      </c>
      <c r="C82" s="22" t="s">
        <v>56</v>
      </c>
      <c r="D82" s="22" t="s">
        <v>54</v>
      </c>
      <c r="E82" s="25">
        <v>0</v>
      </c>
      <c r="F82" s="25">
        <v>0</v>
      </c>
    </row>
    <row r="83" spans="1:6">
      <c r="A83" t="str">
        <f>IFERROR(VLOOKUP(B83,[1]銷貨單品號主檔!$A:$D,4,0),"學習周邊")</f>
        <v>學習周邊</v>
      </c>
      <c r="B83" s="22" t="s">
        <v>126</v>
      </c>
      <c r="C83" s="22" t="s">
        <v>59</v>
      </c>
      <c r="D83" s="22" t="s">
        <v>54</v>
      </c>
      <c r="E83" s="25">
        <v>0</v>
      </c>
      <c r="F83" s="25">
        <v>0</v>
      </c>
    </row>
    <row r="84" spans="1:6">
      <c r="A84" t="str">
        <f>IFERROR(VLOOKUP(B84,[1]銷貨單品號主檔!$A:$D,4,0),"學習周邊")</f>
        <v>生活周邊</v>
      </c>
      <c r="B84" s="22" t="s">
        <v>127</v>
      </c>
      <c r="C84" s="22" t="s">
        <v>66</v>
      </c>
      <c r="D84" s="22" t="s">
        <v>54</v>
      </c>
      <c r="E84" s="25">
        <v>1</v>
      </c>
      <c r="F84" s="25">
        <v>189.52380952380952</v>
      </c>
    </row>
    <row r="85" spans="1:6">
      <c r="A85" t="str">
        <f>IFERROR(VLOOKUP(B85,[1]銷貨單品號主檔!$A:$D,4,0),"學習周邊")</f>
        <v>生活周邊</v>
      </c>
      <c r="B85" s="22" t="s">
        <v>127</v>
      </c>
      <c r="C85" s="22" t="s">
        <v>81</v>
      </c>
      <c r="D85" s="22" t="s">
        <v>54</v>
      </c>
      <c r="E85" s="25">
        <v>1</v>
      </c>
      <c r="F85" s="25">
        <v>189.52380952380952</v>
      </c>
    </row>
    <row r="86" spans="1:6">
      <c r="A86" t="str">
        <f>IFERROR(VLOOKUP(B86,[1]銷貨單品號主檔!$A:$D,4,0),"學習周邊")</f>
        <v>生活周邊</v>
      </c>
      <c r="B86" s="22" t="s">
        <v>127</v>
      </c>
      <c r="C86" s="22" t="s">
        <v>83</v>
      </c>
      <c r="D86" s="22" t="s">
        <v>54</v>
      </c>
      <c r="E86" s="25">
        <v>2</v>
      </c>
      <c r="F86" s="25">
        <v>379.04761904761904</v>
      </c>
    </row>
    <row r="87" spans="1:6">
      <c r="A87" t="str">
        <f>IFERROR(VLOOKUP(B87,[1]銷貨單品號主檔!$A:$D,4,0),"學習周邊")</f>
        <v>生活周邊</v>
      </c>
      <c r="B87" s="22" t="s">
        <v>127</v>
      </c>
      <c r="C87" s="22" t="s">
        <v>85</v>
      </c>
      <c r="D87" s="22" t="s">
        <v>54</v>
      </c>
      <c r="E87" s="25">
        <v>1</v>
      </c>
      <c r="F87" s="25">
        <v>189.52380952380952</v>
      </c>
    </row>
    <row r="88" spans="1:6">
      <c r="A88" t="str">
        <f>IFERROR(VLOOKUP(B88,[1]銷貨單品號主檔!$A:$D,4,0),"學習周邊")</f>
        <v>生活周邊</v>
      </c>
      <c r="B88" s="22" t="s">
        <v>127</v>
      </c>
      <c r="C88" s="22" t="s">
        <v>108</v>
      </c>
      <c r="D88" s="22" t="s">
        <v>54</v>
      </c>
      <c r="E88" s="25">
        <v>1</v>
      </c>
      <c r="F88" s="25">
        <v>189.52380952380952</v>
      </c>
    </row>
    <row r="89" spans="1:6">
      <c r="A89" t="str">
        <f>IFERROR(VLOOKUP(B89,[1]銷貨單品號主檔!$A:$D,4,0),"學習周邊")</f>
        <v>生活周邊</v>
      </c>
      <c r="B89" s="22" t="s">
        <v>79</v>
      </c>
      <c r="C89" s="22" t="s">
        <v>330</v>
      </c>
      <c r="D89" s="22" t="s">
        <v>54</v>
      </c>
      <c r="E89" s="25">
        <v>1</v>
      </c>
      <c r="F89" s="25">
        <v>1903.8095238095236</v>
      </c>
    </row>
    <row r="90" spans="1:6">
      <c r="A90" t="str">
        <f>IFERROR(VLOOKUP(B90,[1]銷貨單品號主檔!$A:$D,4,0),"學習周邊")</f>
        <v>生活周邊</v>
      </c>
      <c r="B90" s="22" t="s">
        <v>79</v>
      </c>
      <c r="C90" s="22" t="s">
        <v>331</v>
      </c>
      <c r="D90" s="22" t="s">
        <v>54</v>
      </c>
      <c r="E90" s="25">
        <v>1</v>
      </c>
      <c r="F90" s="25">
        <v>1903.8095238095236</v>
      </c>
    </row>
    <row r="91" spans="1:6">
      <c r="A91" t="str">
        <f>IFERROR(VLOOKUP(B91,[1]銷貨單品號主檔!$A:$D,4,0),"學習周邊")</f>
        <v>生活周邊</v>
      </c>
      <c r="B91" s="22" t="s">
        <v>79</v>
      </c>
      <c r="C91" s="22" t="s">
        <v>353</v>
      </c>
      <c r="D91" s="22" t="s">
        <v>54</v>
      </c>
      <c r="E91" s="25">
        <v>1</v>
      </c>
      <c r="F91" s="25">
        <v>1903.8095238095236</v>
      </c>
    </row>
    <row r="92" spans="1:6">
      <c r="A92" t="str">
        <f>IFERROR(VLOOKUP(B92,[1]銷貨單品號主檔!$A:$D,4,0),"學習周邊")</f>
        <v>學習周邊</v>
      </c>
      <c r="B92" s="22" t="s">
        <v>84</v>
      </c>
      <c r="C92" s="22" t="s">
        <v>56</v>
      </c>
      <c r="D92" s="22" t="s">
        <v>54</v>
      </c>
      <c r="E92" s="25">
        <v>0</v>
      </c>
      <c r="F92" s="25">
        <v>0</v>
      </c>
    </row>
    <row r="93" spans="1:6">
      <c r="A93" t="str">
        <f>IFERROR(VLOOKUP(B93,[1]銷貨單品號主檔!$A:$D,4,0),"學習周邊")</f>
        <v>學習周邊</v>
      </c>
      <c r="B93" s="22" t="s">
        <v>84</v>
      </c>
      <c r="C93" s="22" t="s">
        <v>59</v>
      </c>
      <c r="D93" s="22" t="s">
        <v>54</v>
      </c>
      <c r="E93" s="25">
        <v>0</v>
      </c>
      <c r="F93" s="25">
        <v>0</v>
      </c>
    </row>
    <row r="94" spans="1:6">
      <c r="A94" t="str">
        <f>IFERROR(VLOOKUP(B94,[1]銷貨單品號主檔!$A:$D,4,0),"學習周邊")</f>
        <v>學習周邊</v>
      </c>
      <c r="B94" s="22" t="s">
        <v>134</v>
      </c>
      <c r="C94" s="22" t="s">
        <v>53</v>
      </c>
      <c r="D94" s="22" t="s">
        <v>54</v>
      </c>
      <c r="E94" s="25">
        <v>0</v>
      </c>
      <c r="F94" s="25">
        <v>0</v>
      </c>
    </row>
    <row r="95" spans="1:6">
      <c r="A95" t="str">
        <f>IFERROR(VLOOKUP(B95,[1]銷貨單品號主檔!$A:$D,4,0),"學習周邊")</f>
        <v>學習周邊</v>
      </c>
      <c r="B95" s="22" t="s">
        <v>135</v>
      </c>
      <c r="C95" s="22" t="s">
        <v>73</v>
      </c>
      <c r="D95" s="22" t="s">
        <v>54</v>
      </c>
      <c r="E95" s="25">
        <v>0</v>
      </c>
      <c r="F95" s="25">
        <v>0</v>
      </c>
    </row>
    <row r="96" spans="1:6">
      <c r="A96" t="str">
        <f>IFERROR(VLOOKUP(B96,[1]銷貨單品號主檔!$A:$D,4,0),"學習周邊")</f>
        <v>學習周邊</v>
      </c>
      <c r="B96" s="22" t="s">
        <v>325</v>
      </c>
      <c r="C96" s="22" t="s">
        <v>326</v>
      </c>
      <c r="D96" s="22" t="s">
        <v>54</v>
      </c>
      <c r="E96" s="25">
        <v>0</v>
      </c>
      <c r="F96" s="25">
        <v>0</v>
      </c>
    </row>
    <row r="97" spans="1:6">
      <c r="A97" t="str">
        <f>IFERROR(VLOOKUP(B97,[1]銷貨單品號主檔!$A:$D,4,0),"學習周邊")</f>
        <v>學習周邊</v>
      </c>
      <c r="B97" s="22" t="s">
        <v>325</v>
      </c>
      <c r="C97" s="22" t="s">
        <v>328</v>
      </c>
      <c r="D97" s="22" t="s">
        <v>54</v>
      </c>
      <c r="E97" s="25">
        <v>0</v>
      </c>
      <c r="F97" s="25">
        <v>0</v>
      </c>
    </row>
    <row r="98" spans="1:6">
      <c r="A98" t="str">
        <f>IFERROR(VLOOKUP(B98,[1]銷貨單品號主檔!$A:$D,4,0),"學習周邊")</f>
        <v>學習周邊</v>
      </c>
      <c r="B98" s="22" t="s">
        <v>325</v>
      </c>
      <c r="C98" s="22" t="s">
        <v>332</v>
      </c>
      <c r="D98" s="22" t="s">
        <v>54</v>
      </c>
      <c r="E98" s="25">
        <v>0</v>
      </c>
      <c r="F98" s="25">
        <v>0</v>
      </c>
    </row>
    <row r="99" spans="1:6">
      <c r="A99" t="str">
        <f>IFERROR(VLOOKUP(B99,[1]銷貨單品號主檔!$A:$D,4,0),"學習周邊")</f>
        <v>學習周邊</v>
      </c>
      <c r="B99" s="22" t="s">
        <v>325</v>
      </c>
      <c r="C99" s="22" t="s">
        <v>330</v>
      </c>
      <c r="D99" s="22" t="s">
        <v>54</v>
      </c>
      <c r="E99" s="25">
        <v>0</v>
      </c>
      <c r="F99" s="25">
        <v>0</v>
      </c>
    </row>
    <row r="100" spans="1:6">
      <c r="A100" t="str">
        <f>IFERROR(VLOOKUP(B100,[1]銷貨單品號主檔!$A:$D,4,0),"學習周邊")</f>
        <v>學習周邊</v>
      </c>
      <c r="B100" s="22" t="s">
        <v>325</v>
      </c>
      <c r="C100" s="22" t="s">
        <v>331</v>
      </c>
      <c r="D100" s="22" t="s">
        <v>54</v>
      </c>
      <c r="E100" s="25">
        <v>0</v>
      </c>
      <c r="F100" s="25">
        <v>0</v>
      </c>
    </row>
    <row r="101" spans="1:6">
      <c r="A101" t="str">
        <f>IFERROR(VLOOKUP(B101,[1]銷貨單品號主檔!$A:$D,4,0),"學習周邊")</f>
        <v>學習周邊</v>
      </c>
      <c r="B101" s="22" t="s">
        <v>136</v>
      </c>
      <c r="C101" s="22" t="s">
        <v>56</v>
      </c>
      <c r="D101" s="22" t="s">
        <v>54</v>
      </c>
      <c r="E101" s="25">
        <v>0</v>
      </c>
      <c r="F101" s="25">
        <v>0</v>
      </c>
    </row>
    <row r="102" spans="1:6">
      <c r="A102" t="str">
        <f>IFERROR(VLOOKUP(B102,[1]銷貨單品號主檔!$A:$D,4,0),"學習周邊")</f>
        <v>學習周邊</v>
      </c>
      <c r="B102" s="22" t="s">
        <v>136</v>
      </c>
      <c r="C102" s="22" t="s">
        <v>59</v>
      </c>
      <c r="D102" s="22" t="s">
        <v>54</v>
      </c>
      <c r="E102" s="25">
        <v>0</v>
      </c>
      <c r="F102" s="25">
        <v>0</v>
      </c>
    </row>
    <row r="103" spans="1:6">
      <c r="A103" t="str">
        <f>IFERROR(VLOOKUP(B103,[1]銷貨單品號主檔!$A:$D,4,0),"學習周邊")</f>
        <v>學習周邊</v>
      </c>
      <c r="B103" s="22" t="s">
        <v>106</v>
      </c>
      <c r="C103" s="22" t="s">
        <v>92</v>
      </c>
      <c r="D103" s="22" t="s">
        <v>54</v>
      </c>
      <c r="E103" s="25">
        <v>0</v>
      </c>
      <c r="F103" s="25">
        <v>0</v>
      </c>
    </row>
    <row r="104" spans="1:6">
      <c r="A104" t="str">
        <f>IFERROR(VLOOKUP(B104,[1]銷貨單品號主檔!$A:$D,4,0),"學習周邊")</f>
        <v>學習周邊</v>
      </c>
      <c r="B104" s="22" t="s">
        <v>106</v>
      </c>
      <c r="C104" s="22" t="s">
        <v>330</v>
      </c>
      <c r="D104" s="22" t="s">
        <v>54</v>
      </c>
      <c r="E104" s="25">
        <v>0</v>
      </c>
      <c r="F104" s="25">
        <v>0</v>
      </c>
    </row>
    <row r="105" spans="1:6">
      <c r="A105" t="str">
        <f>IFERROR(VLOOKUP(B105,[1]銷貨單品號主檔!$A:$D,4,0),"學習周邊")</f>
        <v>學習周邊</v>
      </c>
      <c r="B105" s="22" t="s">
        <v>106</v>
      </c>
      <c r="C105" s="22" t="s">
        <v>331</v>
      </c>
      <c r="D105" s="22" t="s">
        <v>54</v>
      </c>
      <c r="E105" s="25">
        <v>0</v>
      </c>
      <c r="F105" s="25">
        <v>0</v>
      </c>
    </row>
    <row r="106" spans="1:6">
      <c r="A106" t="str">
        <f>IFERROR(VLOOKUP(B106,[1]銷貨單品號主檔!$A:$D,4,0),"學習周邊")</f>
        <v>學習周邊</v>
      </c>
      <c r="B106" s="22" t="s">
        <v>106</v>
      </c>
      <c r="C106" s="22" t="s">
        <v>349</v>
      </c>
      <c r="D106" s="22" t="s">
        <v>54</v>
      </c>
      <c r="E106" s="25">
        <v>0</v>
      </c>
      <c r="F106" s="25">
        <v>0</v>
      </c>
    </row>
    <row r="107" spans="1:6">
      <c r="A107" t="str">
        <f>IFERROR(VLOOKUP(B107,[1]銷貨單品號主檔!$A:$D,4,0),"學習周邊")</f>
        <v>學習周邊</v>
      </c>
      <c r="B107" s="22" t="s">
        <v>106</v>
      </c>
      <c r="C107" s="22" t="s">
        <v>354</v>
      </c>
      <c r="D107" s="22" t="s">
        <v>54</v>
      </c>
      <c r="E107" s="25">
        <v>0</v>
      </c>
      <c r="F107" s="25">
        <v>0</v>
      </c>
    </row>
    <row r="108" spans="1:6">
      <c r="A108" t="str">
        <f>IFERROR(VLOOKUP(B108,[1]銷貨單品號主檔!$A:$D,4,0),"學習周邊")</f>
        <v>學習周邊</v>
      </c>
      <c r="B108" s="22" t="s">
        <v>137</v>
      </c>
      <c r="C108" s="22" t="s">
        <v>66</v>
      </c>
      <c r="D108" s="22" t="s">
        <v>54</v>
      </c>
      <c r="E108" s="25">
        <v>0</v>
      </c>
      <c r="F108" s="25">
        <v>0</v>
      </c>
    </row>
    <row r="109" spans="1:6">
      <c r="A109" t="str">
        <f>IFERROR(VLOOKUP(B109,[1]銷貨單品號主檔!$A:$D,4,0),"學習周邊")</f>
        <v>學習周邊</v>
      </c>
      <c r="B109" s="22" t="s">
        <v>137</v>
      </c>
      <c r="C109" s="22" t="s">
        <v>107</v>
      </c>
      <c r="D109" s="22" t="s">
        <v>54</v>
      </c>
      <c r="E109" s="25">
        <v>0</v>
      </c>
      <c r="F109" s="25">
        <v>0</v>
      </c>
    </row>
    <row r="110" spans="1:6">
      <c r="A110" t="str">
        <f>IFERROR(VLOOKUP(B110,[1]銷貨單品號主檔!$A:$D,4,0),"學習周邊")</f>
        <v>學習周邊</v>
      </c>
      <c r="B110" s="22" t="s">
        <v>137</v>
      </c>
      <c r="C110" s="22" t="s">
        <v>72</v>
      </c>
      <c r="D110" s="22" t="s">
        <v>54</v>
      </c>
      <c r="E110" s="25">
        <v>0</v>
      </c>
      <c r="F110" s="25">
        <v>0</v>
      </c>
    </row>
    <row r="111" spans="1:6">
      <c r="A111" t="str">
        <f>IFERROR(VLOOKUP(B111,[1]銷貨單品號主檔!$A:$D,4,0),"學習周邊")</f>
        <v>學習周邊</v>
      </c>
      <c r="B111" s="22" t="s">
        <v>137</v>
      </c>
      <c r="C111" s="22" t="s">
        <v>76</v>
      </c>
      <c r="D111" s="22" t="s">
        <v>54</v>
      </c>
      <c r="E111" s="25">
        <v>0</v>
      </c>
      <c r="F111" s="25">
        <v>0</v>
      </c>
    </row>
    <row r="112" spans="1:6">
      <c r="A112" t="str">
        <f>IFERROR(VLOOKUP(B112,[1]銷貨單品號主檔!$A:$D,4,0),"學習周邊")</f>
        <v>學習周邊</v>
      </c>
      <c r="B112" s="22" t="s">
        <v>137</v>
      </c>
      <c r="C112" s="22" t="s">
        <v>78</v>
      </c>
      <c r="D112" s="22" t="s">
        <v>54</v>
      </c>
      <c r="E112" s="25">
        <v>0</v>
      </c>
      <c r="F112" s="25">
        <v>0</v>
      </c>
    </row>
    <row r="113" spans="1:6">
      <c r="A113" t="str">
        <f>IFERROR(VLOOKUP(B113,[1]銷貨單品號主檔!$A:$D,4,0),"學習周邊")</f>
        <v>學習周邊</v>
      </c>
      <c r="B113" s="22" t="s">
        <v>137</v>
      </c>
      <c r="C113" s="22" t="s">
        <v>81</v>
      </c>
      <c r="D113" s="22" t="s">
        <v>54</v>
      </c>
      <c r="E113" s="25">
        <v>0</v>
      </c>
      <c r="F113" s="25">
        <v>0</v>
      </c>
    </row>
    <row r="114" spans="1:6">
      <c r="A114" t="str">
        <f>IFERROR(VLOOKUP(B114,[1]銷貨單品號主檔!$A:$D,4,0),"學習周邊")</f>
        <v>學習周邊</v>
      </c>
      <c r="B114" s="22" t="s">
        <v>137</v>
      </c>
      <c r="C114" s="22" t="s">
        <v>83</v>
      </c>
      <c r="D114" s="22" t="s">
        <v>54</v>
      </c>
      <c r="E114" s="25">
        <v>0</v>
      </c>
      <c r="F114" s="25">
        <v>0</v>
      </c>
    </row>
    <row r="115" spans="1:6">
      <c r="A115" t="str">
        <f>IFERROR(VLOOKUP(B115,[1]銷貨單品號主檔!$A:$D,4,0),"學習周邊")</f>
        <v>學習周邊</v>
      </c>
      <c r="B115" s="22" t="s">
        <v>137</v>
      </c>
      <c r="C115" s="22" t="s">
        <v>85</v>
      </c>
      <c r="D115" s="22" t="s">
        <v>54</v>
      </c>
      <c r="E115" s="25">
        <v>0</v>
      </c>
      <c r="F115" s="25">
        <v>0</v>
      </c>
    </row>
    <row r="116" spans="1:6">
      <c r="A116" t="str">
        <f>IFERROR(VLOOKUP(B116,[1]銷貨單品號主檔!$A:$D,4,0),"學習周邊")</f>
        <v>學習周邊</v>
      </c>
      <c r="B116" s="22" t="s">
        <v>137</v>
      </c>
      <c r="C116" s="22" t="s">
        <v>87</v>
      </c>
      <c r="D116" s="22" t="s">
        <v>54</v>
      </c>
      <c r="E116" s="25">
        <v>0</v>
      </c>
      <c r="F116" s="25">
        <v>0</v>
      </c>
    </row>
    <row r="117" spans="1:6">
      <c r="A117" t="str">
        <f>IFERROR(VLOOKUP(B117,[1]銷貨單品號主檔!$A:$D,4,0),"學習周邊")</f>
        <v>生活周邊</v>
      </c>
      <c r="B117" s="22" t="s">
        <v>142</v>
      </c>
      <c r="C117" s="22" t="s">
        <v>65</v>
      </c>
      <c r="D117" s="22" t="s">
        <v>54</v>
      </c>
      <c r="E117" s="25">
        <v>1</v>
      </c>
      <c r="F117" s="25">
        <v>19.047619047619047</v>
      </c>
    </row>
    <row r="118" spans="1:6">
      <c r="A118" t="str">
        <f>IFERROR(VLOOKUP(B118,[1]銷貨單品號主檔!$A:$D,4,0),"學習周邊")</f>
        <v>生活周邊</v>
      </c>
      <c r="B118" s="22" t="s">
        <v>142</v>
      </c>
      <c r="C118" s="22" t="s">
        <v>66</v>
      </c>
      <c r="D118" s="22" t="s">
        <v>54</v>
      </c>
      <c r="E118" s="25">
        <v>3</v>
      </c>
      <c r="F118" s="25">
        <v>57.142857142857139</v>
      </c>
    </row>
    <row r="119" spans="1:6">
      <c r="A119" t="str">
        <f>IFERROR(VLOOKUP(B119,[1]銷貨單品號主檔!$A:$D,4,0),"學習周邊")</f>
        <v>生活周邊</v>
      </c>
      <c r="B119" s="22" t="s">
        <v>142</v>
      </c>
      <c r="C119" s="22" t="s">
        <v>72</v>
      </c>
      <c r="D119" s="22" t="s">
        <v>54</v>
      </c>
      <c r="E119" s="25">
        <v>1</v>
      </c>
      <c r="F119" s="25">
        <v>19.047619047619047</v>
      </c>
    </row>
    <row r="120" spans="1:6">
      <c r="A120" t="str">
        <f>IFERROR(VLOOKUP(B120,[1]銷貨單品號主檔!$A:$D,4,0),"學習周邊")</f>
        <v>生活周邊</v>
      </c>
      <c r="B120" s="22" t="s">
        <v>142</v>
      </c>
      <c r="C120" s="22" t="s">
        <v>78</v>
      </c>
      <c r="D120" s="22" t="s">
        <v>54</v>
      </c>
      <c r="E120" s="25">
        <v>2</v>
      </c>
      <c r="F120" s="25">
        <v>38.095238095238095</v>
      </c>
    </row>
    <row r="121" spans="1:6">
      <c r="A121" t="str">
        <f>IFERROR(VLOOKUP(B121,[1]銷貨單品號主檔!$A:$D,4,0),"學習周邊")</f>
        <v>生活周邊</v>
      </c>
      <c r="B121" s="22" t="s">
        <v>142</v>
      </c>
      <c r="C121" s="22" t="s">
        <v>85</v>
      </c>
      <c r="D121" s="22" t="s">
        <v>54</v>
      </c>
      <c r="E121" s="25">
        <v>1</v>
      </c>
      <c r="F121" s="25">
        <v>19.047619047619047</v>
      </c>
    </row>
    <row r="122" spans="1:6">
      <c r="A122" t="str">
        <f>IFERROR(VLOOKUP(B122,[1]銷貨單品號主檔!$A:$D,4,0),"學習周邊")</f>
        <v>生活周邊</v>
      </c>
      <c r="B122" s="22" t="s">
        <v>144</v>
      </c>
      <c r="C122" s="22" t="s">
        <v>65</v>
      </c>
      <c r="D122" s="22" t="s">
        <v>54</v>
      </c>
      <c r="E122" s="25">
        <v>1</v>
      </c>
      <c r="F122" s="25">
        <v>19.047619047619047</v>
      </c>
    </row>
    <row r="123" spans="1:6">
      <c r="A123" t="str">
        <f>IFERROR(VLOOKUP(B123,[1]銷貨單品號主檔!$A:$D,4,0),"學習周邊")</f>
        <v>生活周邊</v>
      </c>
      <c r="B123" s="22" t="s">
        <v>144</v>
      </c>
      <c r="C123" s="22" t="s">
        <v>66</v>
      </c>
      <c r="D123" s="22" t="s">
        <v>54</v>
      </c>
      <c r="E123" s="25">
        <v>3</v>
      </c>
      <c r="F123" s="25">
        <v>57.142857142857139</v>
      </c>
    </row>
    <row r="124" spans="1:6">
      <c r="A124" t="str">
        <f>IFERROR(VLOOKUP(B124,[1]銷貨單品號主檔!$A:$D,4,0),"學習周邊")</f>
        <v>生活周邊</v>
      </c>
      <c r="B124" s="22" t="s">
        <v>144</v>
      </c>
      <c r="C124" s="22" t="s">
        <v>72</v>
      </c>
      <c r="D124" s="22" t="s">
        <v>54</v>
      </c>
      <c r="E124" s="25">
        <v>1</v>
      </c>
      <c r="F124" s="25">
        <v>19.047619047619047</v>
      </c>
    </row>
    <row r="125" spans="1:6">
      <c r="A125" t="str">
        <f>IFERROR(VLOOKUP(B125,[1]銷貨單品號主檔!$A:$D,4,0),"學習周邊")</f>
        <v>生活周邊</v>
      </c>
      <c r="B125" s="22" t="s">
        <v>144</v>
      </c>
      <c r="C125" s="22" t="s">
        <v>78</v>
      </c>
      <c r="D125" s="22" t="s">
        <v>54</v>
      </c>
      <c r="E125" s="25">
        <v>2</v>
      </c>
      <c r="F125" s="25">
        <v>38.095238095238095</v>
      </c>
    </row>
    <row r="126" spans="1:6">
      <c r="A126" t="str">
        <f>IFERROR(VLOOKUP(B126,[1]銷貨單品號主檔!$A:$D,4,0),"學習周邊")</f>
        <v>生活周邊</v>
      </c>
      <c r="B126" s="22" t="s">
        <v>144</v>
      </c>
      <c r="C126" s="22" t="s">
        <v>85</v>
      </c>
      <c r="D126" s="22" t="s">
        <v>54</v>
      </c>
      <c r="E126" s="25">
        <v>1</v>
      </c>
      <c r="F126" s="25">
        <v>19.047619047619047</v>
      </c>
    </row>
    <row r="127" spans="1:6">
      <c r="A127" t="str">
        <f>IFERROR(VLOOKUP(B127,[1]銷貨單品號主檔!$A:$D,4,0),"學習周邊")</f>
        <v>生活周邊</v>
      </c>
      <c r="B127" s="22" t="s">
        <v>144</v>
      </c>
      <c r="C127" s="22" t="s">
        <v>108</v>
      </c>
      <c r="D127" s="22" t="s">
        <v>54</v>
      </c>
      <c r="E127" s="25">
        <v>1</v>
      </c>
      <c r="F127" s="25">
        <v>19.047619047619047</v>
      </c>
    </row>
    <row r="128" spans="1:6">
      <c r="A128" t="str">
        <f>IFERROR(VLOOKUP(B128,[1]銷貨單品號主檔!$A:$D,4,0),"學習周邊")</f>
        <v>生活周邊</v>
      </c>
      <c r="B128" s="22" t="s">
        <v>147</v>
      </c>
      <c r="C128" s="22" t="s">
        <v>67</v>
      </c>
      <c r="D128" s="22" t="s">
        <v>54</v>
      </c>
      <c r="E128" s="25">
        <v>1</v>
      </c>
      <c r="F128" s="25">
        <v>167.61904761904762</v>
      </c>
    </row>
    <row r="129" spans="1:6">
      <c r="A129" t="str">
        <f>IFERROR(VLOOKUP(B129,[1]銷貨單品號主檔!$A:$D,4,0),"學習周邊")</f>
        <v>生活周邊</v>
      </c>
      <c r="B129" s="22" t="s">
        <v>147</v>
      </c>
      <c r="C129" s="22" t="s">
        <v>73</v>
      </c>
      <c r="D129" s="22" t="s">
        <v>54</v>
      </c>
      <c r="E129" s="25">
        <v>1</v>
      </c>
      <c r="F129" s="25">
        <v>167.61904761904762</v>
      </c>
    </row>
    <row r="130" spans="1:6">
      <c r="A130" t="str">
        <f>IFERROR(VLOOKUP(B130,[1]銷貨單品號主檔!$A:$D,4,0),"學習周邊")</f>
        <v>生活周邊</v>
      </c>
      <c r="B130" s="22" t="s">
        <v>147</v>
      </c>
      <c r="C130" s="22" t="s">
        <v>72</v>
      </c>
      <c r="D130" s="22" t="s">
        <v>54</v>
      </c>
      <c r="E130" s="25">
        <v>1</v>
      </c>
      <c r="F130" s="25">
        <v>167.61904761904762</v>
      </c>
    </row>
    <row r="131" spans="1:6">
      <c r="A131" t="str">
        <f>IFERROR(VLOOKUP(B131,[1]銷貨單品號主檔!$A:$D,4,0),"學習周邊")</f>
        <v>生活周邊</v>
      </c>
      <c r="B131" s="22" t="s">
        <v>147</v>
      </c>
      <c r="C131" s="22" t="s">
        <v>81</v>
      </c>
      <c r="D131" s="22" t="s">
        <v>54</v>
      </c>
      <c r="E131" s="25">
        <v>1</v>
      </c>
      <c r="F131" s="25">
        <v>167.61904761904762</v>
      </c>
    </row>
    <row r="132" spans="1:6">
      <c r="A132" t="str">
        <f>IFERROR(VLOOKUP(B132,[1]銷貨單品號主檔!$A:$D,4,0),"學習周邊")</f>
        <v>生活周邊</v>
      </c>
      <c r="B132" s="22" t="s">
        <v>147</v>
      </c>
      <c r="C132" s="22" t="s">
        <v>85</v>
      </c>
      <c r="D132" s="22" t="s">
        <v>54</v>
      </c>
      <c r="E132" s="25">
        <v>3</v>
      </c>
      <c r="F132" s="25">
        <v>502.85714285714283</v>
      </c>
    </row>
    <row r="133" spans="1:6">
      <c r="A133" t="str">
        <f>IFERROR(VLOOKUP(B133,[1]銷貨單品號主檔!$A:$D,4,0),"學習周邊")</f>
        <v>生活周邊</v>
      </c>
      <c r="B133" s="22" t="s">
        <v>147</v>
      </c>
      <c r="C133" s="22" t="s">
        <v>90</v>
      </c>
      <c r="D133" s="22" t="s">
        <v>54</v>
      </c>
      <c r="E133" s="25">
        <v>2</v>
      </c>
      <c r="F133" s="25">
        <v>335.23809523809524</v>
      </c>
    </row>
    <row r="134" spans="1:6">
      <c r="A134" t="str">
        <f>IFERROR(VLOOKUP(B134,[1]銷貨單品號主檔!$A:$D,4,0),"學習周邊")</f>
        <v>生活周邊</v>
      </c>
      <c r="B134" s="22" t="s">
        <v>147</v>
      </c>
      <c r="C134" s="22" t="s">
        <v>108</v>
      </c>
      <c r="D134" s="22" t="s">
        <v>54</v>
      </c>
      <c r="E134" s="25">
        <v>1</v>
      </c>
      <c r="F134" s="25">
        <v>167.61904761904762</v>
      </c>
    </row>
    <row r="135" spans="1:6">
      <c r="A135" t="str">
        <f>IFERROR(VLOOKUP(B135,[1]銷貨單品號主檔!$A:$D,4,0),"學習周邊")</f>
        <v>生活周邊</v>
      </c>
      <c r="B135" s="22" t="s">
        <v>147</v>
      </c>
      <c r="C135" s="22" t="s">
        <v>53</v>
      </c>
      <c r="D135" s="22" t="s">
        <v>54</v>
      </c>
      <c r="E135" s="25">
        <v>1</v>
      </c>
      <c r="F135" s="25">
        <v>167.61904761904762</v>
      </c>
    </row>
    <row r="136" spans="1:6">
      <c r="A136" t="str">
        <f>IFERROR(VLOOKUP(B136,[1]銷貨單品號主檔!$A:$D,4,0),"學習周邊")</f>
        <v>生活周邊</v>
      </c>
      <c r="B136" s="22" t="s">
        <v>147</v>
      </c>
      <c r="C136" s="22" t="s">
        <v>326</v>
      </c>
      <c r="D136" s="22" t="s">
        <v>54</v>
      </c>
      <c r="E136" s="25">
        <v>1</v>
      </c>
      <c r="F136" s="25">
        <v>167.61904761904762</v>
      </c>
    </row>
    <row r="137" spans="1:6">
      <c r="A137" t="str">
        <f>IFERROR(VLOOKUP(B137,[1]銷貨單品號主檔!$A:$D,4,0),"學習周邊")</f>
        <v>生活周邊</v>
      </c>
      <c r="B137" s="22" t="s">
        <v>147</v>
      </c>
      <c r="C137" s="22" t="s">
        <v>328</v>
      </c>
      <c r="D137" s="22" t="s">
        <v>54</v>
      </c>
      <c r="E137" s="25">
        <v>1</v>
      </c>
      <c r="F137" s="25">
        <v>167.61904761904762</v>
      </c>
    </row>
    <row r="138" spans="1:6">
      <c r="A138" t="str">
        <f>IFERROR(VLOOKUP(B138,[1]銷貨單品號主檔!$A:$D,4,0),"學習周邊")</f>
        <v>生活周邊</v>
      </c>
      <c r="B138" s="22" t="s">
        <v>147</v>
      </c>
      <c r="C138" s="22" t="s">
        <v>353</v>
      </c>
      <c r="D138" s="22" t="s">
        <v>54</v>
      </c>
      <c r="E138" s="25">
        <v>2</v>
      </c>
      <c r="F138" s="25">
        <v>335.23809523809524</v>
      </c>
    </row>
    <row r="139" spans="1:6">
      <c r="A139" t="str">
        <f>IFERROR(VLOOKUP(B139,[1]銷貨單品號主檔!$A:$D,4,0),"學習周邊")</f>
        <v>生活周邊</v>
      </c>
      <c r="B139" s="22" t="s">
        <v>153</v>
      </c>
      <c r="C139" s="22" t="s">
        <v>78</v>
      </c>
      <c r="D139" s="22" t="s">
        <v>54</v>
      </c>
      <c r="E139" s="25">
        <v>1</v>
      </c>
      <c r="F139" s="25">
        <v>340.95238095238096</v>
      </c>
    </row>
    <row r="140" spans="1:6">
      <c r="A140" t="str">
        <f>IFERROR(VLOOKUP(B140,[1]銷貨單品號主檔!$A:$D,4,0),"學習周邊")</f>
        <v>生活周邊</v>
      </c>
      <c r="B140" s="22" t="s">
        <v>153</v>
      </c>
      <c r="C140" s="22" t="s">
        <v>87</v>
      </c>
      <c r="D140" s="22" t="s">
        <v>54</v>
      </c>
      <c r="E140" s="25">
        <v>1</v>
      </c>
      <c r="F140" s="25">
        <v>340.95238095238096</v>
      </c>
    </row>
    <row r="141" spans="1:6">
      <c r="A141" t="str">
        <f>IFERROR(VLOOKUP(B141,[1]銷貨單品號主檔!$A:$D,4,0),"學習周邊")</f>
        <v>生活周邊</v>
      </c>
      <c r="B141" s="22" t="s">
        <v>154</v>
      </c>
      <c r="C141" s="22" t="s">
        <v>66</v>
      </c>
      <c r="D141" s="22" t="s">
        <v>54</v>
      </c>
      <c r="E141" s="25">
        <v>1</v>
      </c>
      <c r="F141" s="25">
        <v>440</v>
      </c>
    </row>
    <row r="142" spans="1:6">
      <c r="A142" t="str">
        <f>IFERROR(VLOOKUP(B142,[1]銷貨單品號主檔!$A:$D,4,0),"學習周邊")</f>
        <v>生活周邊</v>
      </c>
      <c r="B142" s="22" t="s">
        <v>154</v>
      </c>
      <c r="C142" s="22" t="s">
        <v>108</v>
      </c>
      <c r="D142" s="22" t="s">
        <v>54</v>
      </c>
      <c r="E142" s="25">
        <v>1</v>
      </c>
      <c r="F142" s="25">
        <v>440</v>
      </c>
    </row>
    <row r="143" spans="1:6">
      <c r="A143" t="str">
        <f>IFERROR(VLOOKUP(B143,[1]銷貨單品號主檔!$A:$D,4,0),"學習周邊")</f>
        <v>生活周邊</v>
      </c>
      <c r="B143" s="22" t="s">
        <v>154</v>
      </c>
      <c r="C143" s="22" t="s">
        <v>53</v>
      </c>
      <c r="D143" s="22" t="s">
        <v>54</v>
      </c>
      <c r="E143" s="25">
        <v>1</v>
      </c>
      <c r="F143" s="25">
        <v>440</v>
      </c>
    </row>
    <row r="144" spans="1:6">
      <c r="A144" t="str">
        <f>IFERROR(VLOOKUP(B144,[1]銷貨單品號主檔!$A:$D,4,0),"學習周邊")</f>
        <v>生活周邊</v>
      </c>
      <c r="B144" s="22" t="s">
        <v>154</v>
      </c>
      <c r="C144" s="22" t="s">
        <v>328</v>
      </c>
      <c r="D144" s="22" t="s">
        <v>54</v>
      </c>
      <c r="E144" s="25">
        <v>1</v>
      </c>
      <c r="F144" s="25">
        <v>440</v>
      </c>
    </row>
    <row r="145" spans="1:6">
      <c r="A145" t="str">
        <f>IFERROR(VLOOKUP(B145,[1]銷貨單品號主檔!$A:$D,4,0),"學習周邊")</f>
        <v>生活周邊</v>
      </c>
      <c r="B145" s="22" t="s">
        <v>154</v>
      </c>
      <c r="C145" s="22" t="s">
        <v>353</v>
      </c>
      <c r="D145" s="22" t="s">
        <v>54</v>
      </c>
      <c r="E145" s="25">
        <v>1</v>
      </c>
      <c r="F145" s="25">
        <v>440</v>
      </c>
    </row>
    <row r="146" spans="1:6">
      <c r="A146" t="str">
        <f>IFERROR(VLOOKUP(B146,[1]銷貨單品號主檔!$A:$D,4,0),"學習周邊")</f>
        <v>生活周邊</v>
      </c>
      <c r="B146" s="22" t="s">
        <v>157</v>
      </c>
      <c r="C146" s="22" t="s">
        <v>78</v>
      </c>
      <c r="D146" s="22" t="s">
        <v>54</v>
      </c>
      <c r="E146" s="25">
        <v>1</v>
      </c>
      <c r="F146" s="25">
        <v>856.19047619047615</v>
      </c>
    </row>
    <row r="147" spans="1:6">
      <c r="A147" t="str">
        <f>IFERROR(VLOOKUP(B147,[1]銷貨單品號主檔!$A:$D,4,0),"學習周邊")</f>
        <v>生活周邊</v>
      </c>
      <c r="B147" s="22" t="s">
        <v>157</v>
      </c>
      <c r="C147" s="22" t="s">
        <v>87</v>
      </c>
      <c r="D147" s="22" t="s">
        <v>54</v>
      </c>
      <c r="E147" s="25">
        <v>1</v>
      </c>
      <c r="F147" s="25">
        <v>856.19047619047615</v>
      </c>
    </row>
    <row r="148" spans="1:6">
      <c r="A148" t="str">
        <f>IFERROR(VLOOKUP(B148,[1]銷貨單品號主檔!$A:$D,4,0),"學習周邊")</f>
        <v>生活周邊</v>
      </c>
      <c r="B148" s="22" t="s">
        <v>157</v>
      </c>
      <c r="C148" s="22" t="s">
        <v>354</v>
      </c>
      <c r="D148" s="22" t="s">
        <v>54</v>
      </c>
      <c r="E148" s="25">
        <v>1</v>
      </c>
      <c r="F148" s="25">
        <v>856.19047619047615</v>
      </c>
    </row>
    <row r="149" spans="1:6">
      <c r="A149" t="str">
        <f>IFERROR(VLOOKUP(B149,[1]銷貨單品號主檔!$A:$D,4,0),"學習周邊")</f>
        <v>生活周邊</v>
      </c>
      <c r="B149" s="22" t="s">
        <v>159</v>
      </c>
      <c r="C149" s="22" t="s">
        <v>67</v>
      </c>
      <c r="D149" s="22" t="s">
        <v>54</v>
      </c>
      <c r="E149" s="25">
        <v>2</v>
      </c>
      <c r="F149" s="25">
        <v>1140.952380952381</v>
      </c>
    </row>
    <row r="150" spans="1:6">
      <c r="A150" t="str">
        <f>IFERROR(VLOOKUP(B150,[1]銷貨單品號主檔!$A:$D,4,0),"學習周邊")</f>
        <v>生活周邊</v>
      </c>
      <c r="B150" s="22" t="s">
        <v>159</v>
      </c>
      <c r="C150" s="22" t="s">
        <v>83</v>
      </c>
      <c r="D150" s="22" t="s">
        <v>54</v>
      </c>
      <c r="E150" s="25">
        <v>1</v>
      </c>
      <c r="F150" s="25">
        <v>665.71428571428567</v>
      </c>
    </row>
    <row r="151" spans="1:6">
      <c r="A151" t="str">
        <f>IFERROR(VLOOKUP(B151,[1]銷貨單品號主檔!$A:$D,4,0),"學習周邊")</f>
        <v>生活周邊</v>
      </c>
      <c r="B151" s="22" t="s">
        <v>159</v>
      </c>
      <c r="C151" s="22" t="s">
        <v>53</v>
      </c>
      <c r="D151" s="22" t="s">
        <v>54</v>
      </c>
      <c r="E151" s="25">
        <v>1</v>
      </c>
      <c r="F151" s="25">
        <v>665.71428571428567</v>
      </c>
    </row>
    <row r="152" spans="1:6">
      <c r="A152" t="str">
        <f>IFERROR(VLOOKUP(B152,[1]銷貨單品號主檔!$A:$D,4,0),"學習周邊")</f>
        <v>生活周邊</v>
      </c>
      <c r="B152" s="22" t="s">
        <v>159</v>
      </c>
      <c r="C152" s="22" t="s">
        <v>354</v>
      </c>
      <c r="D152" s="22" t="s">
        <v>54</v>
      </c>
      <c r="E152" s="25">
        <v>2</v>
      </c>
      <c r="F152" s="25">
        <v>1331.4285714285713</v>
      </c>
    </row>
    <row r="153" spans="1:6">
      <c r="A153" t="str">
        <f>IFERROR(VLOOKUP(B153,[1]銷貨單品號主檔!$A:$D,4,0),"學習周邊")</f>
        <v>生活周邊</v>
      </c>
      <c r="B153" s="22" t="s">
        <v>160</v>
      </c>
      <c r="C153" s="22" t="s">
        <v>60</v>
      </c>
      <c r="D153" s="22" t="s">
        <v>54</v>
      </c>
      <c r="E153" s="25">
        <v>1</v>
      </c>
      <c r="F153" s="25">
        <v>209.52380952380952</v>
      </c>
    </row>
    <row r="154" spans="1:6">
      <c r="A154" t="str">
        <f>IFERROR(VLOOKUP(B154,[1]銷貨單品號主檔!$A:$D,4,0),"學習周邊")</f>
        <v>生活周邊</v>
      </c>
      <c r="B154" s="22" t="s">
        <v>160</v>
      </c>
      <c r="C154" s="22" t="s">
        <v>73</v>
      </c>
      <c r="D154" s="22" t="s">
        <v>54</v>
      </c>
      <c r="E154" s="25">
        <v>1</v>
      </c>
      <c r="F154" s="25">
        <v>209.52380952380952</v>
      </c>
    </row>
    <row r="155" spans="1:6">
      <c r="A155" t="str">
        <f>IFERROR(VLOOKUP(B155,[1]銷貨單品號主檔!$A:$D,4,0),"學習周邊")</f>
        <v>生活周邊</v>
      </c>
      <c r="B155" s="22" t="s">
        <v>160</v>
      </c>
      <c r="C155" s="22" t="s">
        <v>59</v>
      </c>
      <c r="D155" s="22" t="s">
        <v>54</v>
      </c>
      <c r="E155" s="25">
        <v>2</v>
      </c>
      <c r="F155" s="25">
        <v>419.04761904761904</v>
      </c>
    </row>
    <row r="156" spans="1:6">
      <c r="A156" t="str">
        <f>IFERROR(VLOOKUP(B156,[1]銷貨單品號主檔!$A:$D,4,0),"學習周邊")</f>
        <v>生活周邊</v>
      </c>
      <c r="B156" s="22" t="s">
        <v>160</v>
      </c>
      <c r="C156" s="22" t="s">
        <v>107</v>
      </c>
      <c r="D156" s="22" t="s">
        <v>54</v>
      </c>
      <c r="E156" s="25">
        <v>2</v>
      </c>
      <c r="F156" s="25">
        <v>419.04761904761904</v>
      </c>
    </row>
    <row r="157" spans="1:6">
      <c r="A157" t="str">
        <f>IFERROR(VLOOKUP(B157,[1]銷貨單品號主檔!$A:$D,4,0),"學習周邊")</f>
        <v>生活周邊</v>
      </c>
      <c r="B157" s="22" t="s">
        <v>160</v>
      </c>
      <c r="C157" s="22" t="s">
        <v>85</v>
      </c>
      <c r="D157" s="22" t="s">
        <v>54</v>
      </c>
      <c r="E157" s="25">
        <v>1</v>
      </c>
      <c r="F157" s="25">
        <v>209.52380952380952</v>
      </c>
    </row>
    <row r="158" spans="1:6">
      <c r="A158" t="str">
        <f>IFERROR(VLOOKUP(B158,[1]銷貨單品號主檔!$A:$D,4,0),"學習周邊")</f>
        <v>生活周邊</v>
      </c>
      <c r="B158" s="22" t="s">
        <v>160</v>
      </c>
      <c r="C158" s="22" t="s">
        <v>87</v>
      </c>
      <c r="D158" s="22" t="s">
        <v>54</v>
      </c>
      <c r="E158" s="25">
        <v>1</v>
      </c>
      <c r="F158" s="25">
        <v>209.52380952380952</v>
      </c>
    </row>
    <row r="159" spans="1:6">
      <c r="A159" t="str">
        <f>IFERROR(VLOOKUP(B159,[1]銷貨單品號主檔!$A:$D,4,0),"學習周邊")</f>
        <v>生活周邊</v>
      </c>
      <c r="B159" s="22" t="s">
        <v>160</v>
      </c>
      <c r="C159" s="22" t="s">
        <v>90</v>
      </c>
      <c r="D159" s="22" t="s">
        <v>54</v>
      </c>
      <c r="E159" s="25">
        <v>1</v>
      </c>
      <c r="F159" s="25">
        <v>209.52380952380952</v>
      </c>
    </row>
    <row r="160" spans="1:6">
      <c r="A160" t="str">
        <f>IFERROR(VLOOKUP(B160,[1]銷貨單品號主檔!$A:$D,4,0),"學習周邊")</f>
        <v>生活周邊</v>
      </c>
      <c r="B160" s="22" t="s">
        <v>160</v>
      </c>
      <c r="C160" s="22" t="s">
        <v>88</v>
      </c>
      <c r="D160" s="22" t="s">
        <v>54</v>
      </c>
      <c r="E160" s="25">
        <v>1</v>
      </c>
      <c r="F160" s="25">
        <v>209.52380952380952</v>
      </c>
    </row>
    <row r="161" spans="1:6">
      <c r="A161" t="str">
        <f>IFERROR(VLOOKUP(B161,[1]銷貨單品號主檔!$A:$D,4,0),"學習周邊")</f>
        <v>生活周邊</v>
      </c>
      <c r="B161" s="22" t="s">
        <v>160</v>
      </c>
      <c r="C161" s="22" t="s">
        <v>53</v>
      </c>
      <c r="D161" s="22" t="s">
        <v>54</v>
      </c>
      <c r="E161" s="25">
        <v>1</v>
      </c>
      <c r="F161" s="25">
        <v>209.52380952380952</v>
      </c>
    </row>
    <row r="162" spans="1:6">
      <c r="A162" t="str">
        <f>IFERROR(VLOOKUP(B162,[1]銷貨單品號主檔!$A:$D,4,0),"學習周邊")</f>
        <v>生活周邊</v>
      </c>
      <c r="B162" s="22" t="s">
        <v>160</v>
      </c>
      <c r="C162" s="22" t="s">
        <v>92</v>
      </c>
      <c r="D162" s="22" t="s">
        <v>54</v>
      </c>
      <c r="E162" s="25">
        <v>2</v>
      </c>
      <c r="F162" s="25">
        <v>419.04761904761904</v>
      </c>
    </row>
    <row r="163" spans="1:6">
      <c r="A163" t="str">
        <f>IFERROR(VLOOKUP(B163,[1]銷貨單品號主檔!$A:$D,4,0),"學習周邊")</f>
        <v>生活周邊</v>
      </c>
      <c r="B163" s="22" t="s">
        <v>160</v>
      </c>
      <c r="C163" s="22" t="s">
        <v>328</v>
      </c>
      <c r="D163" s="22" t="s">
        <v>54</v>
      </c>
      <c r="E163" s="25">
        <v>1</v>
      </c>
      <c r="F163" s="25">
        <v>209.52380952380952</v>
      </c>
    </row>
    <row r="164" spans="1:6">
      <c r="A164" t="str">
        <f>IFERROR(VLOOKUP(B164,[1]銷貨單品號主檔!$A:$D,4,0),"學習周邊")</f>
        <v>生活周邊</v>
      </c>
      <c r="B164" s="22" t="s">
        <v>160</v>
      </c>
      <c r="C164" s="22" t="s">
        <v>330</v>
      </c>
      <c r="D164" s="22" t="s">
        <v>54</v>
      </c>
      <c r="E164" s="25">
        <v>1</v>
      </c>
      <c r="F164" s="25">
        <v>209.52380952380952</v>
      </c>
    </row>
    <row r="165" spans="1:6">
      <c r="A165" t="str">
        <f>IFERROR(VLOOKUP(B165,[1]銷貨單品號主檔!$A:$D,4,0),"學習周邊")</f>
        <v>生活周邊</v>
      </c>
      <c r="B165" s="22" t="s">
        <v>160</v>
      </c>
      <c r="C165" s="22" t="s">
        <v>331</v>
      </c>
      <c r="D165" s="22" t="s">
        <v>54</v>
      </c>
      <c r="E165" s="25">
        <v>1</v>
      </c>
      <c r="F165" s="25">
        <v>209.52380952380952</v>
      </c>
    </row>
    <row r="166" spans="1:6">
      <c r="A166" t="str">
        <f>IFERROR(VLOOKUP(B166,[1]銷貨單品號主檔!$A:$D,4,0),"學習周邊")</f>
        <v>生活周邊</v>
      </c>
      <c r="B166" s="22" t="s">
        <v>160</v>
      </c>
      <c r="C166" s="22" t="s">
        <v>349</v>
      </c>
      <c r="D166" s="22" t="s">
        <v>54</v>
      </c>
      <c r="E166" s="25">
        <v>1</v>
      </c>
      <c r="F166" s="25">
        <v>209.52380952380952</v>
      </c>
    </row>
    <row r="167" spans="1:6">
      <c r="A167" t="str">
        <f>IFERROR(VLOOKUP(B167,[1]銷貨單品號主檔!$A:$D,4,0),"學習周邊")</f>
        <v>生活周邊</v>
      </c>
      <c r="B167" s="22" t="s">
        <v>160</v>
      </c>
      <c r="C167" s="22" t="s">
        <v>354</v>
      </c>
      <c r="D167" s="22" t="s">
        <v>54</v>
      </c>
      <c r="E167" s="25">
        <v>1</v>
      </c>
      <c r="F167" s="25">
        <v>209.52380952380952</v>
      </c>
    </row>
    <row r="168" spans="1:6">
      <c r="A168" t="str">
        <f>IFERROR(VLOOKUP(B168,[1]銷貨單品號主檔!$A:$D,4,0),"學習周邊")</f>
        <v>生活周邊</v>
      </c>
      <c r="B168" s="22" t="s">
        <v>166</v>
      </c>
      <c r="C168" s="22" t="s">
        <v>60</v>
      </c>
      <c r="D168" s="22" t="s">
        <v>54</v>
      </c>
      <c r="E168" s="25">
        <v>2</v>
      </c>
      <c r="F168" s="25">
        <v>419.04761904761904</v>
      </c>
    </row>
    <row r="169" spans="1:6">
      <c r="A169" t="str">
        <f>IFERROR(VLOOKUP(B169,[1]銷貨單品號主檔!$A:$D,4,0),"學習周邊")</f>
        <v>生活周邊</v>
      </c>
      <c r="B169" s="22" t="s">
        <v>166</v>
      </c>
      <c r="C169" s="22" t="s">
        <v>92</v>
      </c>
      <c r="D169" s="22" t="s">
        <v>54</v>
      </c>
      <c r="E169" s="25">
        <v>1</v>
      </c>
      <c r="F169" s="25">
        <v>209.52380952380952</v>
      </c>
    </row>
    <row r="170" spans="1:6">
      <c r="A170" t="str">
        <f>IFERROR(VLOOKUP(B170,[1]銷貨單品號主檔!$A:$D,4,0),"學習周邊")</f>
        <v>生活周邊</v>
      </c>
      <c r="B170" s="22" t="s">
        <v>166</v>
      </c>
      <c r="C170" s="22" t="s">
        <v>330</v>
      </c>
      <c r="D170" s="22" t="s">
        <v>54</v>
      </c>
      <c r="E170" s="25">
        <v>2</v>
      </c>
      <c r="F170" s="25">
        <v>419.04761904761904</v>
      </c>
    </row>
    <row r="171" spans="1:6">
      <c r="A171" t="str">
        <f>IFERROR(VLOOKUP(B171,[1]銷貨單品號主檔!$A:$D,4,0),"學習周邊")</f>
        <v>生活周邊</v>
      </c>
      <c r="B171" s="22" t="s">
        <v>166</v>
      </c>
      <c r="C171" s="22" t="s">
        <v>331</v>
      </c>
      <c r="D171" s="22" t="s">
        <v>54</v>
      </c>
      <c r="E171" s="25">
        <v>1</v>
      </c>
      <c r="F171" s="25">
        <v>209.52380952380952</v>
      </c>
    </row>
    <row r="172" spans="1:6">
      <c r="A172" t="str">
        <f>IFERROR(VLOOKUP(B172,[1]銷貨單品號主檔!$A:$D,4,0),"學習周邊")</f>
        <v>生活周邊</v>
      </c>
      <c r="B172" s="22" t="s">
        <v>167</v>
      </c>
      <c r="C172" s="22" t="s">
        <v>81</v>
      </c>
      <c r="D172" s="22" t="s">
        <v>54</v>
      </c>
      <c r="E172" s="25">
        <v>1</v>
      </c>
      <c r="F172" s="25">
        <v>1085.7142857142858</v>
      </c>
    </row>
    <row r="173" spans="1:6">
      <c r="A173" t="str">
        <f>IFERROR(VLOOKUP(B173,[1]銷貨單品號主檔!$A:$D,4,0),"學習周邊")</f>
        <v>生活周邊</v>
      </c>
      <c r="B173" s="22" t="s">
        <v>168</v>
      </c>
      <c r="C173" s="22" t="s">
        <v>83</v>
      </c>
      <c r="D173" s="22" t="s">
        <v>54</v>
      </c>
      <c r="E173" s="25">
        <v>1</v>
      </c>
      <c r="F173" s="25">
        <v>380</v>
      </c>
    </row>
    <row r="174" spans="1:6">
      <c r="A174" t="str">
        <f>IFERROR(VLOOKUP(B174,[1]銷貨單品號主檔!$A:$D,4,0),"學習周邊")</f>
        <v>生活周邊</v>
      </c>
      <c r="B174" s="22" t="s">
        <v>168</v>
      </c>
      <c r="C174" s="22" t="s">
        <v>88</v>
      </c>
      <c r="D174" s="22" t="s">
        <v>54</v>
      </c>
      <c r="E174" s="25">
        <v>1</v>
      </c>
      <c r="F174" s="25">
        <v>380</v>
      </c>
    </row>
    <row r="175" spans="1:6">
      <c r="A175" t="str">
        <f>IFERROR(VLOOKUP(B175,[1]銷貨單品號主檔!$A:$D,4,0),"學習周邊")</f>
        <v>生活周邊</v>
      </c>
      <c r="B175" s="22" t="s">
        <v>168</v>
      </c>
      <c r="C175" s="22" t="s">
        <v>328</v>
      </c>
      <c r="D175" s="22" t="s">
        <v>54</v>
      </c>
      <c r="E175" s="25">
        <v>1</v>
      </c>
      <c r="F175" s="25">
        <v>380</v>
      </c>
    </row>
    <row r="176" spans="1:6">
      <c r="A176" t="str">
        <f>IFERROR(VLOOKUP(B176,[1]銷貨單品號主檔!$A:$D,4,0),"學習周邊")</f>
        <v>生活周邊</v>
      </c>
      <c r="B176" s="22" t="s">
        <v>168</v>
      </c>
      <c r="C176" s="22" t="s">
        <v>330</v>
      </c>
      <c r="D176" s="22" t="s">
        <v>54</v>
      </c>
      <c r="E176" s="25">
        <v>1</v>
      </c>
      <c r="F176" s="25">
        <v>380</v>
      </c>
    </row>
    <row r="177" spans="1:6">
      <c r="A177" t="str">
        <f>IFERROR(VLOOKUP(B177,[1]銷貨單品號主檔!$A:$D,4,0),"學習周邊")</f>
        <v>生活周邊</v>
      </c>
      <c r="B177" s="22" t="s">
        <v>169</v>
      </c>
      <c r="C177" s="22" t="s">
        <v>62</v>
      </c>
      <c r="D177" s="22" t="s">
        <v>54</v>
      </c>
      <c r="E177" s="25">
        <v>1</v>
      </c>
      <c r="F177" s="25">
        <v>380</v>
      </c>
    </row>
    <row r="178" spans="1:6">
      <c r="A178" t="str">
        <f>IFERROR(VLOOKUP(B178,[1]銷貨單品號主檔!$A:$D,4,0),"學習周邊")</f>
        <v>生活周邊</v>
      </c>
      <c r="B178" s="22" t="s">
        <v>169</v>
      </c>
      <c r="C178" s="22" t="s">
        <v>53</v>
      </c>
      <c r="D178" s="22" t="s">
        <v>54</v>
      </c>
      <c r="E178" s="25">
        <v>1</v>
      </c>
      <c r="F178" s="25">
        <v>380</v>
      </c>
    </row>
    <row r="179" spans="1:6">
      <c r="A179" t="str">
        <f>IFERROR(VLOOKUP(B179,[1]銷貨單品號主檔!$A:$D,4,0),"學習周邊")</f>
        <v>生活周邊</v>
      </c>
      <c r="B179" s="22" t="s">
        <v>170</v>
      </c>
      <c r="C179" s="22" t="s">
        <v>76</v>
      </c>
      <c r="D179" s="22" t="s">
        <v>54</v>
      </c>
      <c r="E179" s="25">
        <v>1</v>
      </c>
      <c r="F179" s="25">
        <v>665.71428571428567</v>
      </c>
    </row>
    <row r="180" spans="1:6">
      <c r="A180" t="str">
        <f>IFERROR(VLOOKUP(B180,[1]銷貨單品號主檔!$A:$D,4,0),"學習周邊")</f>
        <v>生活周邊</v>
      </c>
      <c r="B180" s="22" t="s">
        <v>171</v>
      </c>
      <c r="C180" s="22" t="s">
        <v>73</v>
      </c>
      <c r="D180" s="22" t="s">
        <v>54</v>
      </c>
      <c r="E180" s="25">
        <v>2</v>
      </c>
      <c r="F180" s="25">
        <v>1521.9047619047619</v>
      </c>
    </row>
    <row r="181" spans="1:6">
      <c r="A181" t="str">
        <f>IFERROR(VLOOKUP(B181,[1]銷貨單品號主檔!$A:$D,4,0),"學習周邊")</f>
        <v>生活周邊</v>
      </c>
      <c r="B181" s="22" t="s">
        <v>171</v>
      </c>
      <c r="C181" s="22" t="s">
        <v>59</v>
      </c>
      <c r="D181" s="22" t="s">
        <v>54</v>
      </c>
      <c r="E181" s="25">
        <v>2</v>
      </c>
      <c r="F181" s="25">
        <v>1521.9047619047619</v>
      </c>
    </row>
    <row r="182" spans="1:6">
      <c r="A182" t="str">
        <f>IFERROR(VLOOKUP(B182,[1]銷貨單品號主檔!$A:$D,4,0),"學習周邊")</f>
        <v>生活周邊</v>
      </c>
      <c r="B182" s="22" t="s">
        <v>171</v>
      </c>
      <c r="C182" s="22" t="s">
        <v>76</v>
      </c>
      <c r="D182" s="22" t="s">
        <v>54</v>
      </c>
      <c r="E182" s="25">
        <v>1</v>
      </c>
      <c r="F182" s="25">
        <v>760.95238095238096</v>
      </c>
    </row>
    <row r="183" spans="1:6">
      <c r="A183" t="str">
        <f>IFERROR(VLOOKUP(B183,[1]銷貨單品號主檔!$A:$D,4,0),"學習周邊")</f>
        <v>生活周邊</v>
      </c>
      <c r="B183" s="22" t="s">
        <v>171</v>
      </c>
      <c r="C183" s="22" t="s">
        <v>90</v>
      </c>
      <c r="D183" s="22" t="s">
        <v>54</v>
      </c>
      <c r="E183" s="25">
        <v>1</v>
      </c>
      <c r="F183" s="25">
        <v>760.95238095238096</v>
      </c>
    </row>
    <row r="184" spans="1:6">
      <c r="A184" t="str">
        <f>IFERROR(VLOOKUP(B184,[1]銷貨單品號主檔!$A:$D,4,0),"學習周邊")</f>
        <v>學習</v>
      </c>
      <c r="B184" s="22" t="s">
        <v>111</v>
      </c>
      <c r="C184" s="22" t="s">
        <v>73</v>
      </c>
      <c r="D184" s="22" t="s">
        <v>54</v>
      </c>
      <c r="E184" s="25">
        <v>1</v>
      </c>
      <c r="F184" s="25">
        <v>4285.7142857142853</v>
      </c>
    </row>
    <row r="185" spans="1:6">
      <c r="A185" t="str">
        <f>IFERROR(VLOOKUP(B185,[1]銷貨單品號主檔!$A:$D,4,0),"學習周邊")</f>
        <v>學習</v>
      </c>
      <c r="B185" s="22" t="s">
        <v>111</v>
      </c>
      <c r="C185" s="22" t="s">
        <v>59</v>
      </c>
      <c r="D185" s="22" t="s">
        <v>54</v>
      </c>
      <c r="E185" s="25">
        <v>1</v>
      </c>
      <c r="F185" s="25">
        <v>4285.7142857142853</v>
      </c>
    </row>
    <row r="186" spans="1:6">
      <c r="A186" t="str">
        <f>IFERROR(VLOOKUP(B186,[1]銷貨單品號主檔!$A:$D,4,0),"學習周邊")</f>
        <v>學習</v>
      </c>
      <c r="B186" s="22" t="s">
        <v>111</v>
      </c>
      <c r="C186" s="22" t="s">
        <v>107</v>
      </c>
      <c r="D186" s="22" t="s">
        <v>54</v>
      </c>
      <c r="E186" s="25">
        <v>1</v>
      </c>
      <c r="F186" s="25">
        <v>4285.7142857142853</v>
      </c>
    </row>
    <row r="187" spans="1:6">
      <c r="A187" t="str">
        <f>IFERROR(VLOOKUP(B187,[1]銷貨單品號主檔!$A:$D,4,0),"學習周邊")</f>
        <v>學習</v>
      </c>
      <c r="B187" s="22" t="s">
        <v>111</v>
      </c>
      <c r="C187" s="22" t="s">
        <v>85</v>
      </c>
      <c r="D187" s="22" t="s">
        <v>54</v>
      </c>
      <c r="E187" s="25">
        <v>1</v>
      </c>
      <c r="F187" s="25">
        <v>4285.7142857142853</v>
      </c>
    </row>
    <row r="188" spans="1:6">
      <c r="A188" t="str">
        <f>IFERROR(VLOOKUP(B188,[1]銷貨單品號主檔!$A:$D,4,0),"學習周邊")</f>
        <v>學習</v>
      </c>
      <c r="B188" s="22" t="s">
        <v>111</v>
      </c>
      <c r="C188" s="22" t="s">
        <v>90</v>
      </c>
      <c r="D188" s="22" t="s">
        <v>54</v>
      </c>
      <c r="E188" s="25">
        <v>1</v>
      </c>
      <c r="F188" s="25">
        <v>4285.7142857142853</v>
      </c>
    </row>
    <row r="189" spans="1:6">
      <c r="A189" t="str">
        <f>IFERROR(VLOOKUP(B189,[1]銷貨單品號主檔!$A:$D,4,0),"學習周邊")</f>
        <v>學習</v>
      </c>
      <c r="B189" s="22" t="s">
        <v>111</v>
      </c>
      <c r="C189" s="22" t="s">
        <v>92</v>
      </c>
      <c r="D189" s="22" t="s">
        <v>174</v>
      </c>
      <c r="E189" s="25">
        <v>1</v>
      </c>
      <c r="F189" s="25">
        <v>4285.7142857142853</v>
      </c>
    </row>
    <row r="190" spans="1:6">
      <c r="A190" t="str">
        <f>IFERROR(VLOOKUP(B190,[1]銷貨單品號主檔!$A:$D,4,0),"學習周邊")</f>
        <v>學習</v>
      </c>
      <c r="B190" s="22" t="s">
        <v>111</v>
      </c>
      <c r="C190" s="22" t="s">
        <v>330</v>
      </c>
      <c r="D190" s="22" t="s">
        <v>54</v>
      </c>
      <c r="E190" s="25">
        <v>1</v>
      </c>
      <c r="F190" s="25">
        <v>4285.7142857142853</v>
      </c>
    </row>
    <row r="191" spans="1:6">
      <c r="A191" t="str">
        <f>IFERROR(VLOOKUP(B191,[1]銷貨單品號主檔!$A:$D,4,0),"學習周邊")</f>
        <v>學習周邊</v>
      </c>
      <c r="B191" s="22" t="s">
        <v>176</v>
      </c>
      <c r="C191" s="22" t="s">
        <v>92</v>
      </c>
      <c r="D191" s="22" t="s">
        <v>54</v>
      </c>
      <c r="E191" s="25">
        <v>0</v>
      </c>
      <c r="F191" s="25">
        <v>0</v>
      </c>
    </row>
    <row r="192" spans="1:6">
      <c r="A192" t="str">
        <f>IFERROR(VLOOKUP(B192,[1]銷貨單品號主檔!$A:$D,4,0),"學習周邊")</f>
        <v>學習周邊</v>
      </c>
      <c r="B192" s="22" t="s">
        <v>176</v>
      </c>
      <c r="C192" s="22" t="s">
        <v>326</v>
      </c>
      <c r="D192" s="22" t="s">
        <v>54</v>
      </c>
      <c r="E192" s="25">
        <v>0</v>
      </c>
      <c r="F192" s="25">
        <v>0</v>
      </c>
    </row>
    <row r="193" spans="1:6">
      <c r="A193" t="str">
        <f>IFERROR(VLOOKUP(B193,[1]銷貨單品號主檔!$A:$D,4,0),"學習周邊")</f>
        <v>學習周邊</v>
      </c>
      <c r="B193" s="22" t="s">
        <v>176</v>
      </c>
      <c r="C193" s="22" t="s">
        <v>329</v>
      </c>
      <c r="D193" s="22" t="s">
        <v>54</v>
      </c>
      <c r="E193" s="25">
        <v>0</v>
      </c>
      <c r="F193" s="25">
        <v>0</v>
      </c>
    </row>
    <row r="194" spans="1:6">
      <c r="A194" t="str">
        <f>IFERROR(VLOOKUP(B194,[1]銷貨單品號主檔!$A:$D,4,0),"學習周邊")</f>
        <v>學習周邊</v>
      </c>
      <c r="B194" s="22" t="s">
        <v>176</v>
      </c>
      <c r="C194" s="22" t="s">
        <v>332</v>
      </c>
      <c r="D194" s="22" t="s">
        <v>54</v>
      </c>
      <c r="E194" s="25">
        <v>0</v>
      </c>
      <c r="F194" s="25">
        <v>0</v>
      </c>
    </row>
    <row r="195" spans="1:6">
      <c r="A195" t="str">
        <f>IFERROR(VLOOKUP(B195,[1]銷貨單品號主檔!$A:$D,4,0),"學習周邊")</f>
        <v>學習周邊</v>
      </c>
      <c r="B195" s="22" t="s">
        <v>176</v>
      </c>
      <c r="C195" s="22" t="s">
        <v>330</v>
      </c>
      <c r="D195" s="22" t="s">
        <v>54</v>
      </c>
      <c r="E195" s="25">
        <v>0</v>
      </c>
      <c r="F195" s="25">
        <v>0</v>
      </c>
    </row>
    <row r="196" spans="1:6">
      <c r="A196" t="str">
        <f>IFERROR(VLOOKUP(B196,[1]銷貨單品號主檔!$A:$D,4,0),"學習周邊")</f>
        <v>學習周邊</v>
      </c>
      <c r="B196" s="22" t="s">
        <v>176</v>
      </c>
      <c r="C196" s="22" t="s">
        <v>331</v>
      </c>
      <c r="D196" s="22" t="s">
        <v>54</v>
      </c>
      <c r="E196" s="25">
        <v>0</v>
      </c>
      <c r="F196" s="25">
        <v>0</v>
      </c>
    </row>
    <row r="197" spans="1:6">
      <c r="A197" t="str">
        <f>IFERROR(VLOOKUP(B197,[1]銷貨單品號主檔!$A:$D,4,0),"學習周邊")</f>
        <v>學習周邊</v>
      </c>
      <c r="B197" s="22" t="s">
        <v>176</v>
      </c>
      <c r="C197" s="22" t="s">
        <v>349</v>
      </c>
      <c r="D197" s="22" t="s">
        <v>54</v>
      </c>
      <c r="E197" s="25">
        <v>0</v>
      </c>
      <c r="F197" s="25">
        <v>0</v>
      </c>
    </row>
    <row r="198" spans="1:6">
      <c r="A198" t="str">
        <f>IFERROR(VLOOKUP(B198,[1]銷貨單品號主檔!$A:$D,4,0),"學習周邊")</f>
        <v>學習周邊</v>
      </c>
      <c r="B198" s="22" t="s">
        <v>176</v>
      </c>
      <c r="C198" s="22" t="s">
        <v>354</v>
      </c>
      <c r="D198" s="22" t="s">
        <v>54</v>
      </c>
      <c r="E198" s="25">
        <v>0</v>
      </c>
      <c r="F198" s="25">
        <v>0</v>
      </c>
    </row>
    <row r="199" spans="1:6">
      <c r="A199" t="str">
        <f>IFERROR(VLOOKUP(B199,[1]銷貨單品號主檔!$A:$D,4,0),"學習周邊")</f>
        <v>學習周邊</v>
      </c>
      <c r="B199" s="22" t="s">
        <v>177</v>
      </c>
      <c r="C199" s="22" t="s">
        <v>66</v>
      </c>
      <c r="D199" s="22" t="s">
        <v>54</v>
      </c>
      <c r="E199" s="25">
        <v>0</v>
      </c>
      <c r="F199" s="25">
        <v>0</v>
      </c>
    </row>
    <row r="200" spans="1:6">
      <c r="A200" t="str">
        <f>IFERROR(VLOOKUP(B200,[1]銷貨單品號主檔!$A:$D,4,0),"學習周邊")</f>
        <v>學習周邊</v>
      </c>
      <c r="B200" s="22" t="s">
        <v>177</v>
      </c>
      <c r="C200" s="22" t="s">
        <v>107</v>
      </c>
      <c r="D200" s="22" t="s">
        <v>54</v>
      </c>
      <c r="E200" s="25">
        <v>0</v>
      </c>
      <c r="F200" s="25">
        <v>0</v>
      </c>
    </row>
    <row r="201" spans="1:6">
      <c r="A201" t="str">
        <f>IFERROR(VLOOKUP(B201,[1]銷貨單品號主檔!$A:$D,4,0),"學習周邊")</f>
        <v>學習周邊</v>
      </c>
      <c r="B201" s="22" t="s">
        <v>177</v>
      </c>
      <c r="C201" s="22" t="s">
        <v>72</v>
      </c>
      <c r="D201" s="22" t="s">
        <v>54</v>
      </c>
      <c r="E201" s="25">
        <v>0</v>
      </c>
      <c r="F201" s="25">
        <v>0</v>
      </c>
    </row>
    <row r="202" spans="1:6">
      <c r="A202" t="str">
        <f>IFERROR(VLOOKUP(B202,[1]銷貨單品號主檔!$A:$D,4,0),"學習周邊")</f>
        <v>學習周邊</v>
      </c>
      <c r="B202" s="22" t="s">
        <v>177</v>
      </c>
      <c r="C202" s="22" t="s">
        <v>76</v>
      </c>
      <c r="D202" s="22" t="s">
        <v>54</v>
      </c>
      <c r="E202" s="25">
        <v>0</v>
      </c>
      <c r="F202" s="25">
        <v>0</v>
      </c>
    </row>
    <row r="203" spans="1:6">
      <c r="A203" t="str">
        <f>IFERROR(VLOOKUP(B203,[1]銷貨單品號主檔!$A:$D,4,0),"學習周邊")</f>
        <v>學習周邊</v>
      </c>
      <c r="B203" s="22" t="s">
        <v>177</v>
      </c>
      <c r="C203" s="22" t="s">
        <v>78</v>
      </c>
      <c r="D203" s="22" t="s">
        <v>54</v>
      </c>
      <c r="E203" s="25">
        <v>0</v>
      </c>
      <c r="F203" s="25">
        <v>0</v>
      </c>
    </row>
    <row r="204" spans="1:6">
      <c r="A204" t="str">
        <f>IFERROR(VLOOKUP(B204,[1]銷貨單品號主檔!$A:$D,4,0),"學習周邊")</f>
        <v>學習周邊</v>
      </c>
      <c r="B204" s="22" t="s">
        <v>177</v>
      </c>
      <c r="C204" s="22" t="s">
        <v>85</v>
      </c>
      <c r="D204" s="22" t="s">
        <v>54</v>
      </c>
      <c r="E204" s="25">
        <v>0</v>
      </c>
      <c r="F204" s="25">
        <v>0</v>
      </c>
    </row>
    <row r="205" spans="1:6">
      <c r="A205" t="str">
        <f>IFERROR(VLOOKUP(B205,[1]銷貨單品號主檔!$A:$D,4,0),"學習周邊")</f>
        <v>學習周邊</v>
      </c>
      <c r="B205" s="22" t="s">
        <v>177</v>
      </c>
      <c r="C205" s="22" t="s">
        <v>87</v>
      </c>
      <c r="D205" s="22" t="s">
        <v>54</v>
      </c>
      <c r="E205" s="25">
        <v>0</v>
      </c>
      <c r="F205" s="25">
        <v>0</v>
      </c>
    </row>
    <row r="206" spans="1:6">
      <c r="A206" t="str">
        <f>IFERROR(VLOOKUP(B206,[1]銷貨單品號主檔!$A:$D,4,0),"學習周邊")</f>
        <v>學習周邊</v>
      </c>
      <c r="B206" s="22" t="s">
        <v>121</v>
      </c>
      <c r="C206" s="22" t="s">
        <v>66</v>
      </c>
      <c r="D206" s="22" t="s">
        <v>54</v>
      </c>
      <c r="E206" s="25">
        <v>0</v>
      </c>
      <c r="F206" s="25">
        <v>0</v>
      </c>
    </row>
    <row r="207" spans="1:6">
      <c r="A207" t="str">
        <f>IFERROR(VLOOKUP(B207,[1]銷貨單品號主檔!$A:$D,4,0),"學習周邊")</f>
        <v>學習周邊</v>
      </c>
      <c r="B207" s="22" t="s">
        <v>121</v>
      </c>
      <c r="C207" s="22" t="s">
        <v>76</v>
      </c>
      <c r="D207" s="22" t="s">
        <v>54</v>
      </c>
      <c r="E207" s="25">
        <v>0</v>
      </c>
      <c r="F207" s="25">
        <v>0</v>
      </c>
    </row>
    <row r="208" spans="1:6">
      <c r="A208" t="str">
        <f>IFERROR(VLOOKUP(B208,[1]銷貨單品號主檔!$A:$D,4,0),"學習周邊")</f>
        <v>學習周邊</v>
      </c>
      <c r="B208" s="22" t="s">
        <v>121</v>
      </c>
      <c r="C208" s="22" t="s">
        <v>83</v>
      </c>
      <c r="D208" s="22" t="s">
        <v>54</v>
      </c>
      <c r="E208" s="25">
        <v>0</v>
      </c>
      <c r="F208" s="25">
        <v>0</v>
      </c>
    </row>
    <row r="209" spans="1:6">
      <c r="A209" t="str">
        <f>IFERROR(VLOOKUP(B209,[1]銷貨單品號主檔!$A:$D,4,0),"學習周邊")</f>
        <v>學習周邊</v>
      </c>
      <c r="B209" s="22" t="s">
        <v>121</v>
      </c>
      <c r="C209" s="22" t="s">
        <v>85</v>
      </c>
      <c r="D209" s="22" t="s">
        <v>54</v>
      </c>
      <c r="E209" s="25">
        <v>0</v>
      </c>
      <c r="F209" s="25">
        <v>0</v>
      </c>
    </row>
    <row r="210" spans="1:6">
      <c r="A210" t="str">
        <f>IFERROR(VLOOKUP(B210,[1]銷貨單品號主檔!$A:$D,4,0),"學習周邊")</f>
        <v>學習周邊</v>
      </c>
      <c r="B210" s="22" t="s">
        <v>121</v>
      </c>
      <c r="C210" s="22" t="s">
        <v>87</v>
      </c>
      <c r="D210" s="22" t="s">
        <v>54</v>
      </c>
      <c r="E210" s="25">
        <v>0</v>
      </c>
      <c r="F210" s="25">
        <v>0</v>
      </c>
    </row>
    <row r="211" spans="1:6">
      <c r="A211" t="str">
        <f>IFERROR(VLOOKUP(B211,[1]銷貨單品號主檔!$A:$D,4,0),"學習周邊")</f>
        <v>學習周邊</v>
      </c>
      <c r="B211" s="22" t="s">
        <v>183</v>
      </c>
      <c r="C211" s="22" t="s">
        <v>66</v>
      </c>
      <c r="D211" s="22" t="s">
        <v>54</v>
      </c>
      <c r="E211" s="25">
        <v>0</v>
      </c>
      <c r="F211" s="25">
        <v>0</v>
      </c>
    </row>
    <row r="212" spans="1:6">
      <c r="A212" t="str">
        <f>IFERROR(VLOOKUP(B212,[1]銷貨單品號主檔!$A:$D,4,0),"學習周邊")</f>
        <v>學習周邊</v>
      </c>
      <c r="B212" s="22" t="s">
        <v>184</v>
      </c>
      <c r="C212" s="22" t="s">
        <v>66</v>
      </c>
      <c r="D212" s="22" t="s">
        <v>54</v>
      </c>
      <c r="E212" s="25">
        <v>0</v>
      </c>
      <c r="F212" s="25">
        <v>0</v>
      </c>
    </row>
    <row r="213" spans="1:6">
      <c r="A213" t="str">
        <f>IFERROR(VLOOKUP(B213,[1]銷貨單品號主檔!$A:$D,4,0),"學習周邊")</f>
        <v>學習周邊</v>
      </c>
      <c r="B213" s="22" t="s">
        <v>184</v>
      </c>
      <c r="C213" s="22" t="s">
        <v>107</v>
      </c>
      <c r="D213" s="22" t="s">
        <v>54</v>
      </c>
      <c r="E213" s="25">
        <v>0</v>
      </c>
      <c r="F213" s="25">
        <v>0</v>
      </c>
    </row>
    <row r="214" spans="1:6">
      <c r="A214" t="str">
        <f>IFERROR(VLOOKUP(B214,[1]銷貨單品號主檔!$A:$D,4,0),"學習周邊")</f>
        <v>學習周邊</v>
      </c>
      <c r="B214" s="22" t="s">
        <v>184</v>
      </c>
      <c r="C214" s="22" t="s">
        <v>72</v>
      </c>
      <c r="D214" s="22" t="s">
        <v>54</v>
      </c>
      <c r="E214" s="25">
        <v>0</v>
      </c>
      <c r="F214" s="25">
        <v>0</v>
      </c>
    </row>
    <row r="215" spans="1:6">
      <c r="A215" t="str">
        <f>IFERROR(VLOOKUP(B215,[1]銷貨單品號主檔!$A:$D,4,0),"學習周邊")</f>
        <v>學習周邊</v>
      </c>
      <c r="B215" s="22" t="s">
        <v>184</v>
      </c>
      <c r="C215" s="22" t="s">
        <v>76</v>
      </c>
      <c r="D215" s="22" t="s">
        <v>54</v>
      </c>
      <c r="E215" s="25">
        <v>0</v>
      </c>
      <c r="F215" s="25">
        <v>0</v>
      </c>
    </row>
    <row r="216" spans="1:6">
      <c r="A216" t="str">
        <f>IFERROR(VLOOKUP(B216,[1]銷貨單品號主檔!$A:$D,4,0),"學習周邊")</f>
        <v>學習周邊</v>
      </c>
      <c r="B216" s="22" t="s">
        <v>184</v>
      </c>
      <c r="C216" s="22" t="s">
        <v>78</v>
      </c>
      <c r="D216" s="22" t="s">
        <v>54</v>
      </c>
      <c r="E216" s="25">
        <v>0</v>
      </c>
      <c r="F216" s="25">
        <v>0</v>
      </c>
    </row>
    <row r="217" spans="1:6">
      <c r="A217" t="str">
        <f>IFERROR(VLOOKUP(B217,[1]銷貨單品號主檔!$A:$D,4,0),"學習周邊")</f>
        <v>學習周邊</v>
      </c>
      <c r="B217" s="22" t="s">
        <v>184</v>
      </c>
      <c r="C217" s="22" t="s">
        <v>81</v>
      </c>
      <c r="D217" s="22" t="s">
        <v>54</v>
      </c>
      <c r="E217" s="25">
        <v>0</v>
      </c>
      <c r="F217" s="25">
        <v>0</v>
      </c>
    </row>
    <row r="218" spans="1:6">
      <c r="A218" t="str">
        <f>IFERROR(VLOOKUP(B218,[1]銷貨單品號主檔!$A:$D,4,0),"學習周邊")</f>
        <v>學習周邊</v>
      </c>
      <c r="B218" s="22" t="s">
        <v>184</v>
      </c>
      <c r="C218" s="22" t="s">
        <v>83</v>
      </c>
      <c r="D218" s="22" t="s">
        <v>54</v>
      </c>
      <c r="E218" s="25">
        <v>0</v>
      </c>
      <c r="F218" s="25">
        <v>0</v>
      </c>
    </row>
    <row r="219" spans="1:6">
      <c r="A219" t="str">
        <f>IFERROR(VLOOKUP(B219,[1]銷貨單品號主檔!$A:$D,4,0),"學習周邊")</f>
        <v>學習周邊</v>
      </c>
      <c r="B219" s="22" t="s">
        <v>184</v>
      </c>
      <c r="C219" s="22" t="s">
        <v>85</v>
      </c>
      <c r="D219" s="22" t="s">
        <v>54</v>
      </c>
      <c r="E219" s="25">
        <v>0</v>
      </c>
      <c r="F219" s="25">
        <v>0</v>
      </c>
    </row>
    <row r="220" spans="1:6">
      <c r="A220" t="str">
        <f>IFERROR(VLOOKUP(B220,[1]銷貨單品號主檔!$A:$D,4,0),"學習周邊")</f>
        <v>學習周邊</v>
      </c>
      <c r="B220" s="22" t="s">
        <v>184</v>
      </c>
      <c r="C220" s="22" t="s">
        <v>87</v>
      </c>
      <c r="D220" s="22" t="s">
        <v>54</v>
      </c>
      <c r="E220" s="25">
        <v>0</v>
      </c>
      <c r="F220" s="25">
        <v>0</v>
      </c>
    </row>
    <row r="221" spans="1:6">
      <c r="A221" t="str">
        <f>IFERROR(VLOOKUP(B221,[1]銷貨單品號主檔!$A:$D,4,0),"學習周邊")</f>
        <v>學習周邊</v>
      </c>
      <c r="B221" s="22" t="s">
        <v>184</v>
      </c>
      <c r="C221" s="22" t="s">
        <v>92</v>
      </c>
      <c r="D221" s="22" t="s">
        <v>54</v>
      </c>
      <c r="E221" s="25">
        <v>0</v>
      </c>
      <c r="F221" s="25">
        <v>0</v>
      </c>
    </row>
    <row r="222" spans="1:6">
      <c r="A222" t="str">
        <f>IFERROR(VLOOKUP(B222,[1]銷貨單品號主檔!$A:$D,4,0),"學習周邊")</f>
        <v>學習周邊</v>
      </c>
      <c r="B222" s="22" t="s">
        <v>192</v>
      </c>
      <c r="C222" s="22" t="s">
        <v>90</v>
      </c>
      <c r="D222" s="22" t="s">
        <v>54</v>
      </c>
      <c r="E222" s="25">
        <v>0</v>
      </c>
      <c r="F222" s="25">
        <v>0</v>
      </c>
    </row>
    <row r="223" spans="1:6">
      <c r="A223" t="str">
        <f>IFERROR(VLOOKUP(B223,[1]銷貨單品號主檔!$A:$D,4,0),"學習周邊")</f>
        <v>生活周邊</v>
      </c>
      <c r="B223" s="22" t="s">
        <v>193</v>
      </c>
      <c r="C223" s="22" t="s">
        <v>108</v>
      </c>
      <c r="D223" s="22" t="s">
        <v>54</v>
      </c>
      <c r="E223" s="25">
        <v>1</v>
      </c>
      <c r="F223" s="25">
        <v>284.76190476190476</v>
      </c>
    </row>
    <row r="224" spans="1:6">
      <c r="A224" t="str">
        <f>IFERROR(VLOOKUP(B224,[1]銷貨單品號主檔!$A:$D,4,0),"學習周邊")</f>
        <v>生活周邊</v>
      </c>
      <c r="B224" s="22" t="s">
        <v>194</v>
      </c>
      <c r="C224" s="22" t="s">
        <v>67</v>
      </c>
      <c r="D224" s="22" t="s">
        <v>54</v>
      </c>
      <c r="E224" s="25">
        <v>1</v>
      </c>
      <c r="F224" s="25">
        <v>227.61904761904762</v>
      </c>
    </row>
    <row r="225" spans="1:6">
      <c r="A225" t="str">
        <f>IFERROR(VLOOKUP(B225,[1]銷貨單品號主檔!$A:$D,4,0),"學習周邊")</f>
        <v>生活周邊</v>
      </c>
      <c r="B225" s="22" t="s">
        <v>194</v>
      </c>
      <c r="C225" s="22" t="s">
        <v>85</v>
      </c>
      <c r="D225" s="22" t="s">
        <v>54</v>
      </c>
      <c r="E225" s="25">
        <v>1</v>
      </c>
      <c r="F225" s="25">
        <v>227.61904761904762</v>
      </c>
    </row>
    <row r="226" spans="1:6">
      <c r="A226" t="str">
        <f>IFERROR(VLOOKUP(B226,[1]銷貨單品號主檔!$A:$D,4,0),"學習周邊")</f>
        <v>生活周邊</v>
      </c>
      <c r="B226" s="22" t="s">
        <v>198</v>
      </c>
      <c r="C226" s="22" t="s">
        <v>65</v>
      </c>
      <c r="D226" s="22" t="s">
        <v>54</v>
      </c>
      <c r="E226" s="25">
        <v>1</v>
      </c>
      <c r="F226" s="25">
        <v>500</v>
      </c>
    </row>
    <row r="227" spans="1:6">
      <c r="A227" t="str">
        <f>IFERROR(VLOOKUP(B227,[1]銷貨單品號主檔!$A:$D,4,0),"學習周邊")</f>
        <v>生活周邊</v>
      </c>
      <c r="B227" s="22" t="s">
        <v>198</v>
      </c>
      <c r="C227" s="22" t="s">
        <v>81</v>
      </c>
      <c r="D227" s="22" t="s">
        <v>54</v>
      </c>
      <c r="E227" s="25">
        <v>2</v>
      </c>
      <c r="F227" s="25">
        <v>1000</v>
      </c>
    </row>
    <row r="228" spans="1:6">
      <c r="A228" t="str">
        <f>IFERROR(VLOOKUP(B228,[1]銷貨單品號主檔!$A:$D,4,0),"學習周邊")</f>
        <v>生活周邊</v>
      </c>
      <c r="B228" s="22" t="s">
        <v>198</v>
      </c>
      <c r="C228" s="22" t="s">
        <v>88</v>
      </c>
      <c r="D228" s="22" t="s">
        <v>54</v>
      </c>
      <c r="E228" s="25">
        <v>1</v>
      </c>
      <c r="F228" s="25">
        <v>500</v>
      </c>
    </row>
    <row r="229" spans="1:6">
      <c r="A229" t="str">
        <f>IFERROR(VLOOKUP(B229,[1]銷貨單品號主檔!$A:$D,4,0),"學習周邊")</f>
        <v>生活周邊</v>
      </c>
      <c r="B229" s="22" t="s">
        <v>200</v>
      </c>
      <c r="C229" s="22" t="s">
        <v>62</v>
      </c>
      <c r="D229" s="22" t="s">
        <v>54</v>
      </c>
      <c r="E229" s="25">
        <v>1</v>
      </c>
      <c r="F229" s="25">
        <v>240</v>
      </c>
    </row>
    <row r="230" spans="1:6">
      <c r="A230" t="str">
        <f>IFERROR(VLOOKUP(B230,[1]銷貨單品號主檔!$A:$D,4,0),"學習周邊")</f>
        <v>生活周邊</v>
      </c>
      <c r="B230" s="22" t="s">
        <v>200</v>
      </c>
      <c r="C230" s="22" t="s">
        <v>76</v>
      </c>
      <c r="D230" s="22" t="s">
        <v>54</v>
      </c>
      <c r="E230" s="25">
        <v>1</v>
      </c>
      <c r="F230" s="25">
        <v>240</v>
      </c>
    </row>
    <row r="231" spans="1:6">
      <c r="A231" t="str">
        <f>IFERROR(VLOOKUP(B231,[1]銷貨單品號主檔!$A:$D,4,0),"學習周邊")</f>
        <v>生活周邊</v>
      </c>
      <c r="B231" s="22" t="s">
        <v>200</v>
      </c>
      <c r="C231" s="22" t="s">
        <v>85</v>
      </c>
      <c r="D231" s="22" t="s">
        <v>54</v>
      </c>
      <c r="E231" s="25">
        <v>1</v>
      </c>
      <c r="F231" s="25">
        <v>240</v>
      </c>
    </row>
    <row r="232" spans="1:6">
      <c r="A232" t="str">
        <f>IFERROR(VLOOKUP(B232,[1]銷貨單品號主檔!$A:$D,4,0),"學習周邊")</f>
        <v>生活周邊</v>
      </c>
      <c r="B232" s="22" t="s">
        <v>200</v>
      </c>
      <c r="C232" s="22" t="s">
        <v>328</v>
      </c>
      <c r="D232" s="22" t="s">
        <v>54</v>
      </c>
      <c r="E232" s="25">
        <v>1</v>
      </c>
      <c r="F232" s="25">
        <v>240</v>
      </c>
    </row>
    <row r="233" spans="1:6">
      <c r="A233" t="str">
        <f>IFERROR(VLOOKUP(B233,[1]銷貨單品號主檔!$A:$D,4,0),"學習周邊")</f>
        <v>生活周邊</v>
      </c>
      <c r="B233" s="22" t="s">
        <v>200</v>
      </c>
      <c r="C233" s="22" t="s">
        <v>331</v>
      </c>
      <c r="D233" s="22" t="s">
        <v>54</v>
      </c>
      <c r="E233" s="25">
        <v>1</v>
      </c>
      <c r="F233" s="25">
        <v>240</v>
      </c>
    </row>
    <row r="234" spans="1:6">
      <c r="A234" t="str">
        <f>IFERROR(VLOOKUP(B234,[1]銷貨單品號主檔!$A:$D,4,0),"學習周邊")</f>
        <v>生活周邊</v>
      </c>
      <c r="B234" s="22" t="s">
        <v>200</v>
      </c>
      <c r="C234" s="22" t="s">
        <v>354</v>
      </c>
      <c r="D234" s="22" t="s">
        <v>54</v>
      </c>
      <c r="E234" s="25">
        <v>1</v>
      </c>
      <c r="F234" s="25">
        <v>240</v>
      </c>
    </row>
    <row r="235" spans="1:6">
      <c r="A235" t="str">
        <f>IFERROR(VLOOKUP(B235,[1]銷貨單品號主檔!$A:$D,4,0),"學習周邊")</f>
        <v>生活周邊</v>
      </c>
      <c r="B235" s="22" t="s">
        <v>202</v>
      </c>
      <c r="C235" s="22" t="s">
        <v>53</v>
      </c>
      <c r="D235" s="22" t="s">
        <v>54</v>
      </c>
      <c r="E235" s="25">
        <v>1</v>
      </c>
      <c r="F235" s="25">
        <v>240</v>
      </c>
    </row>
    <row r="236" spans="1:6">
      <c r="A236" t="str">
        <f>IFERROR(VLOOKUP(B236,[1]銷貨單品號主檔!$A:$D,4,0),"學習周邊")</f>
        <v>生活周邊</v>
      </c>
      <c r="B236" s="22" t="s">
        <v>204</v>
      </c>
      <c r="C236" s="22" t="s">
        <v>87</v>
      </c>
      <c r="D236" s="22" t="s">
        <v>54</v>
      </c>
      <c r="E236" s="25">
        <v>1</v>
      </c>
      <c r="F236" s="25">
        <v>240</v>
      </c>
    </row>
    <row r="237" spans="1:6">
      <c r="A237" t="str">
        <f>IFERROR(VLOOKUP(B237,[1]銷貨單品號主檔!$A:$D,4,0),"學習周邊")</f>
        <v>生活周邊</v>
      </c>
      <c r="B237" s="22" t="s">
        <v>205</v>
      </c>
      <c r="C237" s="22" t="s">
        <v>60</v>
      </c>
      <c r="D237" s="22" t="s">
        <v>54</v>
      </c>
      <c r="E237" s="25">
        <v>1</v>
      </c>
      <c r="F237" s="25">
        <v>340</v>
      </c>
    </row>
    <row r="238" spans="1:6">
      <c r="A238" t="str">
        <f>IFERROR(VLOOKUP(B238,[1]銷貨單品號主檔!$A:$D,4,0),"學習周邊")</f>
        <v>生活周邊</v>
      </c>
      <c r="B238" s="22" t="s">
        <v>205</v>
      </c>
      <c r="C238" s="22" t="s">
        <v>76</v>
      </c>
      <c r="D238" s="22" t="s">
        <v>54</v>
      </c>
      <c r="E238" s="25">
        <v>1</v>
      </c>
      <c r="F238" s="25">
        <v>340</v>
      </c>
    </row>
    <row r="239" spans="1:6">
      <c r="A239" t="str">
        <f>IFERROR(VLOOKUP(B239,[1]銷貨單品號主檔!$A:$D,4,0),"學習周邊")</f>
        <v>生活周邊</v>
      </c>
      <c r="B239" s="22" t="s">
        <v>207</v>
      </c>
      <c r="C239" s="22" t="s">
        <v>65</v>
      </c>
      <c r="D239" s="22" t="s">
        <v>54</v>
      </c>
      <c r="E239" s="25">
        <v>1</v>
      </c>
      <c r="F239" s="25">
        <v>138.0952380952381</v>
      </c>
    </row>
    <row r="240" spans="1:6">
      <c r="A240" t="str">
        <f>IFERROR(VLOOKUP(B240,[1]銷貨單品號主檔!$A:$D,4,0),"學習周邊")</f>
        <v>生活周邊</v>
      </c>
      <c r="B240" s="22" t="s">
        <v>207</v>
      </c>
      <c r="C240" s="22" t="s">
        <v>76</v>
      </c>
      <c r="D240" s="22" t="s">
        <v>54</v>
      </c>
      <c r="E240" s="25">
        <v>1</v>
      </c>
      <c r="F240" s="25">
        <v>138.0952380952381</v>
      </c>
    </row>
    <row r="241" spans="1:6">
      <c r="A241" t="str">
        <f>IFERROR(VLOOKUP(B241,[1]銷貨單品號主檔!$A:$D,4,0),"學習周邊")</f>
        <v>生活周邊</v>
      </c>
      <c r="B241" s="22" t="s">
        <v>207</v>
      </c>
      <c r="C241" s="22" t="s">
        <v>108</v>
      </c>
      <c r="D241" s="22" t="s">
        <v>54</v>
      </c>
      <c r="E241" s="25">
        <v>2</v>
      </c>
      <c r="F241" s="25">
        <v>276.1904761904762</v>
      </c>
    </row>
    <row r="242" spans="1:6">
      <c r="A242" t="str">
        <f>IFERROR(VLOOKUP(B242,[1]銷貨單品號主檔!$A:$D,4,0),"學習周邊")</f>
        <v>生活周邊</v>
      </c>
      <c r="B242" s="22" t="s">
        <v>209</v>
      </c>
      <c r="C242" s="22" t="s">
        <v>108</v>
      </c>
      <c r="D242" s="22" t="s">
        <v>54</v>
      </c>
      <c r="E242" s="25">
        <v>1</v>
      </c>
      <c r="F242" s="25">
        <v>138.0952380952381</v>
      </c>
    </row>
    <row r="243" spans="1:6">
      <c r="A243" t="str">
        <f>IFERROR(VLOOKUP(B243,[1]銷貨單品號主檔!$A:$D,4,0),"學習周邊")</f>
        <v>生活周邊</v>
      </c>
      <c r="B243" s="22" t="s">
        <v>212</v>
      </c>
      <c r="C243" s="22" t="s">
        <v>81</v>
      </c>
      <c r="D243" s="22" t="s">
        <v>54</v>
      </c>
      <c r="E243" s="25">
        <v>1</v>
      </c>
      <c r="F243" s="25">
        <v>260</v>
      </c>
    </row>
    <row r="244" spans="1:6">
      <c r="A244" t="str">
        <f>IFERROR(VLOOKUP(B244,[1]銷貨單品號主檔!$A:$D,4,0),"學習周邊")</f>
        <v>生活周邊</v>
      </c>
      <c r="B244" s="22" t="s">
        <v>212</v>
      </c>
      <c r="C244" s="22" t="s">
        <v>85</v>
      </c>
      <c r="D244" s="22" t="s">
        <v>54</v>
      </c>
      <c r="E244" s="25">
        <v>1</v>
      </c>
      <c r="F244" s="25">
        <v>260</v>
      </c>
    </row>
    <row r="245" spans="1:6">
      <c r="A245" t="str">
        <f>IFERROR(VLOOKUP(B245,[1]銷貨單品號主檔!$A:$D,4,0),"學習周邊")</f>
        <v>生活周邊</v>
      </c>
      <c r="B245" s="22" t="s">
        <v>212</v>
      </c>
      <c r="C245" s="22" t="s">
        <v>53</v>
      </c>
      <c r="D245" s="22" t="s">
        <v>54</v>
      </c>
      <c r="E245" s="25">
        <v>1</v>
      </c>
      <c r="F245" s="25">
        <v>260</v>
      </c>
    </row>
    <row r="246" spans="1:6">
      <c r="A246" t="str">
        <f>IFERROR(VLOOKUP(B246,[1]銷貨單品號主檔!$A:$D,4,0),"學習周邊")</f>
        <v>生活周邊</v>
      </c>
      <c r="B246" s="22" t="s">
        <v>212</v>
      </c>
      <c r="C246" s="22" t="s">
        <v>353</v>
      </c>
      <c r="D246" s="22" t="s">
        <v>54</v>
      </c>
      <c r="E246" s="25">
        <v>1</v>
      </c>
      <c r="F246" s="25">
        <v>260</v>
      </c>
    </row>
    <row r="247" spans="1:6">
      <c r="A247" t="str">
        <f>IFERROR(VLOOKUP(B247,[1]銷貨單品號主檔!$A:$D,4,0),"學習周邊")</f>
        <v>生活周邊</v>
      </c>
      <c r="B247" s="22" t="s">
        <v>213</v>
      </c>
      <c r="C247" s="22" t="s">
        <v>67</v>
      </c>
      <c r="D247" s="22" t="s">
        <v>54</v>
      </c>
      <c r="E247" s="25">
        <v>1</v>
      </c>
      <c r="F247" s="25">
        <v>284.76190476190476</v>
      </c>
    </row>
    <row r="248" spans="1:6">
      <c r="A248" t="str">
        <f>IFERROR(VLOOKUP(B248,[1]銷貨單品號主檔!$A:$D,4,0),"學習周邊")</f>
        <v>生活周邊</v>
      </c>
      <c r="B248" s="22" t="s">
        <v>213</v>
      </c>
      <c r="C248" s="22" t="s">
        <v>81</v>
      </c>
      <c r="D248" s="22" t="s">
        <v>54</v>
      </c>
      <c r="E248" s="25">
        <v>1</v>
      </c>
      <c r="F248" s="25">
        <v>284.76190476190476</v>
      </c>
    </row>
    <row r="249" spans="1:6">
      <c r="A249" t="str">
        <f>IFERROR(VLOOKUP(B249,[1]銷貨單品號主檔!$A:$D,4,0),"學習周邊")</f>
        <v>生活周邊</v>
      </c>
      <c r="B249" s="22" t="s">
        <v>213</v>
      </c>
      <c r="C249" s="22" t="s">
        <v>328</v>
      </c>
      <c r="D249" s="22" t="s">
        <v>54</v>
      </c>
      <c r="E249" s="25">
        <v>1</v>
      </c>
      <c r="F249" s="25">
        <v>227.61904761904762</v>
      </c>
    </row>
    <row r="250" spans="1:6">
      <c r="A250" t="str">
        <f>IFERROR(VLOOKUP(B250,[1]銷貨單品號主檔!$A:$D,4,0),"學習周邊")</f>
        <v>生活周邊</v>
      </c>
      <c r="B250" s="22" t="s">
        <v>213</v>
      </c>
      <c r="C250" s="22" t="s">
        <v>330</v>
      </c>
      <c r="D250" s="22" t="s">
        <v>54</v>
      </c>
      <c r="E250" s="25">
        <v>1</v>
      </c>
      <c r="F250" s="25">
        <v>284.76190476190476</v>
      </c>
    </row>
    <row r="251" spans="1:6">
      <c r="A251" t="str">
        <f>IFERROR(VLOOKUP(B251,[1]銷貨單品號主檔!$A:$D,4,0),"學習周邊")</f>
        <v>學習周邊</v>
      </c>
      <c r="B251" s="22" t="s">
        <v>215</v>
      </c>
      <c r="C251" s="22" t="s">
        <v>56</v>
      </c>
      <c r="D251" s="22" t="s">
        <v>54</v>
      </c>
      <c r="E251" s="25">
        <v>0</v>
      </c>
      <c r="F251" s="25">
        <v>0</v>
      </c>
    </row>
    <row r="252" spans="1:6">
      <c r="A252" t="str">
        <f>IFERROR(VLOOKUP(B252,[1]銷貨單品號主檔!$A:$D,4,0),"學習周邊")</f>
        <v>學習周邊</v>
      </c>
      <c r="B252" s="22" t="s">
        <v>215</v>
      </c>
      <c r="C252" s="22" t="s">
        <v>62</v>
      </c>
      <c r="D252" s="22" t="s">
        <v>54</v>
      </c>
      <c r="E252" s="25">
        <v>0</v>
      </c>
      <c r="F252" s="25">
        <v>0</v>
      </c>
    </row>
    <row r="253" spans="1:6">
      <c r="A253" t="str">
        <f>IFERROR(VLOOKUP(B253,[1]銷貨單品號主檔!$A:$D,4,0),"學習周邊")</f>
        <v>學習周邊</v>
      </c>
      <c r="B253" s="22" t="s">
        <v>215</v>
      </c>
      <c r="C253" s="22" t="s">
        <v>59</v>
      </c>
      <c r="D253" s="22" t="s">
        <v>54</v>
      </c>
      <c r="E253" s="25">
        <v>0</v>
      </c>
      <c r="F253" s="25">
        <v>0</v>
      </c>
    </row>
    <row r="254" spans="1:6">
      <c r="A254" t="str">
        <f>IFERROR(VLOOKUP(B254,[1]銷貨單品號主檔!$A:$D,4,0),"學習周邊")</f>
        <v>學習周邊</v>
      </c>
      <c r="B254" s="22" t="s">
        <v>215</v>
      </c>
      <c r="C254" s="22" t="s">
        <v>66</v>
      </c>
      <c r="D254" s="22" t="s">
        <v>54</v>
      </c>
      <c r="E254" s="25">
        <v>0</v>
      </c>
      <c r="F254" s="25">
        <v>0</v>
      </c>
    </row>
    <row r="255" spans="1:6">
      <c r="A255" t="str">
        <f>IFERROR(VLOOKUP(B255,[1]銷貨單品號主檔!$A:$D,4,0),"學習周邊")</f>
        <v>學習周邊</v>
      </c>
      <c r="B255" s="22" t="s">
        <v>215</v>
      </c>
      <c r="C255" s="22" t="s">
        <v>72</v>
      </c>
      <c r="D255" s="22" t="s">
        <v>54</v>
      </c>
      <c r="E255" s="25">
        <v>0</v>
      </c>
      <c r="F255" s="25">
        <v>0</v>
      </c>
    </row>
    <row r="256" spans="1:6">
      <c r="A256" t="str">
        <f>IFERROR(VLOOKUP(B256,[1]銷貨單品號主檔!$A:$D,4,0),"學習周邊")</f>
        <v>學習周邊</v>
      </c>
      <c r="B256" s="22" t="s">
        <v>215</v>
      </c>
      <c r="C256" s="22" t="s">
        <v>76</v>
      </c>
      <c r="D256" s="22" t="s">
        <v>54</v>
      </c>
      <c r="E256" s="25">
        <v>0</v>
      </c>
      <c r="F256" s="25">
        <v>0</v>
      </c>
    </row>
    <row r="257" spans="1:6">
      <c r="A257" t="str">
        <f>IFERROR(VLOOKUP(B257,[1]銷貨單品號主檔!$A:$D,4,0),"學習周邊")</f>
        <v>學習周邊</v>
      </c>
      <c r="B257" s="22" t="s">
        <v>215</v>
      </c>
      <c r="C257" s="22" t="s">
        <v>78</v>
      </c>
      <c r="D257" s="22" t="s">
        <v>54</v>
      </c>
      <c r="E257" s="25">
        <v>0</v>
      </c>
      <c r="F257" s="25">
        <v>0</v>
      </c>
    </row>
    <row r="258" spans="1:6">
      <c r="A258" t="str">
        <f>IFERROR(VLOOKUP(B258,[1]銷貨單品號主檔!$A:$D,4,0),"學習周邊")</f>
        <v>學習周邊</v>
      </c>
      <c r="B258" s="22" t="s">
        <v>215</v>
      </c>
      <c r="C258" s="22" t="s">
        <v>81</v>
      </c>
      <c r="D258" s="22" t="s">
        <v>54</v>
      </c>
      <c r="E258" s="25">
        <v>0</v>
      </c>
      <c r="F258" s="25">
        <v>0</v>
      </c>
    </row>
    <row r="259" spans="1:6">
      <c r="A259" t="str">
        <f>IFERROR(VLOOKUP(B259,[1]銷貨單品號主檔!$A:$D,4,0),"學習周邊")</f>
        <v>學習周邊</v>
      </c>
      <c r="B259" s="22" t="s">
        <v>215</v>
      </c>
      <c r="C259" s="22" t="s">
        <v>83</v>
      </c>
      <c r="D259" s="22" t="s">
        <v>54</v>
      </c>
      <c r="E259" s="25">
        <v>0</v>
      </c>
      <c r="F259" s="25">
        <v>0</v>
      </c>
    </row>
    <row r="260" spans="1:6">
      <c r="A260" t="str">
        <f>IFERROR(VLOOKUP(B260,[1]銷貨單品號主檔!$A:$D,4,0),"學習周邊")</f>
        <v>學習周邊</v>
      </c>
      <c r="B260" s="22" t="s">
        <v>215</v>
      </c>
      <c r="C260" s="22" t="s">
        <v>85</v>
      </c>
      <c r="D260" s="22" t="s">
        <v>54</v>
      </c>
      <c r="E260" s="25">
        <v>0</v>
      </c>
      <c r="F260" s="25">
        <v>0</v>
      </c>
    </row>
    <row r="261" spans="1:6">
      <c r="A261" t="str">
        <f>IFERROR(VLOOKUP(B261,[1]銷貨單品號主檔!$A:$D,4,0),"學習周邊")</f>
        <v>學習周邊</v>
      </c>
      <c r="B261" s="22" t="s">
        <v>215</v>
      </c>
      <c r="C261" s="22" t="s">
        <v>87</v>
      </c>
      <c r="D261" s="22" t="s">
        <v>54</v>
      </c>
      <c r="E261" s="25">
        <v>0</v>
      </c>
      <c r="F261" s="25">
        <v>0</v>
      </c>
    </row>
    <row r="262" spans="1:6">
      <c r="A262" t="str">
        <f>IFERROR(VLOOKUP(B262,[1]銷貨單品號主檔!$A:$D,4,0),"學習周邊")</f>
        <v>學習周邊</v>
      </c>
      <c r="B262" s="22" t="s">
        <v>215</v>
      </c>
      <c r="C262" s="22" t="s">
        <v>90</v>
      </c>
      <c r="D262" s="22" t="s">
        <v>54</v>
      </c>
      <c r="E262" s="25">
        <v>0</v>
      </c>
      <c r="F262" s="25">
        <v>0</v>
      </c>
    </row>
    <row r="263" spans="1:6">
      <c r="A263" t="str">
        <f>IFERROR(VLOOKUP(B263,[1]銷貨單品號主檔!$A:$D,4,0),"學習周邊")</f>
        <v>學習周邊</v>
      </c>
      <c r="B263" s="22" t="s">
        <v>215</v>
      </c>
      <c r="C263" s="22" t="s">
        <v>108</v>
      </c>
      <c r="D263" s="22" t="s">
        <v>54</v>
      </c>
      <c r="E263" s="25">
        <v>0</v>
      </c>
      <c r="F263" s="25">
        <v>0</v>
      </c>
    </row>
    <row r="264" spans="1:6">
      <c r="A264" t="str">
        <f>IFERROR(VLOOKUP(B264,[1]銷貨單品號主檔!$A:$D,4,0),"學習周邊")</f>
        <v>學習周邊</v>
      </c>
      <c r="B264" s="22" t="s">
        <v>215</v>
      </c>
      <c r="C264" s="22" t="s">
        <v>53</v>
      </c>
      <c r="D264" s="22" t="s">
        <v>54</v>
      </c>
      <c r="E264" s="25">
        <v>0</v>
      </c>
      <c r="F264" s="25">
        <v>0</v>
      </c>
    </row>
    <row r="265" spans="1:6">
      <c r="A265" t="str">
        <f>IFERROR(VLOOKUP(B265,[1]銷貨單品號主檔!$A:$D,4,0),"學習周邊")</f>
        <v>學習周邊</v>
      </c>
      <c r="B265" s="22" t="s">
        <v>215</v>
      </c>
      <c r="C265" s="22" t="s">
        <v>92</v>
      </c>
      <c r="D265" s="22" t="s">
        <v>54</v>
      </c>
      <c r="E265" s="25">
        <v>0</v>
      </c>
      <c r="F265" s="25">
        <v>0</v>
      </c>
    </row>
    <row r="266" spans="1:6">
      <c r="A266" t="str">
        <f>IFERROR(VLOOKUP(B266,[1]銷貨單品號主檔!$A:$D,4,0),"學習周邊")</f>
        <v>學習周邊</v>
      </c>
      <c r="B266" s="22" t="s">
        <v>215</v>
      </c>
      <c r="C266" s="22" t="s">
        <v>328</v>
      </c>
      <c r="D266" s="22" t="s">
        <v>54</v>
      </c>
      <c r="E266" s="25">
        <v>0</v>
      </c>
      <c r="F266" s="25">
        <v>0</v>
      </c>
    </row>
    <row r="267" spans="1:6">
      <c r="A267" t="str">
        <f>IFERROR(VLOOKUP(B267,[1]銷貨單品號主檔!$A:$D,4,0),"學習周邊")</f>
        <v>學習周邊</v>
      </c>
      <c r="B267" s="22" t="s">
        <v>215</v>
      </c>
      <c r="C267" s="22" t="s">
        <v>330</v>
      </c>
      <c r="D267" s="22" t="s">
        <v>54</v>
      </c>
      <c r="E267" s="25">
        <v>0</v>
      </c>
      <c r="F267" s="25">
        <v>0</v>
      </c>
    </row>
    <row r="268" spans="1:6">
      <c r="A268" t="str">
        <f>IFERROR(VLOOKUP(B268,[1]銷貨單品號主檔!$A:$D,4,0),"學習周邊")</f>
        <v>學習周邊</v>
      </c>
      <c r="B268" s="22" t="s">
        <v>215</v>
      </c>
      <c r="C268" s="22" t="s">
        <v>331</v>
      </c>
      <c r="D268" s="22" t="s">
        <v>54</v>
      </c>
      <c r="E268" s="25">
        <v>0</v>
      </c>
      <c r="F268" s="25">
        <v>0</v>
      </c>
    </row>
    <row r="269" spans="1:6">
      <c r="A269" t="str">
        <f>IFERROR(VLOOKUP(B269,[1]銷貨單品號主檔!$A:$D,4,0),"學習周邊")</f>
        <v>生活周邊</v>
      </c>
      <c r="B269" s="22" t="s">
        <v>125</v>
      </c>
      <c r="C269" s="22" t="s">
        <v>328</v>
      </c>
      <c r="D269" s="22" t="s">
        <v>54</v>
      </c>
      <c r="E269" s="25">
        <v>4</v>
      </c>
      <c r="F269" s="25">
        <v>758.09523809523807</v>
      </c>
    </row>
    <row r="270" spans="1:6">
      <c r="A270" t="str">
        <f>IFERROR(VLOOKUP(B270,[1]銷貨單品號主檔!$A:$D,4,0),"學習周邊")</f>
        <v>生活周邊</v>
      </c>
      <c r="B270" s="22" t="s">
        <v>125</v>
      </c>
      <c r="C270" s="22" t="s">
        <v>331</v>
      </c>
      <c r="D270" s="22" t="s">
        <v>54</v>
      </c>
      <c r="E270" s="25">
        <v>1</v>
      </c>
      <c r="F270" s="25">
        <v>189.52380952380952</v>
      </c>
    </row>
    <row r="271" spans="1:6">
      <c r="A271" t="str">
        <f>IFERROR(VLOOKUP(B271,[1]銷貨單品號主檔!$A:$D,4,0),"學習周邊")</f>
        <v>生活周邊</v>
      </c>
      <c r="B271" s="22" t="s">
        <v>129</v>
      </c>
      <c r="C271" s="22" t="s">
        <v>66</v>
      </c>
      <c r="D271" s="22" t="s">
        <v>54</v>
      </c>
      <c r="E271" s="25">
        <v>1</v>
      </c>
      <c r="F271" s="25">
        <v>570.47619047619048</v>
      </c>
    </row>
    <row r="272" spans="1:6">
      <c r="A272" t="str">
        <f>IFERROR(VLOOKUP(B272,[1]銷貨單品號主檔!$A:$D,4,0),"學習周邊")</f>
        <v>生活周邊</v>
      </c>
      <c r="B272" s="22" t="s">
        <v>129</v>
      </c>
      <c r="C272" s="22" t="s">
        <v>76</v>
      </c>
      <c r="D272" s="22" t="s">
        <v>54</v>
      </c>
      <c r="E272" s="25">
        <v>1</v>
      </c>
      <c r="F272" s="25">
        <v>570.47619047619048</v>
      </c>
    </row>
    <row r="273" spans="1:6">
      <c r="A273" t="str">
        <f>IFERROR(VLOOKUP(B273,[1]銷貨單品號主檔!$A:$D,4,0),"學習周邊")</f>
        <v>生活周邊</v>
      </c>
      <c r="B273" s="22" t="s">
        <v>129</v>
      </c>
      <c r="C273" s="22" t="s">
        <v>83</v>
      </c>
      <c r="D273" s="22" t="s">
        <v>54</v>
      </c>
      <c r="E273" s="25">
        <v>1</v>
      </c>
      <c r="F273" s="25">
        <v>570.47619047619048</v>
      </c>
    </row>
    <row r="274" spans="1:6">
      <c r="A274" t="str">
        <f>IFERROR(VLOOKUP(B274,[1]銷貨單品號主檔!$A:$D,4,0),"學習周邊")</f>
        <v>生活周邊</v>
      </c>
      <c r="B274" s="22" t="s">
        <v>129</v>
      </c>
      <c r="C274" s="22" t="s">
        <v>328</v>
      </c>
      <c r="D274" s="22" t="s">
        <v>54</v>
      </c>
      <c r="E274" s="25">
        <v>1</v>
      </c>
      <c r="F274" s="25">
        <v>570.47619047619048</v>
      </c>
    </row>
    <row r="275" spans="1:6">
      <c r="A275" t="str">
        <f>IFERROR(VLOOKUP(B275,[1]銷貨單品號主檔!$A:$D,4,0),"學習周邊")</f>
        <v>生活周邊</v>
      </c>
      <c r="B275" s="22" t="s">
        <v>217</v>
      </c>
      <c r="C275" s="22" t="s">
        <v>90</v>
      </c>
      <c r="D275" s="22" t="s">
        <v>54</v>
      </c>
      <c r="E275" s="25">
        <v>1</v>
      </c>
      <c r="F275" s="25">
        <v>657.14285714285711</v>
      </c>
    </row>
    <row r="276" spans="1:6">
      <c r="A276" t="str">
        <f>IFERROR(VLOOKUP(B276,[1]銷貨單品號主檔!$A:$D,4,0),"學習周邊")</f>
        <v>生活周邊</v>
      </c>
      <c r="B276" s="22" t="s">
        <v>218</v>
      </c>
      <c r="C276" s="22" t="s">
        <v>76</v>
      </c>
      <c r="D276" s="22" t="s">
        <v>54</v>
      </c>
      <c r="E276" s="25">
        <v>1</v>
      </c>
      <c r="F276" s="25">
        <v>809.52380952380952</v>
      </c>
    </row>
    <row r="277" spans="1:6">
      <c r="A277" t="str">
        <f>IFERROR(VLOOKUP(B277,[1]銷貨單品號主檔!$A:$D,4,0),"學習周邊")</f>
        <v>生活周邊</v>
      </c>
      <c r="B277" s="22" t="s">
        <v>219</v>
      </c>
      <c r="C277" s="22" t="s">
        <v>76</v>
      </c>
      <c r="D277" s="22" t="s">
        <v>54</v>
      </c>
      <c r="E277" s="25">
        <v>1</v>
      </c>
      <c r="F277" s="25">
        <v>571.42857142857144</v>
      </c>
    </row>
    <row r="278" spans="1:6">
      <c r="A278" t="str">
        <f>IFERROR(VLOOKUP(B278,[1]銷貨單品號主檔!$A:$D,4,0),"學習周邊")</f>
        <v>生活周邊</v>
      </c>
      <c r="B278" s="22" t="s">
        <v>220</v>
      </c>
      <c r="C278" s="22" t="s">
        <v>56</v>
      </c>
      <c r="D278" s="22" t="s">
        <v>54</v>
      </c>
      <c r="E278" s="25">
        <v>1</v>
      </c>
      <c r="F278" s="25">
        <v>209.52380952380952</v>
      </c>
    </row>
    <row r="279" spans="1:6">
      <c r="A279" t="str">
        <f>IFERROR(VLOOKUP(B279,[1]銷貨單品號主檔!$A:$D,4,0),"學習周邊")</f>
        <v>生活周邊</v>
      </c>
      <c r="B279" s="22" t="s">
        <v>220</v>
      </c>
      <c r="C279" s="22" t="s">
        <v>62</v>
      </c>
      <c r="D279" s="22" t="s">
        <v>54</v>
      </c>
      <c r="E279" s="25">
        <v>1</v>
      </c>
      <c r="F279" s="25">
        <v>209.52380952380952</v>
      </c>
    </row>
    <row r="280" spans="1:6">
      <c r="A280" t="str">
        <f>IFERROR(VLOOKUP(B280,[1]銷貨單品號主檔!$A:$D,4,0),"學習周邊")</f>
        <v>生活周邊</v>
      </c>
      <c r="B280" s="22" t="s">
        <v>220</v>
      </c>
      <c r="C280" s="22" t="s">
        <v>67</v>
      </c>
      <c r="D280" s="22" t="s">
        <v>54</v>
      </c>
      <c r="E280" s="25">
        <v>1</v>
      </c>
      <c r="F280" s="25">
        <v>209.52380952380952</v>
      </c>
    </row>
    <row r="281" spans="1:6">
      <c r="A281" t="str">
        <f>IFERROR(VLOOKUP(B281,[1]銷貨單品號主檔!$A:$D,4,0),"學習周邊")</f>
        <v>生活周邊</v>
      </c>
      <c r="B281" s="22" t="s">
        <v>220</v>
      </c>
      <c r="C281" s="22" t="s">
        <v>59</v>
      </c>
      <c r="D281" s="22" t="s">
        <v>54</v>
      </c>
      <c r="E281" s="25">
        <v>1</v>
      </c>
      <c r="F281" s="25">
        <v>209.52380952380952</v>
      </c>
    </row>
    <row r="282" spans="1:6">
      <c r="A282" t="str">
        <f>IFERROR(VLOOKUP(B282,[1]銷貨單品號主檔!$A:$D,4,0),"學習周邊")</f>
        <v>生活周邊</v>
      </c>
      <c r="B282" s="22" t="s">
        <v>220</v>
      </c>
      <c r="C282" s="22" t="s">
        <v>76</v>
      </c>
      <c r="D282" s="22" t="s">
        <v>54</v>
      </c>
      <c r="E282" s="25">
        <v>1</v>
      </c>
      <c r="F282" s="25">
        <v>209.52380952380952</v>
      </c>
    </row>
    <row r="283" spans="1:6">
      <c r="A283" t="str">
        <f>IFERROR(VLOOKUP(B283,[1]銷貨單品號主檔!$A:$D,4,0),"學習周邊")</f>
        <v>生活周邊</v>
      </c>
      <c r="B283" s="22" t="s">
        <v>220</v>
      </c>
      <c r="C283" s="22" t="s">
        <v>87</v>
      </c>
      <c r="D283" s="22" t="s">
        <v>54</v>
      </c>
      <c r="E283" s="25">
        <v>1</v>
      </c>
      <c r="F283" s="25">
        <v>209.52380952380952</v>
      </c>
    </row>
    <row r="284" spans="1:6">
      <c r="A284" t="str">
        <f>IFERROR(VLOOKUP(B284,[1]銷貨單品號主檔!$A:$D,4,0),"學習周邊")</f>
        <v>生活周邊</v>
      </c>
      <c r="B284" s="22" t="s">
        <v>220</v>
      </c>
      <c r="C284" s="22" t="s">
        <v>88</v>
      </c>
      <c r="D284" s="22" t="s">
        <v>54</v>
      </c>
      <c r="E284" s="25">
        <v>3</v>
      </c>
      <c r="F284" s="25">
        <v>628.57142857142856</v>
      </c>
    </row>
    <row r="285" spans="1:6">
      <c r="A285" t="str">
        <f>IFERROR(VLOOKUP(B285,[1]銷貨單品號主檔!$A:$D,4,0),"學習周邊")</f>
        <v>生活周邊</v>
      </c>
      <c r="B285" s="22" t="s">
        <v>223</v>
      </c>
      <c r="C285" s="22" t="s">
        <v>53</v>
      </c>
      <c r="D285" s="22" t="s">
        <v>54</v>
      </c>
      <c r="E285" s="25">
        <v>1</v>
      </c>
      <c r="F285" s="25">
        <v>380</v>
      </c>
    </row>
    <row r="286" spans="1:6">
      <c r="A286" t="str">
        <f>IFERROR(VLOOKUP(B286,[1]銷貨單品號主檔!$A:$D,4,0),"學習周邊")</f>
        <v>生活周邊</v>
      </c>
      <c r="B286" s="22" t="s">
        <v>223</v>
      </c>
      <c r="C286" s="22" t="s">
        <v>353</v>
      </c>
      <c r="D286" s="22" t="s">
        <v>54</v>
      </c>
      <c r="E286" s="25">
        <v>1</v>
      </c>
      <c r="F286" s="25">
        <v>380</v>
      </c>
    </row>
    <row r="287" spans="1:6">
      <c r="A287" t="str">
        <f>IFERROR(VLOOKUP(B287,[1]銷貨單品號主檔!$A:$D,4,0),"學習周邊")</f>
        <v>生活周邊</v>
      </c>
      <c r="B287" s="22" t="s">
        <v>224</v>
      </c>
      <c r="C287" s="22" t="s">
        <v>56</v>
      </c>
      <c r="D287" s="22" t="s">
        <v>54</v>
      </c>
      <c r="E287" s="25">
        <v>1</v>
      </c>
      <c r="F287" s="25">
        <v>856.19047619047615</v>
      </c>
    </row>
    <row r="288" spans="1:6">
      <c r="A288" t="str">
        <f>IFERROR(VLOOKUP(B288,[1]銷貨單品號主檔!$A:$D,4,0),"學習周邊")</f>
        <v>生活周邊</v>
      </c>
      <c r="B288" s="22" t="s">
        <v>224</v>
      </c>
      <c r="C288" s="22" t="s">
        <v>67</v>
      </c>
      <c r="D288" s="22" t="s">
        <v>54</v>
      </c>
      <c r="E288" s="25">
        <v>1</v>
      </c>
      <c r="F288" s="25">
        <v>856.19047619047615</v>
      </c>
    </row>
    <row r="289" spans="1:6">
      <c r="A289" t="str">
        <f>IFERROR(VLOOKUP(B289,[1]銷貨單品號主檔!$A:$D,4,0),"學習周邊")</f>
        <v>生活周邊</v>
      </c>
      <c r="B289" s="22" t="s">
        <v>224</v>
      </c>
      <c r="C289" s="22" t="s">
        <v>59</v>
      </c>
      <c r="D289" s="22" t="s">
        <v>54</v>
      </c>
      <c r="E289" s="25">
        <v>1</v>
      </c>
      <c r="F289" s="25">
        <v>856.19047619047615</v>
      </c>
    </row>
    <row r="290" spans="1:6">
      <c r="A290" t="str">
        <f>IFERROR(VLOOKUP(B290,[1]銷貨單品號主檔!$A:$D,4,0),"學習周邊")</f>
        <v>生活周邊</v>
      </c>
      <c r="B290" s="22" t="s">
        <v>224</v>
      </c>
      <c r="C290" s="22" t="s">
        <v>78</v>
      </c>
      <c r="D290" s="22" t="s">
        <v>54</v>
      </c>
      <c r="E290" s="25">
        <v>1</v>
      </c>
      <c r="F290" s="25">
        <v>856.19047619047615</v>
      </c>
    </row>
    <row r="291" spans="1:6">
      <c r="A291" t="str">
        <f>IFERROR(VLOOKUP(B291,[1]銷貨單品號主檔!$A:$D,4,0),"學習周邊")</f>
        <v>生活周邊</v>
      </c>
      <c r="B291" s="22" t="s">
        <v>224</v>
      </c>
      <c r="C291" s="22" t="s">
        <v>53</v>
      </c>
      <c r="D291" s="22" t="s">
        <v>54</v>
      </c>
      <c r="E291" s="25">
        <v>1</v>
      </c>
      <c r="F291" s="25">
        <v>856.19047619047615</v>
      </c>
    </row>
    <row r="292" spans="1:6">
      <c r="A292" t="str">
        <f>IFERROR(VLOOKUP(B292,[1]銷貨單品號主檔!$A:$D,4,0),"學習周邊")</f>
        <v>生活周邊</v>
      </c>
      <c r="B292" s="22" t="s">
        <v>224</v>
      </c>
      <c r="C292" s="22" t="s">
        <v>332</v>
      </c>
      <c r="D292" s="22" t="s">
        <v>54</v>
      </c>
      <c r="E292" s="25">
        <v>1</v>
      </c>
      <c r="F292" s="25">
        <v>856.19047619047615</v>
      </c>
    </row>
    <row r="293" spans="1:6">
      <c r="A293" t="str">
        <f>IFERROR(VLOOKUP(B293,[1]銷貨單品號主檔!$A:$D,4,0),"學習周邊")</f>
        <v>生活周邊</v>
      </c>
      <c r="B293" s="22" t="s">
        <v>224</v>
      </c>
      <c r="C293" s="22" t="s">
        <v>330</v>
      </c>
      <c r="D293" s="22" t="s">
        <v>54</v>
      </c>
      <c r="E293" s="25">
        <v>1</v>
      </c>
      <c r="F293" s="25">
        <v>856.19047619047615</v>
      </c>
    </row>
    <row r="294" spans="1:6">
      <c r="A294" t="str">
        <f>IFERROR(VLOOKUP(B294,[1]銷貨單品號主檔!$A:$D,4,0),"學習周邊")</f>
        <v>學習</v>
      </c>
      <c r="B294" s="22" t="s">
        <v>133</v>
      </c>
      <c r="C294" s="22" t="s">
        <v>56</v>
      </c>
      <c r="D294" s="22" t="s">
        <v>54</v>
      </c>
      <c r="E294" s="25">
        <v>2</v>
      </c>
      <c r="F294" s="25">
        <v>9142.8571428571431</v>
      </c>
    </row>
    <row r="295" spans="1:6">
      <c r="A295" t="str">
        <f>IFERROR(VLOOKUP(B295,[1]銷貨單品號主檔!$A:$D,4,0),"學習周邊")</f>
        <v>學習</v>
      </c>
      <c r="B295" s="22" t="s">
        <v>133</v>
      </c>
      <c r="C295" s="22" t="s">
        <v>62</v>
      </c>
      <c r="D295" s="22" t="s">
        <v>54</v>
      </c>
      <c r="E295" s="25">
        <v>2</v>
      </c>
      <c r="F295" s="25">
        <v>9142.8571428571431</v>
      </c>
    </row>
    <row r="296" spans="1:6">
      <c r="A296" t="str">
        <f>IFERROR(VLOOKUP(B296,[1]銷貨單品號主檔!$A:$D,4,0),"學習周邊")</f>
        <v>學習</v>
      </c>
      <c r="B296" s="22" t="s">
        <v>133</v>
      </c>
      <c r="C296" s="22" t="s">
        <v>59</v>
      </c>
      <c r="D296" s="22" t="s">
        <v>54</v>
      </c>
      <c r="E296" s="25">
        <v>1</v>
      </c>
      <c r="F296" s="25">
        <v>4571.4285714285716</v>
      </c>
    </row>
    <row r="297" spans="1:6">
      <c r="A297" t="str">
        <f>IFERROR(VLOOKUP(B297,[1]銷貨單品號主檔!$A:$D,4,0),"學習周邊")</f>
        <v>學習</v>
      </c>
      <c r="B297" s="22" t="s">
        <v>133</v>
      </c>
      <c r="C297" s="22" t="s">
        <v>66</v>
      </c>
      <c r="D297" s="22" t="s">
        <v>54</v>
      </c>
      <c r="E297" s="25">
        <v>1</v>
      </c>
      <c r="F297" s="25">
        <v>4571.4285714285716</v>
      </c>
    </row>
    <row r="298" spans="1:6">
      <c r="A298" t="str">
        <f>IFERROR(VLOOKUP(B298,[1]銷貨單品號主檔!$A:$D,4,0),"學習周邊")</f>
        <v>學習</v>
      </c>
      <c r="B298" s="22" t="s">
        <v>133</v>
      </c>
      <c r="C298" s="22" t="s">
        <v>66</v>
      </c>
      <c r="D298" s="22" t="s">
        <v>174</v>
      </c>
      <c r="E298" s="25">
        <v>1</v>
      </c>
      <c r="F298" s="25">
        <v>4571.4285714285716</v>
      </c>
    </row>
    <row r="299" spans="1:6">
      <c r="A299" t="str">
        <f>IFERROR(VLOOKUP(B299,[1]銷貨單品號主檔!$A:$D,4,0),"學習周邊")</f>
        <v>學習</v>
      </c>
      <c r="B299" s="22" t="s">
        <v>133</v>
      </c>
      <c r="C299" s="22" t="s">
        <v>107</v>
      </c>
      <c r="D299" s="22" t="s">
        <v>54</v>
      </c>
      <c r="E299" s="25">
        <v>2</v>
      </c>
      <c r="F299" s="25">
        <v>9142.8571428571431</v>
      </c>
    </row>
    <row r="300" spans="1:6">
      <c r="A300" t="str">
        <f>IFERROR(VLOOKUP(B300,[1]銷貨單品號主檔!$A:$D,4,0),"學習周邊")</f>
        <v>學習</v>
      </c>
      <c r="B300" s="22" t="s">
        <v>133</v>
      </c>
      <c r="C300" s="22" t="s">
        <v>107</v>
      </c>
      <c r="D300" s="22" t="s">
        <v>174</v>
      </c>
      <c r="E300" s="25">
        <v>1</v>
      </c>
      <c r="F300" s="25">
        <v>4571.4285714285716</v>
      </c>
    </row>
    <row r="301" spans="1:6">
      <c r="A301" t="str">
        <f>IFERROR(VLOOKUP(B301,[1]銷貨單品號主檔!$A:$D,4,0),"學習周邊")</f>
        <v>學習</v>
      </c>
      <c r="B301" s="22" t="s">
        <v>133</v>
      </c>
      <c r="C301" s="22" t="s">
        <v>76</v>
      </c>
      <c r="D301" s="22" t="s">
        <v>54</v>
      </c>
      <c r="E301" s="25">
        <v>2</v>
      </c>
      <c r="F301" s="25">
        <v>9142.8571428571431</v>
      </c>
    </row>
    <row r="302" spans="1:6">
      <c r="A302" t="str">
        <f>IFERROR(VLOOKUP(B302,[1]銷貨單品號主檔!$A:$D,4,0),"學習周邊")</f>
        <v>學習</v>
      </c>
      <c r="B302" s="22" t="s">
        <v>133</v>
      </c>
      <c r="C302" s="22" t="s">
        <v>83</v>
      </c>
      <c r="D302" s="22" t="s">
        <v>54</v>
      </c>
      <c r="E302" s="25">
        <v>2</v>
      </c>
      <c r="F302" s="25">
        <v>9142.8571428571431</v>
      </c>
    </row>
    <row r="303" spans="1:6">
      <c r="A303" t="str">
        <f>IFERROR(VLOOKUP(B303,[1]銷貨單品號主檔!$A:$D,4,0),"學習周邊")</f>
        <v>學習</v>
      </c>
      <c r="B303" s="22" t="s">
        <v>133</v>
      </c>
      <c r="C303" s="22" t="s">
        <v>83</v>
      </c>
      <c r="D303" s="22" t="s">
        <v>174</v>
      </c>
      <c r="E303" s="25">
        <v>1</v>
      </c>
      <c r="F303" s="25">
        <v>4571.4285714285716</v>
      </c>
    </row>
    <row r="304" spans="1:6">
      <c r="A304" t="str">
        <f>IFERROR(VLOOKUP(B304,[1]銷貨單品號主檔!$A:$D,4,0),"學習周邊")</f>
        <v>學習</v>
      </c>
      <c r="B304" s="22" t="s">
        <v>133</v>
      </c>
      <c r="C304" s="22" t="s">
        <v>87</v>
      </c>
      <c r="D304" s="22" t="s">
        <v>54</v>
      </c>
      <c r="E304" s="25">
        <v>2</v>
      </c>
      <c r="F304" s="25">
        <v>9142.8571428571431</v>
      </c>
    </row>
    <row r="305" spans="1:6">
      <c r="A305" t="str">
        <f>IFERROR(VLOOKUP(B305,[1]銷貨單品號主檔!$A:$D,4,0),"學習周邊")</f>
        <v>學習</v>
      </c>
      <c r="B305" s="22" t="s">
        <v>133</v>
      </c>
      <c r="C305" s="22" t="s">
        <v>87</v>
      </c>
      <c r="D305" s="22" t="s">
        <v>174</v>
      </c>
      <c r="E305" s="25">
        <v>3</v>
      </c>
      <c r="F305" s="25">
        <v>13714.285714285714</v>
      </c>
    </row>
    <row r="306" spans="1:6">
      <c r="A306" t="str">
        <f>IFERROR(VLOOKUP(B306,[1]銷貨單品號主檔!$A:$D,4,0),"學習周邊")</f>
        <v>學習</v>
      </c>
      <c r="B306" s="22" t="s">
        <v>133</v>
      </c>
      <c r="C306" s="22" t="s">
        <v>90</v>
      </c>
      <c r="D306" s="22" t="s">
        <v>54</v>
      </c>
      <c r="E306" s="25">
        <v>1</v>
      </c>
      <c r="F306" s="25">
        <v>4571.4285714285716</v>
      </c>
    </row>
    <row r="307" spans="1:6">
      <c r="A307" t="str">
        <f>IFERROR(VLOOKUP(B307,[1]銷貨單品號主檔!$A:$D,4,0),"學習周邊")</f>
        <v>學習</v>
      </c>
      <c r="B307" s="22" t="s">
        <v>133</v>
      </c>
      <c r="C307" s="22" t="s">
        <v>53</v>
      </c>
      <c r="D307" s="22" t="s">
        <v>54</v>
      </c>
      <c r="E307" s="25">
        <v>1</v>
      </c>
      <c r="F307" s="25">
        <v>4571.4285714285716</v>
      </c>
    </row>
    <row r="308" spans="1:6">
      <c r="A308" t="str">
        <f>IFERROR(VLOOKUP(B308,[1]銷貨單品號主檔!$A:$D,4,0),"學習周邊")</f>
        <v>學習</v>
      </c>
      <c r="B308" s="22" t="s">
        <v>133</v>
      </c>
      <c r="C308" s="22" t="s">
        <v>92</v>
      </c>
      <c r="D308" s="22" t="s">
        <v>174</v>
      </c>
      <c r="E308" s="25">
        <v>6</v>
      </c>
      <c r="F308" s="25">
        <v>27428.571428571428</v>
      </c>
    </row>
    <row r="309" spans="1:6">
      <c r="A309" t="str">
        <f>IFERROR(VLOOKUP(B309,[1]銷貨單品號主檔!$A:$D,4,0),"學習周邊")</f>
        <v>學習</v>
      </c>
      <c r="B309" s="22" t="s">
        <v>133</v>
      </c>
      <c r="C309" s="22" t="s">
        <v>326</v>
      </c>
      <c r="D309" s="22" t="s">
        <v>54</v>
      </c>
      <c r="E309" s="25">
        <v>1</v>
      </c>
      <c r="F309" s="25">
        <v>4571.4285714285716</v>
      </c>
    </row>
    <row r="310" spans="1:6">
      <c r="A310" t="str">
        <f>IFERROR(VLOOKUP(B310,[1]銷貨單品號主檔!$A:$D,4,0),"學習周邊")</f>
        <v>學習</v>
      </c>
      <c r="B310" s="22" t="s">
        <v>133</v>
      </c>
      <c r="C310" s="22" t="s">
        <v>326</v>
      </c>
      <c r="D310" s="22" t="s">
        <v>174</v>
      </c>
      <c r="E310" s="25">
        <v>3</v>
      </c>
      <c r="F310" s="25">
        <v>13714.285714285714</v>
      </c>
    </row>
    <row r="311" spans="1:6">
      <c r="A311" t="str">
        <f>IFERROR(VLOOKUP(B311,[1]銷貨單品號主檔!$A:$D,4,0),"學習周邊")</f>
        <v>學習</v>
      </c>
      <c r="B311" s="22" t="s">
        <v>133</v>
      </c>
      <c r="C311" s="22" t="s">
        <v>332</v>
      </c>
      <c r="D311" s="22" t="s">
        <v>174</v>
      </c>
      <c r="E311" s="25">
        <v>2</v>
      </c>
      <c r="F311" s="25">
        <v>9142.8571428571431</v>
      </c>
    </row>
    <row r="312" spans="1:6">
      <c r="A312" t="str">
        <f>IFERROR(VLOOKUP(B312,[1]銷貨單品號主檔!$A:$D,4,0),"學習周邊")</f>
        <v>學習</v>
      </c>
      <c r="B312" s="22" t="s">
        <v>133</v>
      </c>
      <c r="C312" s="22" t="s">
        <v>330</v>
      </c>
      <c r="D312" s="22" t="s">
        <v>54</v>
      </c>
      <c r="E312" s="25">
        <v>1</v>
      </c>
      <c r="F312" s="25">
        <v>4571.4285714285716</v>
      </c>
    </row>
    <row r="313" spans="1:6">
      <c r="A313" t="str">
        <f>IFERROR(VLOOKUP(B313,[1]銷貨單品號主檔!$A:$D,4,0),"學習周邊")</f>
        <v>學習</v>
      </c>
      <c r="B313" s="22" t="s">
        <v>133</v>
      </c>
      <c r="C313" s="22" t="s">
        <v>349</v>
      </c>
      <c r="D313" s="22" t="s">
        <v>174</v>
      </c>
      <c r="E313" s="25">
        <v>1</v>
      </c>
      <c r="F313" s="25">
        <v>4571.4285714285716</v>
      </c>
    </row>
    <row r="314" spans="1:6">
      <c r="A314" t="str">
        <f>IFERROR(VLOOKUP(B314,[1]銷貨單品號主檔!$A:$D,4,0),"學習周邊")</f>
        <v>學習</v>
      </c>
      <c r="B314" s="22" t="s">
        <v>133</v>
      </c>
      <c r="C314" s="22" t="s">
        <v>354</v>
      </c>
      <c r="D314" s="22" t="s">
        <v>174</v>
      </c>
      <c r="E314" s="25">
        <v>1</v>
      </c>
      <c r="F314" s="25">
        <v>4571.4285714285716</v>
      </c>
    </row>
    <row r="315" spans="1:6">
      <c r="A315" t="str">
        <f>IFERROR(VLOOKUP(B315,[1]銷貨單品號主檔!$A:$D,4,0),"學習周邊")</f>
        <v>學習</v>
      </c>
      <c r="B315" s="22" t="s">
        <v>133</v>
      </c>
      <c r="C315" s="22" t="s">
        <v>353</v>
      </c>
      <c r="D315" s="22" t="s">
        <v>54</v>
      </c>
      <c r="E315" s="25">
        <v>2</v>
      </c>
      <c r="F315" s="25">
        <v>9142.8571428571431</v>
      </c>
    </row>
    <row r="316" spans="1:6">
      <c r="A316" t="str">
        <f>IFERROR(VLOOKUP(B316,[1]銷貨單品號主檔!$A:$D,4,0),"學習周邊")</f>
        <v>學習周邊</v>
      </c>
      <c r="B316" s="22" t="s">
        <v>227</v>
      </c>
      <c r="C316" s="22" t="s">
        <v>66</v>
      </c>
      <c r="D316" s="22" t="s">
        <v>54</v>
      </c>
      <c r="E316" s="25">
        <v>0</v>
      </c>
      <c r="F316" s="25">
        <v>0</v>
      </c>
    </row>
    <row r="317" spans="1:6">
      <c r="A317" t="str">
        <f>IFERROR(VLOOKUP(B317,[1]銷貨單品號主檔!$A:$D,4,0),"學習周邊")</f>
        <v>學習周邊</v>
      </c>
      <c r="B317" s="22" t="s">
        <v>227</v>
      </c>
      <c r="C317" s="22" t="s">
        <v>107</v>
      </c>
      <c r="D317" s="22" t="s">
        <v>54</v>
      </c>
      <c r="E317" s="25">
        <v>0</v>
      </c>
      <c r="F317" s="25">
        <v>0</v>
      </c>
    </row>
    <row r="318" spans="1:6">
      <c r="A318" t="str">
        <f>IFERROR(VLOOKUP(B318,[1]銷貨單品號主檔!$A:$D,4,0),"學習周邊")</f>
        <v>學習周邊</v>
      </c>
      <c r="B318" s="22" t="s">
        <v>227</v>
      </c>
      <c r="C318" s="22" t="s">
        <v>72</v>
      </c>
      <c r="D318" s="22" t="s">
        <v>54</v>
      </c>
      <c r="E318" s="25">
        <v>0</v>
      </c>
      <c r="F318" s="25">
        <v>0</v>
      </c>
    </row>
    <row r="319" spans="1:6">
      <c r="A319" t="str">
        <f>IFERROR(VLOOKUP(B319,[1]銷貨單品號主檔!$A:$D,4,0),"學習周邊")</f>
        <v>學習周邊</v>
      </c>
      <c r="B319" s="22" t="s">
        <v>227</v>
      </c>
      <c r="C319" s="22" t="s">
        <v>76</v>
      </c>
      <c r="D319" s="22" t="s">
        <v>54</v>
      </c>
      <c r="E319" s="25">
        <v>0</v>
      </c>
      <c r="F319" s="25">
        <v>0</v>
      </c>
    </row>
    <row r="320" spans="1:6">
      <c r="A320" t="str">
        <f>IFERROR(VLOOKUP(B320,[1]銷貨單品號主檔!$A:$D,4,0),"學習周邊")</f>
        <v>學習周邊</v>
      </c>
      <c r="B320" s="22" t="s">
        <v>227</v>
      </c>
      <c r="C320" s="22" t="s">
        <v>78</v>
      </c>
      <c r="D320" s="22" t="s">
        <v>54</v>
      </c>
      <c r="E320" s="25">
        <v>0</v>
      </c>
      <c r="F320" s="25">
        <v>0</v>
      </c>
    </row>
    <row r="321" spans="1:6">
      <c r="A321" t="str">
        <f>IFERROR(VLOOKUP(B321,[1]銷貨單品號主檔!$A:$D,4,0),"學習周邊")</f>
        <v>學習周邊</v>
      </c>
      <c r="B321" s="22" t="s">
        <v>227</v>
      </c>
      <c r="C321" s="22" t="s">
        <v>81</v>
      </c>
      <c r="D321" s="22" t="s">
        <v>54</v>
      </c>
      <c r="E321" s="25">
        <v>0</v>
      </c>
      <c r="F321" s="25">
        <v>0</v>
      </c>
    </row>
    <row r="322" spans="1:6">
      <c r="A322" t="str">
        <f>IFERROR(VLOOKUP(B322,[1]銷貨單品號主檔!$A:$D,4,0),"學習周邊")</f>
        <v>學習周邊</v>
      </c>
      <c r="B322" s="22" t="s">
        <v>227</v>
      </c>
      <c r="C322" s="22" t="s">
        <v>83</v>
      </c>
      <c r="D322" s="22" t="s">
        <v>54</v>
      </c>
      <c r="E322" s="25">
        <v>0</v>
      </c>
      <c r="F322" s="25">
        <v>0</v>
      </c>
    </row>
    <row r="323" spans="1:6">
      <c r="A323" t="str">
        <f>IFERROR(VLOOKUP(B323,[1]銷貨單品號主檔!$A:$D,4,0),"學習周邊")</f>
        <v>學習周邊</v>
      </c>
      <c r="B323" s="22" t="s">
        <v>227</v>
      </c>
      <c r="C323" s="22" t="s">
        <v>85</v>
      </c>
      <c r="D323" s="22" t="s">
        <v>54</v>
      </c>
      <c r="E323" s="25">
        <v>0</v>
      </c>
      <c r="F323" s="25">
        <v>0</v>
      </c>
    </row>
    <row r="324" spans="1:6">
      <c r="A324" t="str">
        <f>IFERROR(VLOOKUP(B324,[1]銷貨單品號主檔!$A:$D,4,0),"學習周邊")</f>
        <v>學習周邊</v>
      </c>
      <c r="B324" s="22" t="s">
        <v>227</v>
      </c>
      <c r="C324" s="22" t="s">
        <v>87</v>
      </c>
      <c r="D324" s="22" t="s">
        <v>54</v>
      </c>
      <c r="E324" s="25">
        <v>0</v>
      </c>
      <c r="F324" s="25">
        <v>0</v>
      </c>
    </row>
    <row r="325" spans="1:6">
      <c r="A325" t="str">
        <f>IFERROR(VLOOKUP(B325,[1]銷貨單品號主檔!$A:$D,4,0),"學習周邊")</f>
        <v>學習周邊</v>
      </c>
      <c r="B325" s="22" t="s">
        <v>233</v>
      </c>
      <c r="C325" s="22" t="s">
        <v>56</v>
      </c>
      <c r="D325" s="22" t="s">
        <v>54</v>
      </c>
      <c r="E325" s="25">
        <v>0</v>
      </c>
      <c r="F325" s="25">
        <v>0</v>
      </c>
    </row>
    <row r="326" spans="1:6">
      <c r="A326" t="str">
        <f>IFERROR(VLOOKUP(B326,[1]銷貨單品號主檔!$A:$D,4,0),"學習周邊")</f>
        <v>學習周邊</v>
      </c>
      <c r="B326" s="22" t="s">
        <v>233</v>
      </c>
      <c r="C326" s="22" t="s">
        <v>60</v>
      </c>
      <c r="D326" s="22" t="s">
        <v>54</v>
      </c>
      <c r="E326" s="25">
        <v>0</v>
      </c>
      <c r="F326" s="25">
        <v>0</v>
      </c>
    </row>
    <row r="327" spans="1:6">
      <c r="A327" t="str">
        <f>IFERROR(VLOOKUP(B327,[1]銷貨單品號主檔!$A:$D,4,0),"學習周邊")</f>
        <v>學習周邊</v>
      </c>
      <c r="B327" s="22" t="s">
        <v>233</v>
      </c>
      <c r="C327" s="22" t="s">
        <v>62</v>
      </c>
      <c r="D327" s="22" t="s">
        <v>54</v>
      </c>
      <c r="E327" s="25">
        <v>0</v>
      </c>
      <c r="F327" s="25">
        <v>0</v>
      </c>
    </row>
    <row r="328" spans="1:6">
      <c r="A328" t="str">
        <f>IFERROR(VLOOKUP(B328,[1]銷貨單品號主檔!$A:$D,4,0),"學習周邊")</f>
        <v>學習周邊</v>
      </c>
      <c r="B328" s="22" t="s">
        <v>233</v>
      </c>
      <c r="C328" s="22" t="s">
        <v>65</v>
      </c>
      <c r="D328" s="22" t="s">
        <v>54</v>
      </c>
      <c r="E328" s="25">
        <v>0</v>
      </c>
      <c r="F328" s="25">
        <v>0</v>
      </c>
    </row>
    <row r="329" spans="1:6">
      <c r="A329" t="str">
        <f>IFERROR(VLOOKUP(B329,[1]銷貨單品號主檔!$A:$D,4,0),"學習周邊")</f>
        <v>學習周邊</v>
      </c>
      <c r="B329" s="22" t="s">
        <v>233</v>
      </c>
      <c r="C329" s="22" t="s">
        <v>67</v>
      </c>
      <c r="D329" s="22" t="s">
        <v>54</v>
      </c>
      <c r="E329" s="25">
        <v>0</v>
      </c>
      <c r="F329" s="25">
        <v>0</v>
      </c>
    </row>
    <row r="330" spans="1:6">
      <c r="A330" t="str">
        <f>IFERROR(VLOOKUP(B330,[1]銷貨單品號主檔!$A:$D,4,0),"學習周邊")</f>
        <v>學習周邊</v>
      </c>
      <c r="B330" s="22" t="s">
        <v>233</v>
      </c>
      <c r="C330" s="22" t="s">
        <v>73</v>
      </c>
      <c r="D330" s="22" t="s">
        <v>54</v>
      </c>
      <c r="E330" s="25">
        <v>0</v>
      </c>
      <c r="F330" s="25">
        <v>0</v>
      </c>
    </row>
    <row r="331" spans="1:6">
      <c r="A331" t="str">
        <f>IFERROR(VLOOKUP(B331,[1]銷貨單品號主檔!$A:$D,4,0),"學習周邊")</f>
        <v>學習周邊</v>
      </c>
      <c r="B331" s="22" t="s">
        <v>233</v>
      </c>
      <c r="C331" s="22" t="s">
        <v>59</v>
      </c>
      <c r="D331" s="22" t="s">
        <v>54</v>
      </c>
      <c r="E331" s="25">
        <v>0</v>
      </c>
      <c r="F331" s="25">
        <v>0</v>
      </c>
    </row>
    <row r="332" spans="1:6">
      <c r="A332" t="str">
        <f>IFERROR(VLOOKUP(B332,[1]銷貨單品號主檔!$A:$D,4,0),"學習周邊")</f>
        <v>學習周邊</v>
      </c>
      <c r="B332" s="22" t="s">
        <v>233</v>
      </c>
      <c r="C332" s="22" t="s">
        <v>66</v>
      </c>
      <c r="D332" s="22" t="s">
        <v>54</v>
      </c>
      <c r="E332" s="25">
        <v>0</v>
      </c>
      <c r="F332" s="25">
        <v>0</v>
      </c>
    </row>
    <row r="333" spans="1:6">
      <c r="A333" t="str">
        <f>IFERROR(VLOOKUP(B333,[1]銷貨單品號主檔!$A:$D,4,0),"學習周邊")</f>
        <v>學習周邊</v>
      </c>
      <c r="B333" s="22" t="s">
        <v>233</v>
      </c>
      <c r="C333" s="22" t="s">
        <v>107</v>
      </c>
      <c r="D333" s="22" t="s">
        <v>54</v>
      </c>
      <c r="E333" s="25">
        <v>0</v>
      </c>
      <c r="F333" s="25">
        <v>0</v>
      </c>
    </row>
    <row r="334" spans="1:6">
      <c r="A334" t="str">
        <f>IFERROR(VLOOKUP(B334,[1]銷貨單品號主檔!$A:$D,4,0),"學習周邊")</f>
        <v>學習周邊</v>
      </c>
      <c r="B334" s="22" t="s">
        <v>233</v>
      </c>
      <c r="C334" s="22" t="s">
        <v>72</v>
      </c>
      <c r="D334" s="22" t="s">
        <v>54</v>
      </c>
      <c r="E334" s="25">
        <v>0</v>
      </c>
      <c r="F334" s="25">
        <v>0</v>
      </c>
    </row>
    <row r="335" spans="1:6">
      <c r="A335" t="str">
        <f>IFERROR(VLOOKUP(B335,[1]銷貨單品號主檔!$A:$D,4,0),"學習周邊")</f>
        <v>學習周邊</v>
      </c>
      <c r="B335" s="22" t="s">
        <v>233</v>
      </c>
      <c r="C335" s="22" t="s">
        <v>76</v>
      </c>
      <c r="D335" s="22" t="s">
        <v>54</v>
      </c>
      <c r="E335" s="25">
        <v>0</v>
      </c>
      <c r="F335" s="25">
        <v>0</v>
      </c>
    </row>
    <row r="336" spans="1:6">
      <c r="A336" t="str">
        <f>IFERROR(VLOOKUP(B336,[1]銷貨單品號主檔!$A:$D,4,0),"學習周邊")</f>
        <v>學習周邊</v>
      </c>
      <c r="B336" s="22" t="s">
        <v>233</v>
      </c>
      <c r="C336" s="22" t="s">
        <v>78</v>
      </c>
      <c r="D336" s="22" t="s">
        <v>54</v>
      </c>
      <c r="E336" s="25">
        <v>0</v>
      </c>
      <c r="F336" s="25">
        <v>0</v>
      </c>
    </row>
    <row r="337" spans="1:6">
      <c r="A337" t="str">
        <f>IFERROR(VLOOKUP(B337,[1]銷貨單品號主檔!$A:$D,4,0),"學習周邊")</f>
        <v>學習周邊</v>
      </c>
      <c r="B337" s="22" t="s">
        <v>233</v>
      </c>
      <c r="C337" s="22" t="s">
        <v>81</v>
      </c>
      <c r="D337" s="22" t="s">
        <v>54</v>
      </c>
      <c r="E337" s="25">
        <v>0</v>
      </c>
      <c r="F337" s="25">
        <v>0</v>
      </c>
    </row>
    <row r="338" spans="1:6">
      <c r="A338" t="str">
        <f>IFERROR(VLOOKUP(B338,[1]銷貨單品號主檔!$A:$D,4,0),"學習周邊")</f>
        <v>學習周邊</v>
      </c>
      <c r="B338" s="22" t="s">
        <v>233</v>
      </c>
      <c r="C338" s="22" t="s">
        <v>83</v>
      </c>
      <c r="D338" s="22" t="s">
        <v>54</v>
      </c>
      <c r="E338" s="25">
        <v>0</v>
      </c>
      <c r="F338" s="25">
        <v>0</v>
      </c>
    </row>
    <row r="339" spans="1:6">
      <c r="A339" t="str">
        <f>IFERROR(VLOOKUP(B339,[1]銷貨單品號主檔!$A:$D,4,0),"學習周邊")</f>
        <v>學習周邊</v>
      </c>
      <c r="B339" s="22" t="s">
        <v>233</v>
      </c>
      <c r="C339" s="22" t="s">
        <v>85</v>
      </c>
      <c r="D339" s="22" t="s">
        <v>54</v>
      </c>
      <c r="E339" s="25">
        <v>0</v>
      </c>
      <c r="F339" s="25">
        <v>0</v>
      </c>
    </row>
    <row r="340" spans="1:6">
      <c r="A340" t="str">
        <f>IFERROR(VLOOKUP(B340,[1]銷貨單品號主檔!$A:$D,4,0),"學習周邊")</f>
        <v>學習周邊</v>
      </c>
      <c r="B340" s="22" t="s">
        <v>233</v>
      </c>
      <c r="C340" s="22" t="s">
        <v>87</v>
      </c>
      <c r="D340" s="22" t="s">
        <v>54</v>
      </c>
      <c r="E340" s="25">
        <v>0</v>
      </c>
      <c r="F340" s="25">
        <v>0</v>
      </c>
    </row>
    <row r="341" spans="1:6">
      <c r="A341" t="str">
        <f>IFERROR(VLOOKUP(B341,[1]銷貨單品號主檔!$A:$D,4,0),"學習周邊")</f>
        <v>學習周邊</v>
      </c>
      <c r="B341" s="22" t="s">
        <v>233</v>
      </c>
      <c r="C341" s="22" t="s">
        <v>90</v>
      </c>
      <c r="D341" s="22" t="s">
        <v>54</v>
      </c>
      <c r="E341" s="25">
        <v>0</v>
      </c>
      <c r="F341" s="25">
        <v>0</v>
      </c>
    </row>
    <row r="342" spans="1:6">
      <c r="A342" t="str">
        <f>IFERROR(VLOOKUP(B342,[1]銷貨單品號主檔!$A:$D,4,0),"學習周邊")</f>
        <v>學習周邊</v>
      </c>
      <c r="B342" s="22" t="s">
        <v>233</v>
      </c>
      <c r="C342" s="22" t="s">
        <v>88</v>
      </c>
      <c r="D342" s="22" t="s">
        <v>54</v>
      </c>
      <c r="E342" s="25">
        <v>0</v>
      </c>
      <c r="F342" s="25">
        <v>0</v>
      </c>
    </row>
    <row r="343" spans="1:6">
      <c r="A343" t="str">
        <f>IFERROR(VLOOKUP(B343,[1]銷貨單品號主檔!$A:$D,4,0),"學習周邊")</f>
        <v>學習周邊</v>
      </c>
      <c r="B343" s="22" t="s">
        <v>233</v>
      </c>
      <c r="C343" s="22" t="s">
        <v>108</v>
      </c>
      <c r="D343" s="22" t="s">
        <v>54</v>
      </c>
      <c r="E343" s="25">
        <v>0</v>
      </c>
      <c r="F343" s="25">
        <v>0</v>
      </c>
    </row>
    <row r="344" spans="1:6">
      <c r="A344" t="str">
        <f>IFERROR(VLOOKUP(B344,[1]銷貨單品號主檔!$A:$D,4,0),"學習周邊")</f>
        <v>學習周邊</v>
      </c>
      <c r="B344" s="22" t="s">
        <v>233</v>
      </c>
      <c r="C344" s="22" t="s">
        <v>53</v>
      </c>
      <c r="D344" s="22" t="s">
        <v>54</v>
      </c>
      <c r="E344" s="25">
        <v>0</v>
      </c>
      <c r="F344" s="25">
        <v>0</v>
      </c>
    </row>
    <row r="345" spans="1:6">
      <c r="A345" t="str">
        <f>IFERROR(VLOOKUP(B345,[1]銷貨單品號主檔!$A:$D,4,0),"學習周邊")</f>
        <v>學習周邊</v>
      </c>
      <c r="B345" s="22" t="s">
        <v>233</v>
      </c>
      <c r="C345" s="22" t="s">
        <v>92</v>
      </c>
      <c r="D345" s="22" t="s">
        <v>54</v>
      </c>
      <c r="E345" s="25">
        <v>0</v>
      </c>
      <c r="F345" s="25">
        <v>0</v>
      </c>
    </row>
    <row r="346" spans="1:6">
      <c r="A346" t="str">
        <f>IFERROR(VLOOKUP(B346,[1]銷貨單品號主檔!$A:$D,4,0),"學習周邊")</f>
        <v>學習周邊</v>
      </c>
      <c r="B346" s="22" t="s">
        <v>233</v>
      </c>
      <c r="C346" s="22" t="s">
        <v>326</v>
      </c>
      <c r="D346" s="22" t="s">
        <v>54</v>
      </c>
      <c r="E346" s="25">
        <v>0</v>
      </c>
      <c r="F346" s="25">
        <v>0</v>
      </c>
    </row>
    <row r="347" spans="1:6">
      <c r="A347" t="str">
        <f>IFERROR(VLOOKUP(B347,[1]銷貨單品號主檔!$A:$D,4,0),"學習周邊")</f>
        <v>學習周邊</v>
      </c>
      <c r="B347" s="22" t="s">
        <v>233</v>
      </c>
      <c r="C347" s="22" t="s">
        <v>328</v>
      </c>
      <c r="D347" s="22" t="s">
        <v>54</v>
      </c>
      <c r="E347" s="25">
        <v>0</v>
      </c>
      <c r="F347" s="25">
        <v>0</v>
      </c>
    </row>
    <row r="348" spans="1:6">
      <c r="A348" t="str">
        <f>IFERROR(VLOOKUP(B348,[1]銷貨單品號主檔!$A:$D,4,0),"學習周邊")</f>
        <v>學習周邊</v>
      </c>
      <c r="B348" s="22" t="s">
        <v>233</v>
      </c>
      <c r="C348" s="22" t="s">
        <v>329</v>
      </c>
      <c r="D348" s="22" t="s">
        <v>54</v>
      </c>
      <c r="E348" s="25">
        <v>0</v>
      </c>
      <c r="F348" s="25">
        <v>0</v>
      </c>
    </row>
    <row r="349" spans="1:6">
      <c r="A349" t="str">
        <f>IFERROR(VLOOKUP(B349,[1]銷貨單品號主檔!$A:$D,4,0),"學習周邊")</f>
        <v>學習周邊</v>
      </c>
      <c r="B349" s="22" t="s">
        <v>233</v>
      </c>
      <c r="C349" s="22" t="s">
        <v>332</v>
      </c>
      <c r="D349" s="22" t="s">
        <v>54</v>
      </c>
      <c r="E349" s="25">
        <v>0</v>
      </c>
      <c r="F349" s="25">
        <v>0</v>
      </c>
    </row>
    <row r="350" spans="1:6">
      <c r="A350" t="str">
        <f>IFERROR(VLOOKUP(B350,[1]銷貨單品號主檔!$A:$D,4,0),"學習周邊")</f>
        <v>學習周邊</v>
      </c>
      <c r="B350" s="22" t="s">
        <v>233</v>
      </c>
      <c r="C350" s="22" t="s">
        <v>330</v>
      </c>
      <c r="D350" s="22" t="s">
        <v>54</v>
      </c>
      <c r="E350" s="25">
        <v>0</v>
      </c>
      <c r="F350" s="25">
        <v>0</v>
      </c>
    </row>
    <row r="351" spans="1:6">
      <c r="A351" t="str">
        <f>IFERROR(VLOOKUP(B351,[1]銷貨單品號主檔!$A:$D,4,0),"學習周邊")</f>
        <v>學習周邊</v>
      </c>
      <c r="B351" s="22" t="s">
        <v>233</v>
      </c>
      <c r="C351" s="22" t="s">
        <v>331</v>
      </c>
      <c r="D351" s="22" t="s">
        <v>54</v>
      </c>
      <c r="E351" s="25">
        <v>0</v>
      </c>
      <c r="F351" s="25">
        <v>0</v>
      </c>
    </row>
    <row r="352" spans="1:6">
      <c r="A352" t="str">
        <f>IFERROR(VLOOKUP(B352,[1]銷貨單品號主檔!$A:$D,4,0),"學習周邊")</f>
        <v>學習周邊</v>
      </c>
      <c r="B352" s="22" t="s">
        <v>233</v>
      </c>
      <c r="C352" s="22" t="s">
        <v>349</v>
      </c>
      <c r="D352" s="22" t="s">
        <v>54</v>
      </c>
      <c r="E352" s="25">
        <v>0</v>
      </c>
      <c r="F352" s="25">
        <v>0</v>
      </c>
    </row>
    <row r="353" spans="1:6">
      <c r="A353" t="str">
        <f>IFERROR(VLOOKUP(B353,[1]銷貨單品號主檔!$A:$D,4,0),"學習周邊")</f>
        <v>學習周邊</v>
      </c>
      <c r="B353" s="22" t="s">
        <v>233</v>
      </c>
      <c r="C353" s="22" t="s">
        <v>354</v>
      </c>
      <c r="D353" s="22" t="s">
        <v>54</v>
      </c>
      <c r="E353" s="25">
        <v>0</v>
      </c>
      <c r="F353" s="25">
        <v>0</v>
      </c>
    </row>
    <row r="354" spans="1:6">
      <c r="A354" t="str">
        <f>IFERROR(VLOOKUP(B354,[1]銷貨單品號主檔!$A:$D,4,0),"學習周邊")</f>
        <v>學習周邊</v>
      </c>
      <c r="B354" s="22" t="s">
        <v>233</v>
      </c>
      <c r="C354" s="22" t="s">
        <v>353</v>
      </c>
      <c r="D354" s="22" t="s">
        <v>54</v>
      </c>
      <c r="E354" s="25">
        <v>0</v>
      </c>
      <c r="F354" s="25">
        <v>0</v>
      </c>
    </row>
    <row r="355" spans="1:6">
      <c r="A355" t="str">
        <f>IFERROR(VLOOKUP(B355,[1]銷貨單品號主檔!$A:$D,4,0),"學習周邊")</f>
        <v>學習周邊</v>
      </c>
      <c r="B355" s="22" t="s">
        <v>150</v>
      </c>
      <c r="C355" s="22" t="s">
        <v>92</v>
      </c>
      <c r="D355" s="22" t="s">
        <v>54</v>
      </c>
      <c r="E355" s="25">
        <v>0</v>
      </c>
      <c r="F355" s="25">
        <v>0</v>
      </c>
    </row>
    <row r="356" spans="1:6">
      <c r="A356" t="str">
        <f>IFERROR(VLOOKUP(B356,[1]銷貨單品號主檔!$A:$D,4,0),"學習周邊")</f>
        <v>學習周邊</v>
      </c>
      <c r="B356" s="22" t="s">
        <v>150</v>
      </c>
      <c r="C356" s="22" t="s">
        <v>331</v>
      </c>
      <c r="D356" s="22" t="s">
        <v>54</v>
      </c>
      <c r="E356" s="25">
        <v>0</v>
      </c>
      <c r="F356" s="25">
        <v>0</v>
      </c>
    </row>
    <row r="357" spans="1:6">
      <c r="A357" t="str">
        <f>IFERROR(VLOOKUP(B357,[1]銷貨單品號主檔!$A:$D,4,0),"學習周邊")</f>
        <v>學習周邊</v>
      </c>
      <c r="B357" s="22" t="s">
        <v>150</v>
      </c>
      <c r="C357" s="22" t="s">
        <v>349</v>
      </c>
      <c r="D357" s="22" t="s">
        <v>54</v>
      </c>
      <c r="E357" s="25">
        <v>0</v>
      </c>
      <c r="F357" s="25">
        <v>0</v>
      </c>
    </row>
    <row r="358" spans="1:6">
      <c r="A358" t="str">
        <f>IFERROR(VLOOKUP(B358,[1]銷貨單品號主檔!$A:$D,4,0),"學習周邊")</f>
        <v>學習周邊</v>
      </c>
      <c r="B358" s="22" t="s">
        <v>150</v>
      </c>
      <c r="C358" s="22" t="s">
        <v>354</v>
      </c>
      <c r="D358" s="22" t="s">
        <v>54</v>
      </c>
      <c r="E358" s="25">
        <v>0</v>
      </c>
      <c r="F358" s="25">
        <v>0</v>
      </c>
    </row>
    <row r="359" spans="1:6">
      <c r="A359" t="str">
        <f>IFERROR(VLOOKUP(B359,[1]銷貨單品號主檔!$A:$D,4,0),"學習周邊")</f>
        <v>學習周邊</v>
      </c>
      <c r="B359" s="22" t="s">
        <v>239</v>
      </c>
      <c r="C359" s="22" t="s">
        <v>92</v>
      </c>
      <c r="D359" s="22" t="s">
        <v>54</v>
      </c>
      <c r="E359" s="25">
        <v>0</v>
      </c>
      <c r="F359" s="25">
        <v>0</v>
      </c>
    </row>
    <row r="360" spans="1:6">
      <c r="A360" t="str">
        <f>IFERROR(VLOOKUP(B360,[1]銷貨單品號主檔!$A:$D,4,0),"學習周邊")</f>
        <v>學習周邊</v>
      </c>
      <c r="B360" s="22" t="s">
        <v>239</v>
      </c>
      <c r="C360" s="22" t="s">
        <v>326</v>
      </c>
      <c r="D360" s="22" t="s">
        <v>54</v>
      </c>
      <c r="E360" s="25">
        <v>0</v>
      </c>
      <c r="F360" s="25">
        <v>0</v>
      </c>
    </row>
    <row r="361" spans="1:6">
      <c r="A361" t="str">
        <f>IFERROR(VLOOKUP(B361,[1]銷貨單品號主檔!$A:$D,4,0),"學習周邊")</f>
        <v>學習周邊</v>
      </c>
      <c r="B361" s="22" t="s">
        <v>239</v>
      </c>
      <c r="C361" s="22" t="s">
        <v>330</v>
      </c>
      <c r="D361" s="22" t="s">
        <v>54</v>
      </c>
      <c r="E361" s="25">
        <v>0</v>
      </c>
      <c r="F361" s="25">
        <v>0</v>
      </c>
    </row>
    <row r="362" spans="1:6">
      <c r="A362" t="str">
        <f>IFERROR(VLOOKUP(B362,[1]銷貨單品號主檔!$A:$D,4,0),"學習周邊")</f>
        <v>學習周邊</v>
      </c>
      <c r="B362" s="22" t="s">
        <v>239</v>
      </c>
      <c r="C362" s="22" t="s">
        <v>331</v>
      </c>
      <c r="D362" s="22" t="s">
        <v>54</v>
      </c>
      <c r="E362" s="25">
        <v>0</v>
      </c>
      <c r="F362" s="25">
        <v>0</v>
      </c>
    </row>
    <row r="363" spans="1:6">
      <c r="A363" t="str">
        <f>IFERROR(VLOOKUP(B363,[1]銷貨單品號主檔!$A:$D,4,0),"學習周邊")</f>
        <v>學習周邊</v>
      </c>
      <c r="B363" s="22" t="s">
        <v>239</v>
      </c>
      <c r="C363" s="22" t="s">
        <v>349</v>
      </c>
      <c r="D363" s="22" t="s">
        <v>54</v>
      </c>
      <c r="E363" s="25">
        <v>0</v>
      </c>
      <c r="F363" s="25">
        <v>0</v>
      </c>
    </row>
    <row r="364" spans="1:6">
      <c r="A364" t="str">
        <f>IFERROR(VLOOKUP(B364,[1]銷貨單品號主檔!$A:$D,4,0),"學習周邊")</f>
        <v>學習周邊</v>
      </c>
      <c r="B364" s="22" t="s">
        <v>239</v>
      </c>
      <c r="C364" s="22" t="s">
        <v>354</v>
      </c>
      <c r="D364" s="22" t="s">
        <v>54</v>
      </c>
      <c r="E364" s="25">
        <v>0</v>
      </c>
      <c r="F364" s="25">
        <v>0</v>
      </c>
    </row>
    <row r="365" spans="1:6">
      <c r="A365" t="str">
        <f>IFERROR(VLOOKUP(B365,[1]銷貨單品號主檔!$A:$D,4,0),"學習周邊")</f>
        <v>學習周邊</v>
      </c>
      <c r="B365" s="22" t="s">
        <v>165</v>
      </c>
      <c r="C365" s="22" t="s">
        <v>66</v>
      </c>
      <c r="D365" s="22" t="s">
        <v>54</v>
      </c>
      <c r="E365" s="25">
        <v>0</v>
      </c>
      <c r="F365" s="25">
        <v>0</v>
      </c>
    </row>
    <row r="366" spans="1:6">
      <c r="A366" t="str">
        <f>IFERROR(VLOOKUP(B366,[1]銷貨單品號主檔!$A:$D,4,0),"學習周邊")</f>
        <v>學習周邊</v>
      </c>
      <c r="B366" s="22" t="s">
        <v>165</v>
      </c>
      <c r="C366" s="22" t="s">
        <v>107</v>
      </c>
      <c r="D366" s="22" t="s">
        <v>54</v>
      </c>
      <c r="E366" s="25">
        <v>0</v>
      </c>
      <c r="F366" s="25">
        <v>0</v>
      </c>
    </row>
    <row r="367" spans="1:6">
      <c r="A367" t="str">
        <f>IFERROR(VLOOKUP(B367,[1]銷貨單品號主檔!$A:$D,4,0),"學習周邊")</f>
        <v>學習周邊</v>
      </c>
      <c r="B367" s="22" t="s">
        <v>165</v>
      </c>
      <c r="C367" s="22" t="s">
        <v>72</v>
      </c>
      <c r="D367" s="22" t="s">
        <v>54</v>
      </c>
      <c r="E367" s="25">
        <v>0</v>
      </c>
      <c r="F367" s="25">
        <v>0</v>
      </c>
    </row>
    <row r="368" spans="1:6">
      <c r="A368" t="str">
        <f>IFERROR(VLOOKUP(B368,[1]銷貨單品號主檔!$A:$D,4,0),"學習周邊")</f>
        <v>學習周邊</v>
      </c>
      <c r="B368" s="22" t="s">
        <v>165</v>
      </c>
      <c r="C368" s="22" t="s">
        <v>76</v>
      </c>
      <c r="D368" s="22" t="s">
        <v>54</v>
      </c>
      <c r="E368" s="25">
        <v>0</v>
      </c>
      <c r="F368" s="25">
        <v>0</v>
      </c>
    </row>
    <row r="369" spans="1:6">
      <c r="A369" t="str">
        <f>IFERROR(VLOOKUP(B369,[1]銷貨單品號主檔!$A:$D,4,0),"學習周邊")</f>
        <v>學習周邊</v>
      </c>
      <c r="B369" s="22" t="s">
        <v>165</v>
      </c>
      <c r="C369" s="22" t="s">
        <v>78</v>
      </c>
      <c r="D369" s="22" t="s">
        <v>54</v>
      </c>
      <c r="E369" s="25">
        <v>0</v>
      </c>
      <c r="F369" s="25">
        <v>0</v>
      </c>
    </row>
    <row r="370" spans="1:6">
      <c r="A370" t="str">
        <f>IFERROR(VLOOKUP(B370,[1]銷貨單品號主檔!$A:$D,4,0),"學習周邊")</f>
        <v>學習周邊</v>
      </c>
      <c r="B370" s="22" t="s">
        <v>165</v>
      </c>
      <c r="C370" s="22" t="s">
        <v>83</v>
      </c>
      <c r="D370" s="22" t="s">
        <v>54</v>
      </c>
      <c r="E370" s="25">
        <v>0</v>
      </c>
      <c r="F370" s="25">
        <v>0</v>
      </c>
    </row>
    <row r="371" spans="1:6">
      <c r="A371" t="str">
        <f>IFERROR(VLOOKUP(B371,[1]銷貨單品號主檔!$A:$D,4,0),"學習周邊")</f>
        <v>學習周邊</v>
      </c>
      <c r="B371" s="22" t="s">
        <v>165</v>
      </c>
      <c r="C371" s="22" t="s">
        <v>85</v>
      </c>
      <c r="D371" s="22" t="s">
        <v>54</v>
      </c>
      <c r="E371" s="25">
        <v>0</v>
      </c>
      <c r="F371" s="25">
        <v>0</v>
      </c>
    </row>
    <row r="372" spans="1:6">
      <c r="A372" t="str">
        <f>IFERROR(VLOOKUP(B372,[1]銷貨單品號主檔!$A:$D,4,0),"學習周邊")</f>
        <v>學習周邊</v>
      </c>
      <c r="B372" s="22" t="s">
        <v>165</v>
      </c>
      <c r="C372" s="22" t="s">
        <v>87</v>
      </c>
      <c r="D372" s="22" t="s">
        <v>54</v>
      </c>
      <c r="E372" s="25">
        <v>0</v>
      </c>
      <c r="F372" s="25">
        <v>0</v>
      </c>
    </row>
    <row r="373" spans="1:6">
      <c r="A373" t="str">
        <f>IFERROR(VLOOKUP(B373,[1]銷貨單品號主檔!$A:$D,4,0),"學習周邊")</f>
        <v>學習周邊</v>
      </c>
      <c r="B373" s="22" t="s">
        <v>240</v>
      </c>
      <c r="C373" s="22" t="s">
        <v>66</v>
      </c>
      <c r="D373" s="22" t="s">
        <v>54</v>
      </c>
      <c r="E373" s="25">
        <v>0</v>
      </c>
      <c r="F373" s="25">
        <v>0</v>
      </c>
    </row>
    <row r="374" spans="1:6">
      <c r="A374" t="str">
        <f>IFERROR(VLOOKUP(B374,[1]銷貨單品號主檔!$A:$D,4,0),"學習周邊")</f>
        <v>學習周邊</v>
      </c>
      <c r="B374" s="22" t="s">
        <v>240</v>
      </c>
      <c r="C374" s="22" t="s">
        <v>107</v>
      </c>
      <c r="D374" s="22" t="s">
        <v>54</v>
      </c>
      <c r="E374" s="25">
        <v>0</v>
      </c>
      <c r="F374" s="25">
        <v>0</v>
      </c>
    </row>
    <row r="375" spans="1:6">
      <c r="A375" t="str">
        <f>IFERROR(VLOOKUP(B375,[1]銷貨單品號主檔!$A:$D,4,0),"學習周邊")</f>
        <v>學習周邊</v>
      </c>
      <c r="B375" s="22" t="s">
        <v>240</v>
      </c>
      <c r="C375" s="22" t="s">
        <v>72</v>
      </c>
      <c r="D375" s="22" t="s">
        <v>54</v>
      </c>
      <c r="E375" s="25">
        <v>0</v>
      </c>
      <c r="F375" s="25">
        <v>0</v>
      </c>
    </row>
    <row r="376" spans="1:6">
      <c r="A376" t="str">
        <f>IFERROR(VLOOKUP(B376,[1]銷貨單品號主檔!$A:$D,4,0),"學習周邊")</f>
        <v>學習周邊</v>
      </c>
      <c r="B376" s="22" t="s">
        <v>240</v>
      </c>
      <c r="C376" s="22" t="s">
        <v>76</v>
      </c>
      <c r="D376" s="22" t="s">
        <v>54</v>
      </c>
      <c r="E376" s="25">
        <v>0</v>
      </c>
      <c r="F376" s="25">
        <v>0</v>
      </c>
    </row>
    <row r="377" spans="1:6">
      <c r="A377" t="str">
        <f>IFERROR(VLOOKUP(B377,[1]銷貨單品號主檔!$A:$D,4,0),"學習周邊")</f>
        <v>學習周邊</v>
      </c>
      <c r="B377" s="22" t="s">
        <v>240</v>
      </c>
      <c r="C377" s="22" t="s">
        <v>78</v>
      </c>
      <c r="D377" s="22" t="s">
        <v>54</v>
      </c>
      <c r="E377" s="25">
        <v>0</v>
      </c>
      <c r="F377" s="25">
        <v>0</v>
      </c>
    </row>
    <row r="378" spans="1:6">
      <c r="A378" t="str">
        <f>IFERROR(VLOOKUP(B378,[1]銷貨單品號主檔!$A:$D,4,0),"學習周邊")</f>
        <v>學習周邊</v>
      </c>
      <c r="B378" s="22" t="s">
        <v>240</v>
      </c>
      <c r="C378" s="22" t="s">
        <v>81</v>
      </c>
      <c r="D378" s="22" t="s">
        <v>54</v>
      </c>
      <c r="E378" s="25">
        <v>0</v>
      </c>
      <c r="F378" s="25">
        <v>0</v>
      </c>
    </row>
    <row r="379" spans="1:6">
      <c r="A379" t="str">
        <f>IFERROR(VLOOKUP(B379,[1]銷貨單品號主檔!$A:$D,4,0),"學習周邊")</f>
        <v>學習周邊</v>
      </c>
      <c r="B379" s="22" t="s">
        <v>240</v>
      </c>
      <c r="C379" s="22" t="s">
        <v>83</v>
      </c>
      <c r="D379" s="22" t="s">
        <v>54</v>
      </c>
      <c r="E379" s="25">
        <v>0</v>
      </c>
      <c r="F379" s="25">
        <v>0</v>
      </c>
    </row>
    <row r="380" spans="1:6">
      <c r="A380" t="str">
        <f>IFERROR(VLOOKUP(B380,[1]銷貨單品號主檔!$A:$D,4,0),"學習周邊")</f>
        <v>學習周邊</v>
      </c>
      <c r="B380" s="22" t="s">
        <v>240</v>
      </c>
      <c r="C380" s="22" t="s">
        <v>85</v>
      </c>
      <c r="D380" s="22" t="s">
        <v>54</v>
      </c>
      <c r="E380" s="25">
        <v>0</v>
      </c>
      <c r="F380" s="25">
        <v>0</v>
      </c>
    </row>
    <row r="381" spans="1:6">
      <c r="A381" t="str">
        <f>IFERROR(VLOOKUP(B381,[1]銷貨單品號主檔!$A:$D,4,0),"學習周邊")</f>
        <v>學習周邊</v>
      </c>
      <c r="B381" s="22" t="s">
        <v>240</v>
      </c>
      <c r="C381" s="22" t="s">
        <v>87</v>
      </c>
      <c r="D381" s="22" t="s">
        <v>54</v>
      </c>
      <c r="E381" s="25">
        <v>0</v>
      </c>
      <c r="F381" s="25">
        <v>0</v>
      </c>
    </row>
    <row r="382" spans="1:6">
      <c r="A382" t="str">
        <f>IFERROR(VLOOKUP(B382,[1]銷貨單品號主檔!$A:$D,4,0),"學習周邊")</f>
        <v>學習周邊</v>
      </c>
      <c r="B382" s="22" t="s">
        <v>241</v>
      </c>
      <c r="C382" s="22" t="s">
        <v>56</v>
      </c>
      <c r="D382" s="22" t="s">
        <v>54</v>
      </c>
      <c r="E382" s="25">
        <v>0</v>
      </c>
      <c r="F382" s="25">
        <v>0</v>
      </c>
    </row>
    <row r="383" spans="1:6">
      <c r="A383" t="str">
        <f>IFERROR(VLOOKUP(B383,[1]銷貨單品號主檔!$A:$D,4,0),"學習周邊")</f>
        <v>學習周邊</v>
      </c>
      <c r="B383" s="22" t="s">
        <v>241</v>
      </c>
      <c r="C383" s="22" t="s">
        <v>60</v>
      </c>
      <c r="D383" s="22" t="s">
        <v>54</v>
      </c>
      <c r="E383" s="25">
        <v>0</v>
      </c>
      <c r="F383" s="25">
        <v>0</v>
      </c>
    </row>
    <row r="384" spans="1:6">
      <c r="A384" t="str">
        <f>IFERROR(VLOOKUP(B384,[1]銷貨單品號主檔!$A:$D,4,0),"學習周邊")</f>
        <v>學習周邊</v>
      </c>
      <c r="B384" s="22" t="s">
        <v>241</v>
      </c>
      <c r="C384" s="22" t="s">
        <v>62</v>
      </c>
      <c r="D384" s="22" t="s">
        <v>54</v>
      </c>
      <c r="E384" s="25">
        <v>0</v>
      </c>
      <c r="F384" s="25">
        <v>0</v>
      </c>
    </row>
    <row r="385" spans="1:6">
      <c r="A385" t="str">
        <f>IFERROR(VLOOKUP(B385,[1]銷貨單品號主檔!$A:$D,4,0),"學習周邊")</f>
        <v>學習周邊</v>
      </c>
      <c r="B385" s="22" t="s">
        <v>241</v>
      </c>
      <c r="C385" s="22" t="s">
        <v>65</v>
      </c>
      <c r="D385" s="22" t="s">
        <v>54</v>
      </c>
      <c r="E385" s="25">
        <v>0</v>
      </c>
      <c r="F385" s="25">
        <v>0</v>
      </c>
    </row>
    <row r="386" spans="1:6">
      <c r="A386" t="str">
        <f>IFERROR(VLOOKUP(B386,[1]銷貨單品號主檔!$A:$D,4,0),"學習周邊")</f>
        <v>學習周邊</v>
      </c>
      <c r="B386" s="22" t="s">
        <v>241</v>
      </c>
      <c r="C386" s="22" t="s">
        <v>67</v>
      </c>
      <c r="D386" s="22" t="s">
        <v>54</v>
      </c>
      <c r="E386" s="25">
        <v>0</v>
      </c>
      <c r="F386" s="25">
        <v>0</v>
      </c>
    </row>
    <row r="387" spans="1:6">
      <c r="A387" t="str">
        <f>IFERROR(VLOOKUP(B387,[1]銷貨單品號主檔!$A:$D,4,0),"學習周邊")</f>
        <v>學習周邊</v>
      </c>
      <c r="B387" s="22" t="s">
        <v>241</v>
      </c>
      <c r="C387" s="22" t="s">
        <v>73</v>
      </c>
      <c r="D387" s="22" t="s">
        <v>54</v>
      </c>
      <c r="E387" s="25">
        <v>0</v>
      </c>
      <c r="F387" s="25">
        <v>0</v>
      </c>
    </row>
    <row r="388" spans="1:6">
      <c r="A388" t="str">
        <f>IFERROR(VLOOKUP(B388,[1]銷貨單品號主檔!$A:$D,4,0),"學習周邊")</f>
        <v>學習周邊</v>
      </c>
      <c r="B388" s="22" t="s">
        <v>241</v>
      </c>
      <c r="C388" s="22" t="s">
        <v>59</v>
      </c>
      <c r="D388" s="22" t="s">
        <v>54</v>
      </c>
      <c r="E388" s="25">
        <v>0</v>
      </c>
      <c r="F388" s="25">
        <v>0</v>
      </c>
    </row>
    <row r="389" spans="1:6">
      <c r="A389" t="str">
        <f>IFERROR(VLOOKUP(B389,[1]銷貨單品號主檔!$A:$D,4,0),"學習周邊")</f>
        <v>學習周邊</v>
      </c>
      <c r="B389" s="22" t="s">
        <v>241</v>
      </c>
      <c r="C389" s="22" t="s">
        <v>66</v>
      </c>
      <c r="D389" s="22" t="s">
        <v>54</v>
      </c>
      <c r="E389" s="25">
        <v>0</v>
      </c>
      <c r="F389" s="25">
        <v>0</v>
      </c>
    </row>
    <row r="390" spans="1:6">
      <c r="A390" t="str">
        <f>IFERROR(VLOOKUP(B390,[1]銷貨單品號主檔!$A:$D,4,0),"學習周邊")</f>
        <v>學習周邊</v>
      </c>
      <c r="B390" s="22" t="s">
        <v>241</v>
      </c>
      <c r="C390" s="22" t="s">
        <v>107</v>
      </c>
      <c r="D390" s="22" t="s">
        <v>54</v>
      </c>
      <c r="E390" s="25">
        <v>0</v>
      </c>
      <c r="F390" s="25">
        <v>0</v>
      </c>
    </row>
    <row r="391" spans="1:6">
      <c r="A391" t="str">
        <f>IFERROR(VLOOKUP(B391,[1]銷貨單品號主檔!$A:$D,4,0),"學習周邊")</f>
        <v>學習周邊</v>
      </c>
      <c r="B391" s="22" t="s">
        <v>241</v>
      </c>
      <c r="C391" s="22" t="s">
        <v>72</v>
      </c>
      <c r="D391" s="22" t="s">
        <v>54</v>
      </c>
      <c r="E391" s="25">
        <v>0</v>
      </c>
      <c r="F391" s="25">
        <v>0</v>
      </c>
    </row>
    <row r="392" spans="1:6">
      <c r="A392" t="str">
        <f>IFERROR(VLOOKUP(B392,[1]銷貨單品號主檔!$A:$D,4,0),"學習周邊")</f>
        <v>學習周邊</v>
      </c>
      <c r="B392" s="22" t="s">
        <v>241</v>
      </c>
      <c r="C392" s="22" t="s">
        <v>76</v>
      </c>
      <c r="D392" s="22" t="s">
        <v>54</v>
      </c>
      <c r="E392" s="25">
        <v>0</v>
      </c>
      <c r="F392" s="25">
        <v>0</v>
      </c>
    </row>
    <row r="393" spans="1:6">
      <c r="A393" t="str">
        <f>IFERROR(VLOOKUP(B393,[1]銷貨單品號主檔!$A:$D,4,0),"學習周邊")</f>
        <v>學習周邊</v>
      </c>
      <c r="B393" s="22" t="s">
        <v>241</v>
      </c>
      <c r="C393" s="22" t="s">
        <v>78</v>
      </c>
      <c r="D393" s="22" t="s">
        <v>54</v>
      </c>
      <c r="E393" s="25">
        <v>0</v>
      </c>
      <c r="F393" s="25">
        <v>0</v>
      </c>
    </row>
    <row r="394" spans="1:6">
      <c r="A394" t="str">
        <f>IFERROR(VLOOKUP(B394,[1]銷貨單品號主檔!$A:$D,4,0),"學習周邊")</f>
        <v>學習周邊</v>
      </c>
      <c r="B394" s="22" t="s">
        <v>241</v>
      </c>
      <c r="C394" s="22" t="s">
        <v>81</v>
      </c>
      <c r="D394" s="22" t="s">
        <v>54</v>
      </c>
      <c r="E394" s="25">
        <v>0</v>
      </c>
      <c r="F394" s="25">
        <v>0</v>
      </c>
    </row>
    <row r="395" spans="1:6">
      <c r="A395" t="str">
        <f>IFERROR(VLOOKUP(B395,[1]銷貨單品號主檔!$A:$D,4,0),"學習周邊")</f>
        <v>學習周邊</v>
      </c>
      <c r="B395" s="22" t="s">
        <v>241</v>
      </c>
      <c r="C395" s="22" t="s">
        <v>83</v>
      </c>
      <c r="D395" s="22" t="s">
        <v>54</v>
      </c>
      <c r="E395" s="25">
        <v>0</v>
      </c>
      <c r="F395" s="25">
        <v>0</v>
      </c>
    </row>
    <row r="396" spans="1:6">
      <c r="A396" t="str">
        <f>IFERROR(VLOOKUP(B396,[1]銷貨單品號主檔!$A:$D,4,0),"學習周邊")</f>
        <v>學習周邊</v>
      </c>
      <c r="B396" s="22" t="s">
        <v>241</v>
      </c>
      <c r="C396" s="22" t="s">
        <v>85</v>
      </c>
      <c r="D396" s="22" t="s">
        <v>54</v>
      </c>
      <c r="E396" s="25">
        <v>0</v>
      </c>
      <c r="F396" s="25">
        <v>0</v>
      </c>
    </row>
    <row r="397" spans="1:6">
      <c r="A397" t="str">
        <f>IFERROR(VLOOKUP(B397,[1]銷貨單品號主檔!$A:$D,4,0),"學習周邊")</f>
        <v>學習周邊</v>
      </c>
      <c r="B397" s="22" t="s">
        <v>241</v>
      </c>
      <c r="C397" s="22" t="s">
        <v>87</v>
      </c>
      <c r="D397" s="22" t="s">
        <v>54</v>
      </c>
      <c r="E397" s="25">
        <v>0</v>
      </c>
      <c r="F397" s="25">
        <v>0</v>
      </c>
    </row>
    <row r="398" spans="1:6">
      <c r="A398" t="str">
        <f>IFERROR(VLOOKUP(B398,[1]銷貨單品號主檔!$A:$D,4,0),"學習周邊")</f>
        <v>學習周邊</v>
      </c>
      <c r="B398" s="22" t="s">
        <v>241</v>
      </c>
      <c r="C398" s="22" t="s">
        <v>90</v>
      </c>
      <c r="D398" s="22" t="s">
        <v>54</v>
      </c>
      <c r="E398" s="25">
        <v>0</v>
      </c>
      <c r="F398" s="25">
        <v>0</v>
      </c>
    </row>
    <row r="399" spans="1:6">
      <c r="A399" t="str">
        <f>IFERROR(VLOOKUP(B399,[1]銷貨單品號主檔!$A:$D,4,0),"學習周邊")</f>
        <v>學習周邊</v>
      </c>
      <c r="B399" s="22" t="s">
        <v>241</v>
      </c>
      <c r="C399" s="22" t="s">
        <v>88</v>
      </c>
      <c r="D399" s="22" t="s">
        <v>54</v>
      </c>
      <c r="E399" s="25">
        <v>0</v>
      </c>
      <c r="F399" s="25">
        <v>0</v>
      </c>
    </row>
    <row r="400" spans="1:6">
      <c r="A400" t="str">
        <f>IFERROR(VLOOKUP(B400,[1]銷貨單品號主檔!$A:$D,4,0),"學習周邊")</f>
        <v>學習周邊</v>
      </c>
      <c r="B400" s="22" t="s">
        <v>241</v>
      </c>
      <c r="C400" s="22" t="s">
        <v>108</v>
      </c>
      <c r="D400" s="22" t="s">
        <v>54</v>
      </c>
      <c r="E400" s="25">
        <v>0</v>
      </c>
      <c r="F400" s="25">
        <v>0</v>
      </c>
    </row>
    <row r="401" spans="1:6">
      <c r="A401" t="str">
        <f>IFERROR(VLOOKUP(B401,[1]銷貨單品號主檔!$A:$D,4,0),"學習周邊")</f>
        <v>學習周邊</v>
      </c>
      <c r="B401" s="22" t="s">
        <v>241</v>
      </c>
      <c r="C401" s="22" t="s">
        <v>53</v>
      </c>
      <c r="D401" s="22" t="s">
        <v>54</v>
      </c>
      <c r="E401" s="25">
        <v>0</v>
      </c>
      <c r="F401" s="25">
        <v>0</v>
      </c>
    </row>
    <row r="402" spans="1:6">
      <c r="A402" t="str">
        <f>IFERROR(VLOOKUP(B402,[1]銷貨單品號主檔!$A:$D,4,0),"學習周邊")</f>
        <v>學習周邊</v>
      </c>
      <c r="B402" s="22" t="s">
        <v>241</v>
      </c>
      <c r="C402" s="22" t="s">
        <v>92</v>
      </c>
      <c r="D402" s="22" t="s">
        <v>54</v>
      </c>
      <c r="E402" s="25">
        <v>0</v>
      </c>
      <c r="F402" s="25">
        <v>0</v>
      </c>
    </row>
    <row r="403" spans="1:6">
      <c r="A403" t="str">
        <f>IFERROR(VLOOKUP(B403,[1]銷貨單品號主檔!$A:$D,4,0),"學習周邊")</f>
        <v>學習周邊</v>
      </c>
      <c r="B403" s="22" t="s">
        <v>241</v>
      </c>
      <c r="C403" s="22" t="s">
        <v>326</v>
      </c>
      <c r="D403" s="22" t="s">
        <v>54</v>
      </c>
      <c r="E403" s="25">
        <v>0</v>
      </c>
      <c r="F403" s="25">
        <v>0</v>
      </c>
    </row>
    <row r="404" spans="1:6">
      <c r="A404" t="str">
        <f>IFERROR(VLOOKUP(B404,[1]銷貨單品號主檔!$A:$D,4,0),"學習周邊")</f>
        <v>學習周邊</v>
      </c>
      <c r="B404" s="22" t="s">
        <v>241</v>
      </c>
      <c r="C404" s="22" t="s">
        <v>328</v>
      </c>
      <c r="D404" s="22" t="s">
        <v>54</v>
      </c>
      <c r="E404" s="25">
        <v>0</v>
      </c>
      <c r="F404" s="25">
        <v>0</v>
      </c>
    </row>
    <row r="405" spans="1:6">
      <c r="A405" t="str">
        <f>IFERROR(VLOOKUP(B405,[1]銷貨單品號主檔!$A:$D,4,0),"學習周邊")</f>
        <v>學習周邊</v>
      </c>
      <c r="B405" s="22" t="s">
        <v>241</v>
      </c>
      <c r="C405" s="22" t="s">
        <v>332</v>
      </c>
      <c r="D405" s="22" t="s">
        <v>54</v>
      </c>
      <c r="E405" s="25">
        <v>0</v>
      </c>
      <c r="F405" s="25">
        <v>0</v>
      </c>
    </row>
    <row r="406" spans="1:6">
      <c r="A406" t="str">
        <f>IFERROR(VLOOKUP(B406,[1]銷貨單品號主檔!$A:$D,4,0),"學習周邊")</f>
        <v>學習周邊</v>
      </c>
      <c r="B406" s="22" t="s">
        <v>241</v>
      </c>
      <c r="C406" s="22" t="s">
        <v>330</v>
      </c>
      <c r="D406" s="22" t="s">
        <v>54</v>
      </c>
      <c r="E406" s="25">
        <v>0</v>
      </c>
      <c r="F406" s="25">
        <v>0</v>
      </c>
    </row>
    <row r="407" spans="1:6">
      <c r="A407" t="str">
        <f>IFERROR(VLOOKUP(B407,[1]銷貨單品號主檔!$A:$D,4,0),"學習周邊")</f>
        <v>學習周邊</v>
      </c>
      <c r="B407" s="22" t="s">
        <v>241</v>
      </c>
      <c r="C407" s="22" t="s">
        <v>331</v>
      </c>
      <c r="D407" s="22" t="s">
        <v>54</v>
      </c>
      <c r="E407" s="25">
        <v>0</v>
      </c>
      <c r="F407" s="25">
        <v>0</v>
      </c>
    </row>
    <row r="408" spans="1:6">
      <c r="A408" t="str">
        <f>IFERROR(VLOOKUP(B408,[1]銷貨單品號主檔!$A:$D,4,0),"學習周邊")</f>
        <v>學習周邊</v>
      </c>
      <c r="B408" s="22" t="s">
        <v>241</v>
      </c>
      <c r="C408" s="22" t="s">
        <v>349</v>
      </c>
      <c r="D408" s="22" t="s">
        <v>54</v>
      </c>
      <c r="E408" s="25">
        <v>0</v>
      </c>
      <c r="F408" s="25">
        <v>0</v>
      </c>
    </row>
    <row r="409" spans="1:6">
      <c r="A409" t="str">
        <f>IFERROR(VLOOKUP(B409,[1]銷貨單品號主檔!$A:$D,4,0),"學習周邊")</f>
        <v>學習周邊</v>
      </c>
      <c r="B409" s="22" t="s">
        <v>241</v>
      </c>
      <c r="C409" s="22" t="s">
        <v>354</v>
      </c>
      <c r="D409" s="22" t="s">
        <v>54</v>
      </c>
      <c r="E409" s="25">
        <v>0</v>
      </c>
      <c r="F409" s="25">
        <v>0</v>
      </c>
    </row>
    <row r="410" spans="1:6">
      <c r="A410" t="str">
        <f>IFERROR(VLOOKUP(B410,[1]銷貨單品號主檔!$A:$D,4,0),"學習周邊")</f>
        <v>學習周邊</v>
      </c>
      <c r="B410" s="22" t="s">
        <v>241</v>
      </c>
      <c r="C410" s="22" t="s">
        <v>353</v>
      </c>
      <c r="D410" s="22" t="s">
        <v>54</v>
      </c>
      <c r="E410" s="25">
        <v>0</v>
      </c>
      <c r="F410" s="25">
        <v>0</v>
      </c>
    </row>
    <row r="411" spans="1:6">
      <c r="A411" t="str">
        <f>IFERROR(VLOOKUP(B411,[1]銷貨單品號主檔!$A:$D,4,0),"學習周邊")</f>
        <v>生活周邊</v>
      </c>
      <c r="B411" s="22" t="s">
        <v>242</v>
      </c>
      <c r="C411" s="22" t="s">
        <v>59</v>
      </c>
      <c r="D411" s="22" t="s">
        <v>54</v>
      </c>
      <c r="E411" s="25">
        <v>1</v>
      </c>
      <c r="F411" s="25">
        <v>271.42857142857144</v>
      </c>
    </row>
    <row r="412" spans="1:6">
      <c r="A412" t="str">
        <f>IFERROR(VLOOKUP(B412,[1]銷貨單品號主檔!$A:$D,4,0),"學習周邊")</f>
        <v>生活周邊</v>
      </c>
      <c r="B412" s="22" t="s">
        <v>242</v>
      </c>
      <c r="C412" s="22" t="s">
        <v>81</v>
      </c>
      <c r="D412" s="22" t="s">
        <v>54</v>
      </c>
      <c r="E412" s="25">
        <v>1</v>
      </c>
      <c r="F412" s="25">
        <v>271.42857142857144</v>
      </c>
    </row>
    <row r="413" spans="1:6">
      <c r="A413" t="str">
        <f>IFERROR(VLOOKUP(B413,[1]銷貨單品號主檔!$A:$D,4,0),"學習周邊")</f>
        <v>生活周邊</v>
      </c>
      <c r="B413" s="22" t="s">
        <v>242</v>
      </c>
      <c r="C413" s="22" t="s">
        <v>108</v>
      </c>
      <c r="D413" s="22" t="s">
        <v>54</v>
      </c>
      <c r="E413" s="25">
        <v>1</v>
      </c>
      <c r="F413" s="25">
        <v>271.42857142857144</v>
      </c>
    </row>
    <row r="414" spans="1:6">
      <c r="A414" t="str">
        <f>IFERROR(VLOOKUP(B414,[1]銷貨單品號主檔!$A:$D,4,0),"學習周邊")</f>
        <v>生活周邊</v>
      </c>
      <c r="B414" s="22" t="s">
        <v>242</v>
      </c>
      <c r="C414" s="22" t="s">
        <v>330</v>
      </c>
      <c r="D414" s="22" t="s">
        <v>54</v>
      </c>
      <c r="E414" s="25">
        <v>1</v>
      </c>
      <c r="F414" s="25">
        <v>271.42857142857144</v>
      </c>
    </row>
    <row r="415" spans="1:6">
      <c r="A415" t="str">
        <f>IFERROR(VLOOKUP(B415,[1]銷貨單品號主檔!$A:$D,4,0),"學習周邊")</f>
        <v>生活周邊</v>
      </c>
      <c r="B415" s="22" t="s">
        <v>243</v>
      </c>
      <c r="C415" s="22" t="s">
        <v>76</v>
      </c>
      <c r="D415" s="22" t="s">
        <v>54</v>
      </c>
      <c r="E415" s="25">
        <v>1</v>
      </c>
      <c r="F415" s="25">
        <v>942.85714285714278</v>
      </c>
    </row>
    <row r="416" spans="1:6">
      <c r="A416" t="str">
        <f>IFERROR(VLOOKUP(B416,[1]銷貨單品號主檔!$A:$D,4,0),"學習周邊")</f>
        <v>生活周邊</v>
      </c>
      <c r="B416" s="22" t="s">
        <v>243</v>
      </c>
      <c r="C416" s="22" t="s">
        <v>90</v>
      </c>
      <c r="D416" s="22" t="s">
        <v>54</v>
      </c>
      <c r="E416" s="25">
        <v>1</v>
      </c>
      <c r="F416" s="25">
        <v>942.85714285714278</v>
      </c>
    </row>
    <row r="417" spans="1:9">
      <c r="A417" t="str">
        <f>IFERROR(VLOOKUP(B417,[1]銷貨單品號主檔!$A:$D,4,0),"學習周邊")</f>
        <v>生活周邊</v>
      </c>
      <c r="B417" s="22" t="s">
        <v>243</v>
      </c>
      <c r="C417" s="22" t="s">
        <v>53</v>
      </c>
      <c r="D417" s="22" t="s">
        <v>54</v>
      </c>
      <c r="E417" s="25">
        <v>1</v>
      </c>
      <c r="F417" s="25">
        <v>942.85714285714278</v>
      </c>
    </row>
    <row r="418" spans="1:9">
      <c r="A418" t="str">
        <f>IFERROR(VLOOKUP(B418,[1]銷貨單品號主檔!$A:$D,4,0),"學習周邊")</f>
        <v>生活周邊</v>
      </c>
      <c r="B418" s="22" t="s">
        <v>244</v>
      </c>
      <c r="C418" s="22" t="s">
        <v>62</v>
      </c>
      <c r="D418" s="22" t="s">
        <v>54</v>
      </c>
      <c r="E418" s="25">
        <v>1</v>
      </c>
      <c r="F418" s="25">
        <v>166.66666666666666</v>
      </c>
    </row>
    <row r="419" spans="1:9">
      <c r="A419" t="str">
        <f>IFERROR(VLOOKUP(B419,[1]銷貨單品號主檔!$A:$D,4,0),"學習周邊")</f>
        <v>生活周邊</v>
      </c>
      <c r="B419" s="22" t="s">
        <v>244</v>
      </c>
      <c r="C419" s="22" t="s">
        <v>66</v>
      </c>
      <c r="D419" s="22" t="s">
        <v>54</v>
      </c>
      <c r="E419" s="25">
        <v>1</v>
      </c>
      <c r="F419" s="25">
        <v>166.66666666666666</v>
      </c>
    </row>
    <row r="420" spans="1:9">
      <c r="A420" t="str">
        <f>IFERROR(VLOOKUP(B420,[1]銷貨單品號主檔!$A:$D,4,0),"學習周邊")</f>
        <v>生活周邊</v>
      </c>
      <c r="B420" s="22" t="s">
        <v>244</v>
      </c>
      <c r="C420" s="22" t="s">
        <v>76</v>
      </c>
      <c r="D420" s="22" t="s">
        <v>54</v>
      </c>
      <c r="E420" s="25">
        <v>2</v>
      </c>
      <c r="F420" s="25">
        <v>333.33333333333331</v>
      </c>
    </row>
    <row r="421" spans="1:9">
      <c r="A421" t="str">
        <f>IFERROR(VLOOKUP(B421,[1]銷貨單品號主檔!$A:$D,4,0),"學習周邊")</f>
        <v>生活周邊</v>
      </c>
      <c r="B421" s="22" t="s">
        <v>244</v>
      </c>
      <c r="C421" s="22" t="s">
        <v>85</v>
      </c>
      <c r="D421" s="22" t="s">
        <v>54</v>
      </c>
      <c r="E421" s="25">
        <v>1</v>
      </c>
      <c r="F421" s="25">
        <v>166.66666666666666</v>
      </c>
    </row>
    <row r="422" spans="1:9">
      <c r="A422" t="str">
        <f>IFERROR(VLOOKUP(B422,[1]銷貨單品號主檔!$A:$D,4,0),"學習周邊")</f>
        <v>生活周邊</v>
      </c>
      <c r="B422" s="22" t="s">
        <v>245</v>
      </c>
      <c r="C422" s="22" t="s">
        <v>56</v>
      </c>
      <c r="D422" s="22" t="s">
        <v>54</v>
      </c>
      <c r="E422" s="25">
        <v>0</v>
      </c>
      <c r="F422" s="25">
        <v>0</v>
      </c>
    </row>
    <row r="423" spans="1:9">
      <c r="A423" t="str">
        <f>IFERROR(VLOOKUP(B423,[1]銷貨單品號主檔!$A:$D,4,0),"學習周邊")</f>
        <v>生活周邊</v>
      </c>
      <c r="B423" s="22" t="s">
        <v>245</v>
      </c>
      <c r="C423" s="22" t="s">
        <v>60</v>
      </c>
      <c r="D423" s="22" t="s">
        <v>54</v>
      </c>
      <c r="E423" s="25">
        <v>0</v>
      </c>
      <c r="F423" s="25">
        <v>0</v>
      </c>
    </row>
    <row r="424" spans="1:9" s="23" customFormat="1">
      <c r="A424" t="str">
        <f>IFERROR(VLOOKUP(B424,[1]銷貨單品號主檔!$A:$D,4,0),"學習周邊")</f>
        <v>生活周邊</v>
      </c>
      <c r="B424" s="22" t="s">
        <v>245</v>
      </c>
      <c r="C424" s="22" t="s">
        <v>67</v>
      </c>
      <c r="D424" s="22" t="s">
        <v>54</v>
      </c>
      <c r="E424" s="25">
        <v>0</v>
      </c>
      <c r="F424" s="25">
        <v>0</v>
      </c>
      <c r="G424"/>
      <c r="H424"/>
      <c r="I424"/>
    </row>
    <row r="425" spans="1:9" s="23" customFormat="1">
      <c r="A425" t="str">
        <f>IFERROR(VLOOKUP(B425,[1]銷貨單品號主檔!$A:$D,4,0),"學習周邊")</f>
        <v>生活周邊</v>
      </c>
      <c r="B425" s="22" t="s">
        <v>245</v>
      </c>
      <c r="C425" s="22" t="s">
        <v>73</v>
      </c>
      <c r="D425" s="22" t="s">
        <v>54</v>
      </c>
      <c r="E425" s="25">
        <v>1</v>
      </c>
      <c r="F425" s="25">
        <v>151.42857142857142</v>
      </c>
      <c r="G425"/>
      <c r="H425"/>
      <c r="I425"/>
    </row>
    <row r="426" spans="1:9" s="23" customFormat="1">
      <c r="A426" t="str">
        <f>IFERROR(VLOOKUP(B426,[1]銷貨單品號主檔!$A:$D,4,0),"學習周邊")</f>
        <v>生活周邊</v>
      </c>
      <c r="B426" s="22" t="s">
        <v>245</v>
      </c>
      <c r="C426" s="22" t="s">
        <v>66</v>
      </c>
      <c r="D426" s="22" t="s">
        <v>54</v>
      </c>
      <c r="E426" s="25">
        <v>1</v>
      </c>
      <c r="F426" s="25">
        <v>189.52380952380952</v>
      </c>
      <c r="G426"/>
      <c r="H426"/>
      <c r="I426"/>
    </row>
    <row r="427" spans="1:9" s="23" customFormat="1">
      <c r="A427" t="str">
        <f>IFERROR(VLOOKUP(B427,[1]銷貨單品號主檔!$A:$D,4,0),"學習周邊")</f>
        <v>生活周邊</v>
      </c>
      <c r="B427" s="22" t="s">
        <v>245</v>
      </c>
      <c r="C427" s="22" t="s">
        <v>107</v>
      </c>
      <c r="D427" s="22" t="s">
        <v>54</v>
      </c>
      <c r="E427" s="25">
        <v>2</v>
      </c>
      <c r="F427" s="25">
        <v>302.85714285714283</v>
      </c>
      <c r="G427"/>
      <c r="H427"/>
      <c r="I427"/>
    </row>
    <row r="428" spans="1:9" s="23" customFormat="1">
      <c r="A428" t="str">
        <f>IFERROR(VLOOKUP(B428,[1]銷貨單品號主檔!$A:$D,4,0),"學習周邊")</f>
        <v>生活周邊</v>
      </c>
      <c r="B428" s="22" t="s">
        <v>245</v>
      </c>
      <c r="C428" s="22" t="s">
        <v>72</v>
      </c>
      <c r="D428" s="22" t="s">
        <v>54</v>
      </c>
      <c r="E428" s="25">
        <v>1</v>
      </c>
      <c r="F428" s="25">
        <v>151.42857142857142</v>
      </c>
      <c r="G428"/>
      <c r="H428"/>
      <c r="I428"/>
    </row>
    <row r="429" spans="1:9" s="23" customFormat="1">
      <c r="A429" t="str">
        <f>IFERROR(VLOOKUP(B429,[1]銷貨單品號主檔!$A:$D,4,0),"學習周邊")</f>
        <v>生活周邊</v>
      </c>
      <c r="B429" s="22" t="s">
        <v>245</v>
      </c>
      <c r="C429" s="22" t="s">
        <v>87</v>
      </c>
      <c r="D429" s="22" t="s">
        <v>54</v>
      </c>
      <c r="E429" s="25">
        <v>1</v>
      </c>
      <c r="F429" s="25">
        <v>189.52380952380952</v>
      </c>
      <c r="G429"/>
      <c r="H429"/>
      <c r="I429"/>
    </row>
    <row r="430" spans="1:9" s="23" customFormat="1">
      <c r="A430" t="str">
        <f>IFERROR(VLOOKUP(B430,[1]銷貨單品號主檔!$A:$D,4,0),"學習周邊")</f>
        <v>生活周邊</v>
      </c>
      <c r="B430" s="22" t="s">
        <v>245</v>
      </c>
      <c r="C430" s="22" t="s">
        <v>88</v>
      </c>
      <c r="D430" s="22" t="s">
        <v>54</v>
      </c>
      <c r="E430" s="25">
        <v>2</v>
      </c>
      <c r="F430" s="25">
        <v>302.85714285714283</v>
      </c>
      <c r="G430"/>
      <c r="H430"/>
      <c r="I430"/>
    </row>
    <row r="431" spans="1:9" s="23" customFormat="1">
      <c r="A431" t="str">
        <f>IFERROR(VLOOKUP(B431,[1]銷貨單品號主檔!$A:$D,4,0),"學習周邊")</f>
        <v>生活周邊</v>
      </c>
      <c r="B431" s="22" t="s">
        <v>245</v>
      </c>
      <c r="C431" s="22" t="s">
        <v>108</v>
      </c>
      <c r="D431" s="22" t="s">
        <v>54</v>
      </c>
      <c r="E431" s="25">
        <v>2</v>
      </c>
      <c r="F431" s="25">
        <v>302.85714285714283</v>
      </c>
      <c r="G431"/>
      <c r="H431"/>
      <c r="I431"/>
    </row>
    <row r="432" spans="1:9" s="23" customFormat="1">
      <c r="A432" t="str">
        <f>IFERROR(VLOOKUP(B432,[1]銷貨單品號主檔!$A:$D,4,0),"學習周邊")</f>
        <v>生活周邊</v>
      </c>
      <c r="B432" s="22" t="s">
        <v>245</v>
      </c>
      <c r="C432" s="22" t="s">
        <v>92</v>
      </c>
      <c r="D432" s="22" t="s">
        <v>54</v>
      </c>
      <c r="E432" s="25">
        <v>2</v>
      </c>
      <c r="F432" s="25">
        <v>302.85714285714283</v>
      </c>
      <c r="G432"/>
      <c r="H432"/>
      <c r="I432"/>
    </row>
    <row r="433" spans="1:9" s="23" customFormat="1">
      <c r="A433" t="str">
        <f>IFERROR(VLOOKUP(B433,[1]銷貨單品號主檔!$A:$D,4,0),"學習周邊")</f>
        <v>生活周邊</v>
      </c>
      <c r="B433" s="22" t="s">
        <v>245</v>
      </c>
      <c r="C433" s="22" t="s">
        <v>330</v>
      </c>
      <c r="D433" s="22" t="s">
        <v>54</v>
      </c>
      <c r="E433" s="25">
        <v>2</v>
      </c>
      <c r="F433" s="25">
        <v>340.95238095238096</v>
      </c>
      <c r="G433"/>
      <c r="H433"/>
      <c r="I433"/>
    </row>
    <row r="434" spans="1:9" s="23" customFormat="1">
      <c r="A434" t="str">
        <f>IFERROR(VLOOKUP(B434,[1]銷貨單品號主檔!$A:$D,4,0),"學習周邊")</f>
        <v>生活周邊</v>
      </c>
      <c r="B434" s="22" t="s">
        <v>246</v>
      </c>
      <c r="C434" s="22" t="s">
        <v>56</v>
      </c>
      <c r="D434" s="22" t="s">
        <v>54</v>
      </c>
      <c r="E434" s="25">
        <v>1</v>
      </c>
      <c r="F434" s="25">
        <v>214.28571428571428</v>
      </c>
      <c r="G434"/>
      <c r="H434"/>
      <c r="I434"/>
    </row>
    <row r="435" spans="1:9" s="23" customFormat="1">
      <c r="A435" t="str">
        <f>IFERROR(VLOOKUP(B435,[1]銷貨單品號主檔!$A:$D,4,0),"學習周邊")</f>
        <v>生活周邊</v>
      </c>
      <c r="B435" s="22" t="s">
        <v>246</v>
      </c>
      <c r="C435" s="22" t="s">
        <v>73</v>
      </c>
      <c r="D435" s="22" t="s">
        <v>54</v>
      </c>
      <c r="E435" s="25">
        <v>1</v>
      </c>
      <c r="F435" s="25">
        <v>214.28571428571428</v>
      </c>
      <c r="G435"/>
      <c r="H435"/>
      <c r="I435"/>
    </row>
    <row r="436" spans="1:9" s="23" customFormat="1">
      <c r="A436" t="str">
        <f>IFERROR(VLOOKUP(B436,[1]銷貨單品號主檔!$A:$D,4,0),"學習周邊")</f>
        <v>生活周邊</v>
      </c>
      <c r="B436" s="22" t="s">
        <v>246</v>
      </c>
      <c r="C436" s="22" t="s">
        <v>72</v>
      </c>
      <c r="D436" s="22" t="s">
        <v>54</v>
      </c>
      <c r="E436" s="25">
        <v>1</v>
      </c>
      <c r="F436" s="25">
        <v>214.28571428571428</v>
      </c>
      <c r="G436"/>
      <c r="H436"/>
      <c r="I436"/>
    </row>
    <row r="437" spans="1:9" s="23" customFormat="1">
      <c r="A437" t="str">
        <f>IFERROR(VLOOKUP(B437,[1]銷貨單品號主檔!$A:$D,4,0),"學習周邊")</f>
        <v>生活周邊</v>
      </c>
      <c r="B437" s="22" t="s">
        <v>246</v>
      </c>
      <c r="C437" s="22" t="s">
        <v>81</v>
      </c>
      <c r="D437" s="22" t="s">
        <v>54</v>
      </c>
      <c r="E437" s="25">
        <v>1</v>
      </c>
      <c r="F437" s="25">
        <v>214.28571428571428</v>
      </c>
      <c r="G437"/>
      <c r="H437"/>
      <c r="I437"/>
    </row>
    <row r="438" spans="1:9" s="23" customFormat="1">
      <c r="A438" t="str">
        <f>IFERROR(VLOOKUP(B438,[1]銷貨單品號主檔!$A:$D,4,0),"學習周邊")</f>
        <v>生活周邊</v>
      </c>
      <c r="B438" s="22" t="s">
        <v>246</v>
      </c>
      <c r="C438" s="22" t="s">
        <v>83</v>
      </c>
      <c r="D438" s="22" t="s">
        <v>54</v>
      </c>
      <c r="E438" s="25">
        <v>1</v>
      </c>
      <c r="F438" s="25">
        <v>214.28571428571428</v>
      </c>
      <c r="G438"/>
      <c r="H438"/>
      <c r="I438"/>
    </row>
    <row r="439" spans="1:9" s="23" customFormat="1">
      <c r="A439" t="str">
        <f>IFERROR(VLOOKUP(B439,[1]銷貨單品號主檔!$A:$D,4,0),"學習周邊")</f>
        <v>生活周邊</v>
      </c>
      <c r="B439" s="22" t="s">
        <v>246</v>
      </c>
      <c r="C439" s="22" t="s">
        <v>90</v>
      </c>
      <c r="D439" s="22" t="s">
        <v>54</v>
      </c>
      <c r="E439" s="25">
        <v>2</v>
      </c>
      <c r="F439" s="25">
        <v>428.57142857142856</v>
      </c>
      <c r="G439"/>
      <c r="H439"/>
      <c r="I439"/>
    </row>
    <row r="440" spans="1:9" s="23" customFormat="1">
      <c r="A440" t="str">
        <f>IFERROR(VLOOKUP(B440,[1]銷貨單品號主檔!$A:$D,4,0),"學習周邊")</f>
        <v>生活周邊</v>
      </c>
      <c r="B440" s="22" t="s">
        <v>246</v>
      </c>
      <c r="C440" s="22" t="s">
        <v>326</v>
      </c>
      <c r="D440" s="22" t="s">
        <v>54</v>
      </c>
      <c r="E440" s="25">
        <v>1</v>
      </c>
      <c r="F440" s="25">
        <v>214.28571428571428</v>
      </c>
      <c r="G440"/>
      <c r="H440"/>
      <c r="I440"/>
    </row>
    <row r="441" spans="1:9" s="23" customFormat="1">
      <c r="A441" t="str">
        <f>IFERROR(VLOOKUP(B441,[1]銷貨單品號主檔!$A:$D,4,0),"學習周邊")</f>
        <v>生活周邊</v>
      </c>
      <c r="B441" s="22" t="s">
        <v>246</v>
      </c>
      <c r="C441" s="22" t="s">
        <v>330</v>
      </c>
      <c r="D441" s="22" t="s">
        <v>54</v>
      </c>
      <c r="E441" s="25">
        <v>3</v>
      </c>
      <c r="F441" s="25">
        <v>642.85714285714278</v>
      </c>
      <c r="G441"/>
      <c r="H441"/>
      <c r="I441"/>
    </row>
    <row r="442" spans="1:9" s="23" customFormat="1">
      <c r="A442" t="str">
        <f>IFERROR(VLOOKUP(B442,[1]銷貨單品號主檔!$A:$D,4,0),"學習周邊")</f>
        <v>生活周邊</v>
      </c>
      <c r="B442" s="22" t="s">
        <v>246</v>
      </c>
      <c r="C442" s="22" t="s">
        <v>349</v>
      </c>
      <c r="D442" s="22" t="s">
        <v>54</v>
      </c>
      <c r="E442" s="25">
        <v>1</v>
      </c>
      <c r="F442" s="25">
        <v>214.28571428571428</v>
      </c>
      <c r="G442"/>
      <c r="H442"/>
      <c r="I442"/>
    </row>
    <row r="443" spans="1:9" s="23" customFormat="1">
      <c r="A443" t="str">
        <f>IFERROR(VLOOKUP(B443,[1]銷貨單品號主檔!$A:$D,4,0),"學習周邊")</f>
        <v>生活周邊</v>
      </c>
      <c r="B443" s="22" t="s">
        <v>246</v>
      </c>
      <c r="C443" s="22" t="s">
        <v>353</v>
      </c>
      <c r="D443" s="22" t="s">
        <v>54</v>
      </c>
      <c r="E443" s="25">
        <v>1</v>
      </c>
      <c r="F443" s="25">
        <v>214.28571428571428</v>
      </c>
      <c r="G443"/>
      <c r="H443"/>
      <c r="I443"/>
    </row>
    <row r="444" spans="1:9" s="23" customFormat="1">
      <c r="A444" t="str">
        <f>IFERROR(VLOOKUP(B444,[1]銷貨單品號主檔!$A:$D,4,0),"學習周邊")</f>
        <v>生活周邊</v>
      </c>
      <c r="B444" s="22" t="s">
        <v>247</v>
      </c>
      <c r="C444" s="22" t="s">
        <v>90</v>
      </c>
      <c r="D444" s="22" t="s">
        <v>54</v>
      </c>
      <c r="E444" s="25">
        <v>2</v>
      </c>
      <c r="F444" s="25">
        <v>320</v>
      </c>
      <c r="G444"/>
      <c r="H444"/>
      <c r="I444"/>
    </row>
    <row r="445" spans="1:9" s="23" customFormat="1">
      <c r="A445" t="str">
        <f>IFERROR(VLOOKUP(B445,[1]銷貨單品號主檔!$A:$D,4,0),"學習周邊")</f>
        <v>生活周邊</v>
      </c>
      <c r="B445" s="22" t="s">
        <v>247</v>
      </c>
      <c r="C445" s="22" t="s">
        <v>92</v>
      </c>
      <c r="D445" s="22" t="s">
        <v>54</v>
      </c>
      <c r="E445" s="25">
        <v>1</v>
      </c>
      <c r="F445" s="25">
        <v>160</v>
      </c>
      <c r="G445"/>
      <c r="H445"/>
      <c r="I445"/>
    </row>
    <row r="446" spans="1:9" s="23" customFormat="1">
      <c r="A446" t="str">
        <f>IFERROR(VLOOKUP(B446,[1]銷貨單品號主檔!$A:$D,4,0),"學習周邊")</f>
        <v>生活周邊</v>
      </c>
      <c r="B446" s="22" t="s">
        <v>247</v>
      </c>
      <c r="C446" s="22" t="s">
        <v>330</v>
      </c>
      <c r="D446" s="22" t="s">
        <v>54</v>
      </c>
      <c r="E446" s="25">
        <v>1</v>
      </c>
      <c r="F446" s="25">
        <v>160</v>
      </c>
      <c r="G446"/>
      <c r="H446"/>
      <c r="I446"/>
    </row>
    <row r="447" spans="1:9" s="23" customFormat="1">
      <c r="A447" t="str">
        <f>IFERROR(VLOOKUP(B447,[1]銷貨單品號主檔!$A:$D,4,0),"學習周邊")</f>
        <v>生活周邊</v>
      </c>
      <c r="B447" s="22" t="s">
        <v>334</v>
      </c>
      <c r="C447" s="22" t="s">
        <v>328</v>
      </c>
      <c r="D447" s="22" t="s">
        <v>54</v>
      </c>
      <c r="E447" s="25">
        <v>1</v>
      </c>
      <c r="F447" s="25">
        <v>160</v>
      </c>
      <c r="G447"/>
      <c r="H447"/>
      <c r="I447"/>
    </row>
    <row r="448" spans="1:9" s="23" customFormat="1">
      <c r="A448" t="str">
        <f>IFERROR(VLOOKUP(B448,[1]銷貨單品號主檔!$A:$D,4,0),"學習周邊")</f>
        <v>生活周邊</v>
      </c>
      <c r="B448" s="22" t="s">
        <v>334</v>
      </c>
      <c r="C448" s="22" t="s">
        <v>330</v>
      </c>
      <c r="D448" s="22" t="s">
        <v>54</v>
      </c>
      <c r="E448" s="25">
        <v>1</v>
      </c>
      <c r="F448" s="25">
        <v>160</v>
      </c>
      <c r="G448"/>
      <c r="H448"/>
      <c r="I448"/>
    </row>
    <row r="449" spans="1:9" s="23" customFormat="1">
      <c r="A449" t="str">
        <f>IFERROR(VLOOKUP(B449,[1]銷貨單品號主檔!$A:$D,4,0),"學習周邊")</f>
        <v>生活周邊</v>
      </c>
      <c r="B449" s="22" t="s">
        <v>248</v>
      </c>
      <c r="C449" s="22" t="s">
        <v>59</v>
      </c>
      <c r="D449" s="22" t="s">
        <v>54</v>
      </c>
      <c r="E449" s="25">
        <v>1</v>
      </c>
      <c r="F449" s="25">
        <v>340</v>
      </c>
      <c r="G449"/>
      <c r="H449"/>
      <c r="I449"/>
    </row>
    <row r="450" spans="1:9" s="23" customFormat="1">
      <c r="A450" t="str">
        <f>IFERROR(VLOOKUP(B450,[1]銷貨單品號主檔!$A:$D,4,0),"學習周邊")</f>
        <v>生活周邊</v>
      </c>
      <c r="B450" s="22" t="s">
        <v>249</v>
      </c>
      <c r="C450" s="22" t="s">
        <v>59</v>
      </c>
      <c r="D450" s="22" t="s">
        <v>54</v>
      </c>
      <c r="E450" s="25">
        <v>1</v>
      </c>
      <c r="F450" s="25">
        <v>400</v>
      </c>
      <c r="G450"/>
      <c r="H450"/>
      <c r="I450"/>
    </row>
    <row r="451" spans="1:9" s="23" customFormat="1">
      <c r="A451" t="str">
        <f>IFERROR(VLOOKUP(B451,[1]銷貨單品號主檔!$A:$D,4,0),"學習周邊")</f>
        <v>生活周邊</v>
      </c>
      <c r="B451" s="22" t="s">
        <v>250</v>
      </c>
      <c r="C451" s="22" t="s">
        <v>76</v>
      </c>
      <c r="D451" s="22" t="s">
        <v>54</v>
      </c>
      <c r="E451" s="25">
        <v>1</v>
      </c>
      <c r="F451" s="25">
        <v>1485.7142857142856</v>
      </c>
      <c r="G451"/>
      <c r="H451"/>
      <c r="I451"/>
    </row>
    <row r="452" spans="1:9" s="23" customFormat="1">
      <c r="A452" t="str">
        <f>IFERROR(VLOOKUP(B452,[1]銷貨單品號主檔!$A:$D,4,0),"學習周邊")</f>
        <v>生活周邊</v>
      </c>
      <c r="B452" s="22" t="s">
        <v>250</v>
      </c>
      <c r="C452" s="22" t="s">
        <v>90</v>
      </c>
      <c r="D452" s="22" t="s">
        <v>54</v>
      </c>
      <c r="E452" s="25">
        <v>1</v>
      </c>
      <c r="F452" s="25">
        <v>1485.7142857142856</v>
      </c>
      <c r="G452"/>
      <c r="H452"/>
      <c r="I452"/>
    </row>
    <row r="453" spans="1:9" s="23" customFormat="1">
      <c r="A453" t="str">
        <f>IFERROR(VLOOKUP(B453,[1]銷貨單品號主檔!$A:$D,4,0),"學習周邊")</f>
        <v>生活周邊</v>
      </c>
      <c r="B453" s="22" t="s">
        <v>250</v>
      </c>
      <c r="C453" s="22" t="s">
        <v>330</v>
      </c>
      <c r="D453" s="22" t="s">
        <v>54</v>
      </c>
      <c r="E453" s="25">
        <v>1</v>
      </c>
      <c r="F453" s="25">
        <v>1485.7142857142856</v>
      </c>
      <c r="G453"/>
      <c r="H453"/>
      <c r="I453"/>
    </row>
    <row r="454" spans="1:9" s="23" customFormat="1">
      <c r="A454" t="str">
        <f>IFERROR(VLOOKUP(B454,[1]銷貨單品號主檔!$A:$D,4,0),"學習周邊")</f>
        <v>生活周邊</v>
      </c>
      <c r="B454" s="22" t="s">
        <v>250</v>
      </c>
      <c r="C454" s="22" t="s">
        <v>353</v>
      </c>
      <c r="D454" s="22" t="s">
        <v>54</v>
      </c>
      <c r="E454" s="25">
        <v>1</v>
      </c>
      <c r="F454" s="25">
        <v>1485.7142857142856</v>
      </c>
      <c r="G454"/>
      <c r="H454"/>
      <c r="I454"/>
    </row>
    <row r="455" spans="1:9" s="23" customFormat="1">
      <c r="A455" t="str">
        <f>IFERROR(VLOOKUP(B455,[1]銷貨單品號主檔!$A:$D,4,0),"學習周邊")</f>
        <v>生活周邊</v>
      </c>
      <c r="B455" s="22" t="s">
        <v>251</v>
      </c>
      <c r="C455" s="22" t="s">
        <v>59</v>
      </c>
      <c r="D455" s="22" t="s">
        <v>54</v>
      </c>
      <c r="E455" s="25">
        <v>1</v>
      </c>
      <c r="F455" s="25">
        <v>500</v>
      </c>
      <c r="G455"/>
      <c r="H455"/>
      <c r="I455"/>
    </row>
    <row r="456" spans="1:9" s="23" customFormat="1">
      <c r="A456" t="str">
        <f>IFERROR(VLOOKUP(B456,[1]銷貨單品號主檔!$A:$D,4,0),"學習周邊")</f>
        <v>生活周邊</v>
      </c>
      <c r="B456" s="22" t="s">
        <v>251</v>
      </c>
      <c r="C456" s="22" t="s">
        <v>107</v>
      </c>
      <c r="D456" s="22" t="s">
        <v>54</v>
      </c>
      <c r="E456" s="25">
        <v>1</v>
      </c>
      <c r="F456" s="25">
        <v>500</v>
      </c>
      <c r="G456"/>
      <c r="H456"/>
      <c r="I456"/>
    </row>
    <row r="457" spans="1:9" s="23" customFormat="1">
      <c r="A457" t="str">
        <f>IFERROR(VLOOKUP(B457,[1]銷貨單品號主檔!$A:$D,4,0),"學習周邊")</f>
        <v>生活周邊</v>
      </c>
      <c r="B457" s="22" t="s">
        <v>252</v>
      </c>
      <c r="C457" s="22" t="s">
        <v>59</v>
      </c>
      <c r="D457" s="22" t="s">
        <v>54</v>
      </c>
      <c r="E457" s="25">
        <v>2</v>
      </c>
      <c r="F457" s="25">
        <v>380.95238095238096</v>
      </c>
      <c r="G457"/>
      <c r="H457"/>
      <c r="I457"/>
    </row>
    <row r="458" spans="1:9" s="23" customFormat="1">
      <c r="A458" t="str">
        <f>IFERROR(VLOOKUP(B458,[1]銷貨單品號主檔!$A:$D,4,0),"學習周邊")</f>
        <v>生活周邊</v>
      </c>
      <c r="B458" s="22" t="s">
        <v>252</v>
      </c>
      <c r="C458" s="22" t="s">
        <v>107</v>
      </c>
      <c r="D458" s="22" t="s">
        <v>54</v>
      </c>
      <c r="E458" s="25">
        <v>1</v>
      </c>
      <c r="F458" s="25">
        <v>152.38095238095238</v>
      </c>
      <c r="G458"/>
      <c r="H458"/>
      <c r="I458"/>
    </row>
    <row r="459" spans="1:9" s="23" customFormat="1">
      <c r="A459" t="str">
        <f>IFERROR(VLOOKUP(B459,[1]銷貨單品號主檔!$A:$D,4,0),"學習周邊")</f>
        <v>生活周邊</v>
      </c>
      <c r="B459" s="22" t="s">
        <v>252</v>
      </c>
      <c r="C459" s="22" t="s">
        <v>85</v>
      </c>
      <c r="D459" s="22" t="s">
        <v>54</v>
      </c>
      <c r="E459" s="25">
        <v>1</v>
      </c>
      <c r="F459" s="25">
        <v>152.38095238095238</v>
      </c>
      <c r="G459"/>
      <c r="H459"/>
      <c r="I459"/>
    </row>
    <row r="460" spans="1:9" s="23" customFormat="1">
      <c r="A460" t="str">
        <f>IFERROR(VLOOKUP(B460,[1]銷貨單品號主檔!$A:$D,4,0),"學習周邊")</f>
        <v>生活周邊</v>
      </c>
      <c r="B460" s="22" t="s">
        <v>252</v>
      </c>
      <c r="C460" s="22" t="s">
        <v>92</v>
      </c>
      <c r="D460" s="22" t="s">
        <v>54</v>
      </c>
      <c r="E460" s="25">
        <v>1</v>
      </c>
      <c r="F460" s="25">
        <v>152.38095238095238</v>
      </c>
      <c r="G460"/>
      <c r="H460"/>
      <c r="I460"/>
    </row>
    <row r="461" spans="1:9" s="23" customFormat="1">
      <c r="A461" t="str">
        <f>IFERROR(VLOOKUP(B461,[1]銷貨單品號主檔!$A:$D,4,0),"學習周邊")</f>
        <v>生活周邊</v>
      </c>
      <c r="B461" s="22" t="s">
        <v>252</v>
      </c>
      <c r="C461" s="22" t="s">
        <v>328</v>
      </c>
      <c r="D461" s="22" t="s">
        <v>54</v>
      </c>
      <c r="E461" s="25">
        <v>1</v>
      </c>
      <c r="F461" s="25">
        <v>152.38095238095238</v>
      </c>
      <c r="G461"/>
      <c r="H461"/>
      <c r="I461"/>
    </row>
    <row r="462" spans="1:9" s="23" customFormat="1">
      <c r="A462" t="str">
        <f>IFERROR(VLOOKUP(B462,[1]銷貨單品號主檔!$A:$D,4,0),"學習周邊")</f>
        <v>生活周邊</v>
      </c>
      <c r="B462" s="22" t="s">
        <v>253</v>
      </c>
      <c r="C462" s="22" t="s">
        <v>60</v>
      </c>
      <c r="D462" s="22" t="s">
        <v>54</v>
      </c>
      <c r="E462" s="25">
        <v>1</v>
      </c>
      <c r="F462" s="25">
        <v>284.76190476190476</v>
      </c>
      <c r="G462"/>
      <c r="H462"/>
      <c r="I462"/>
    </row>
    <row r="463" spans="1:9" s="23" customFormat="1">
      <c r="A463" t="str">
        <f>IFERROR(VLOOKUP(B463,[1]銷貨單品號主檔!$A:$D,4,0),"學習周邊")</f>
        <v>生活周邊</v>
      </c>
      <c r="B463" s="22" t="s">
        <v>253</v>
      </c>
      <c r="C463" s="22" t="s">
        <v>76</v>
      </c>
      <c r="D463" s="22" t="s">
        <v>54</v>
      </c>
      <c r="E463" s="25">
        <v>1</v>
      </c>
      <c r="F463" s="25">
        <v>284.76190476190476</v>
      </c>
      <c r="G463"/>
      <c r="H463"/>
      <c r="I463"/>
    </row>
    <row r="464" spans="1:9" s="23" customFormat="1">
      <c r="A464" t="str">
        <f>IFERROR(VLOOKUP(B464,[1]銷貨單品號主檔!$A:$D,4,0),"學習周邊")</f>
        <v>生活周邊</v>
      </c>
      <c r="B464" s="22" t="s">
        <v>253</v>
      </c>
      <c r="C464" s="22" t="s">
        <v>87</v>
      </c>
      <c r="D464" s="22" t="s">
        <v>54</v>
      </c>
      <c r="E464" s="25">
        <v>2</v>
      </c>
      <c r="F464" s="25">
        <v>569.52380952380952</v>
      </c>
      <c r="G464"/>
      <c r="H464"/>
      <c r="I464"/>
    </row>
    <row r="465" spans="1:9" s="23" customFormat="1">
      <c r="A465" t="str">
        <f>IFERROR(VLOOKUP(B465,[1]銷貨單品號主檔!$A:$D,4,0),"學習周邊")</f>
        <v>生活周邊</v>
      </c>
      <c r="B465" s="22" t="s">
        <v>253</v>
      </c>
      <c r="C465" s="22" t="s">
        <v>329</v>
      </c>
      <c r="D465" s="22" t="s">
        <v>54</v>
      </c>
      <c r="E465" s="25">
        <v>1</v>
      </c>
      <c r="F465" s="25">
        <v>227.61904761904762</v>
      </c>
      <c r="G465"/>
      <c r="H465"/>
      <c r="I465"/>
    </row>
    <row r="466" spans="1:9" s="23" customFormat="1">
      <c r="A466" t="str">
        <f>IFERROR(VLOOKUP(B466,[1]銷貨單品號主檔!$A:$D,4,0),"學習周邊")</f>
        <v>生活周邊</v>
      </c>
      <c r="B466" s="22" t="s">
        <v>253</v>
      </c>
      <c r="C466" s="22" t="s">
        <v>332</v>
      </c>
      <c r="D466" s="22" t="s">
        <v>54</v>
      </c>
      <c r="E466" s="25">
        <v>1</v>
      </c>
      <c r="F466" s="25">
        <v>284.76190476190476</v>
      </c>
      <c r="G466"/>
      <c r="H466"/>
      <c r="I466"/>
    </row>
    <row r="467" spans="1:9" s="23" customFormat="1">
      <c r="A467" t="str">
        <f>IFERROR(VLOOKUP(B467,[1]銷貨單品號主檔!$A:$D,4,0),"學習周邊")</f>
        <v>生活周邊</v>
      </c>
      <c r="B467" s="22" t="s">
        <v>254</v>
      </c>
      <c r="C467" s="22" t="s">
        <v>108</v>
      </c>
      <c r="D467" s="22" t="s">
        <v>54</v>
      </c>
      <c r="E467" s="25">
        <v>1</v>
      </c>
      <c r="F467" s="25">
        <v>380</v>
      </c>
      <c r="G467"/>
      <c r="H467"/>
      <c r="I467"/>
    </row>
    <row r="468" spans="1:9" s="23" customFormat="1">
      <c r="A468" t="str">
        <f>IFERROR(VLOOKUP(B468,[1]銷貨單品號主檔!$A:$D,4,0),"學習周邊")</f>
        <v>生活周邊</v>
      </c>
      <c r="B468" s="22" t="s">
        <v>254</v>
      </c>
      <c r="C468" s="22" t="s">
        <v>53</v>
      </c>
      <c r="D468" s="22" t="s">
        <v>54</v>
      </c>
      <c r="E468" s="25">
        <v>1</v>
      </c>
      <c r="F468" s="25">
        <v>380</v>
      </c>
      <c r="G468"/>
      <c r="H468"/>
      <c r="I468"/>
    </row>
    <row r="469" spans="1:9" s="23" customFormat="1">
      <c r="A469" t="str">
        <f>IFERROR(VLOOKUP(B469,[1]銷貨單品號主檔!$A:$D,4,0),"學習周邊")</f>
        <v>生活周邊</v>
      </c>
      <c r="B469" s="22" t="s">
        <v>254</v>
      </c>
      <c r="C469" s="22" t="s">
        <v>328</v>
      </c>
      <c r="D469" s="22" t="s">
        <v>54</v>
      </c>
      <c r="E469" s="25">
        <v>1</v>
      </c>
      <c r="F469" s="25">
        <v>300</v>
      </c>
      <c r="G469"/>
      <c r="H469"/>
      <c r="I469"/>
    </row>
    <row r="470" spans="1:9" s="23" customFormat="1">
      <c r="A470" t="str">
        <f>IFERROR(VLOOKUP(B470,[1]銷貨單品號主檔!$A:$D,4,0),"學習周邊")</f>
        <v>學習</v>
      </c>
      <c r="B470" s="22" t="s">
        <v>145</v>
      </c>
      <c r="C470" s="22" t="s">
        <v>65</v>
      </c>
      <c r="D470" s="22" t="s">
        <v>54</v>
      </c>
      <c r="E470" s="25">
        <v>1</v>
      </c>
      <c r="F470" s="25">
        <v>4094.2857142857142</v>
      </c>
      <c r="G470"/>
      <c r="H470"/>
      <c r="I470"/>
    </row>
    <row r="471" spans="1:9" s="23" customFormat="1">
      <c r="A471" t="str">
        <f>IFERROR(VLOOKUP(B471,[1]銷貨單品號主檔!$A:$D,4,0),"學習周邊")</f>
        <v>學習</v>
      </c>
      <c r="B471" s="22" t="s">
        <v>145</v>
      </c>
      <c r="C471" s="22" t="s">
        <v>67</v>
      </c>
      <c r="D471" s="22" t="s">
        <v>54</v>
      </c>
      <c r="E471" s="25">
        <v>2</v>
      </c>
      <c r="F471" s="25">
        <v>8188.5714285714284</v>
      </c>
      <c r="G471"/>
      <c r="H471"/>
      <c r="I471"/>
    </row>
    <row r="472" spans="1:9" s="23" customFormat="1">
      <c r="A472" t="str">
        <f>IFERROR(VLOOKUP(B472,[1]銷貨單品號主檔!$A:$D,4,0),"學習周邊")</f>
        <v>學習</v>
      </c>
      <c r="B472" s="22" t="s">
        <v>145</v>
      </c>
      <c r="C472" s="22" t="s">
        <v>73</v>
      </c>
      <c r="D472" s="22" t="s">
        <v>54</v>
      </c>
      <c r="E472" s="25">
        <v>1</v>
      </c>
      <c r="F472" s="25">
        <v>4094.2857142857142</v>
      </c>
      <c r="G472"/>
      <c r="H472"/>
      <c r="I472"/>
    </row>
    <row r="473" spans="1:9" s="23" customFormat="1">
      <c r="A473" t="str">
        <f>IFERROR(VLOOKUP(B473,[1]銷貨單品號主檔!$A:$D,4,0),"學習周邊")</f>
        <v>學習</v>
      </c>
      <c r="B473" s="22" t="s">
        <v>145</v>
      </c>
      <c r="C473" s="22" t="s">
        <v>66</v>
      </c>
      <c r="D473" s="22" t="s">
        <v>54</v>
      </c>
      <c r="E473" s="25">
        <v>1</v>
      </c>
      <c r="F473" s="25">
        <v>4094.2857142857142</v>
      </c>
      <c r="G473"/>
      <c r="H473"/>
      <c r="I473"/>
    </row>
    <row r="474" spans="1:9" s="23" customFormat="1">
      <c r="A474" t="str">
        <f>IFERROR(VLOOKUP(B474,[1]銷貨單品號主檔!$A:$D,4,0),"學習周邊")</f>
        <v>學習</v>
      </c>
      <c r="B474" s="22" t="s">
        <v>145</v>
      </c>
      <c r="C474" s="22" t="s">
        <v>66</v>
      </c>
      <c r="D474" s="22" t="s">
        <v>174</v>
      </c>
      <c r="E474" s="25">
        <v>5</v>
      </c>
      <c r="F474" s="25">
        <v>20471.428571428569</v>
      </c>
      <c r="G474"/>
      <c r="H474"/>
      <c r="I474"/>
    </row>
    <row r="475" spans="1:9" s="23" customFormat="1">
      <c r="A475" t="str">
        <f>IFERROR(VLOOKUP(B475,[1]銷貨單品號主檔!$A:$D,4,0),"學習周邊")</f>
        <v>學習</v>
      </c>
      <c r="B475" s="22" t="s">
        <v>145</v>
      </c>
      <c r="C475" s="22" t="s">
        <v>72</v>
      </c>
      <c r="D475" s="22" t="s">
        <v>54</v>
      </c>
      <c r="E475" s="25">
        <v>1</v>
      </c>
      <c r="F475" s="25">
        <v>4094.2857142857142</v>
      </c>
      <c r="G475"/>
      <c r="H475"/>
      <c r="I475"/>
    </row>
    <row r="476" spans="1:9" s="23" customFormat="1">
      <c r="A476" t="str">
        <f>IFERROR(VLOOKUP(B476,[1]銷貨單品號主檔!$A:$D,4,0),"學習周邊")</f>
        <v>學習</v>
      </c>
      <c r="B476" s="22" t="s">
        <v>145</v>
      </c>
      <c r="C476" s="22" t="s">
        <v>72</v>
      </c>
      <c r="D476" s="22" t="s">
        <v>174</v>
      </c>
      <c r="E476" s="25">
        <v>3</v>
      </c>
      <c r="F476" s="25">
        <v>12282.857142857143</v>
      </c>
      <c r="G476"/>
      <c r="H476"/>
      <c r="I476"/>
    </row>
    <row r="477" spans="1:9" s="23" customFormat="1">
      <c r="A477" t="str">
        <f>IFERROR(VLOOKUP(B477,[1]銷貨單品號主檔!$A:$D,4,0),"學習周邊")</f>
        <v>學習</v>
      </c>
      <c r="B477" s="22" t="s">
        <v>145</v>
      </c>
      <c r="C477" s="22" t="s">
        <v>76</v>
      </c>
      <c r="D477" s="22" t="s">
        <v>54</v>
      </c>
      <c r="E477" s="25">
        <v>1</v>
      </c>
      <c r="F477" s="25">
        <v>4094.2857142857142</v>
      </c>
      <c r="G477"/>
      <c r="H477"/>
      <c r="I477"/>
    </row>
    <row r="478" spans="1:9" s="23" customFormat="1">
      <c r="A478" t="str">
        <f>IFERROR(VLOOKUP(B478,[1]銷貨單品號主檔!$A:$D,4,0),"學習周邊")</f>
        <v>學習</v>
      </c>
      <c r="B478" s="22" t="s">
        <v>145</v>
      </c>
      <c r="C478" s="22" t="s">
        <v>76</v>
      </c>
      <c r="D478" s="22" t="s">
        <v>174</v>
      </c>
      <c r="E478" s="25">
        <v>2</v>
      </c>
      <c r="F478" s="25">
        <v>8188.5714285714284</v>
      </c>
      <c r="G478"/>
      <c r="H478"/>
      <c r="I478"/>
    </row>
    <row r="479" spans="1:9" s="23" customFormat="1">
      <c r="A479" t="str">
        <f>IFERROR(VLOOKUP(B479,[1]銷貨單品號主檔!$A:$D,4,0),"學習周邊")</f>
        <v>學習</v>
      </c>
      <c r="B479" s="22" t="s">
        <v>145</v>
      </c>
      <c r="C479" s="22" t="s">
        <v>78</v>
      </c>
      <c r="D479" s="22" t="s">
        <v>174</v>
      </c>
      <c r="E479" s="25">
        <v>4</v>
      </c>
      <c r="F479" s="25">
        <v>16377.142857142857</v>
      </c>
      <c r="G479"/>
      <c r="H479"/>
      <c r="I479"/>
    </row>
    <row r="480" spans="1:9" s="23" customFormat="1">
      <c r="A480" t="str">
        <f>IFERROR(VLOOKUP(B480,[1]銷貨單品號主檔!$A:$D,4,0),"學習周邊")</f>
        <v>學習</v>
      </c>
      <c r="B480" s="22" t="s">
        <v>145</v>
      </c>
      <c r="C480" s="22" t="s">
        <v>83</v>
      </c>
      <c r="D480" s="22" t="s">
        <v>54</v>
      </c>
      <c r="E480" s="25">
        <v>1</v>
      </c>
      <c r="F480" s="25">
        <v>4094.2857142857142</v>
      </c>
      <c r="G480"/>
      <c r="H480"/>
      <c r="I480"/>
    </row>
    <row r="481" spans="1:9" s="23" customFormat="1">
      <c r="A481" t="str">
        <f>IFERROR(VLOOKUP(B481,[1]銷貨單品號主檔!$A:$D,4,0),"學習周邊")</f>
        <v>學習</v>
      </c>
      <c r="B481" s="22" t="s">
        <v>145</v>
      </c>
      <c r="C481" s="22" t="s">
        <v>83</v>
      </c>
      <c r="D481" s="22" t="s">
        <v>174</v>
      </c>
      <c r="E481" s="25">
        <v>2</v>
      </c>
      <c r="F481" s="25">
        <v>8188.5714285714284</v>
      </c>
      <c r="G481"/>
      <c r="H481"/>
      <c r="I481"/>
    </row>
    <row r="482" spans="1:9" s="23" customFormat="1">
      <c r="A482" t="str">
        <f>IFERROR(VLOOKUP(B482,[1]銷貨單品號主檔!$A:$D,4,0),"學習周邊")</f>
        <v>學習</v>
      </c>
      <c r="B482" s="22" t="s">
        <v>145</v>
      </c>
      <c r="C482" s="22" t="s">
        <v>85</v>
      </c>
      <c r="D482" s="22" t="s">
        <v>54</v>
      </c>
      <c r="E482" s="25">
        <v>3</v>
      </c>
      <c r="F482" s="25">
        <v>12282.857142857143</v>
      </c>
      <c r="G482"/>
      <c r="H482"/>
      <c r="I482"/>
    </row>
    <row r="483" spans="1:9" s="23" customFormat="1">
      <c r="A483" t="str">
        <f>IFERROR(VLOOKUP(B483,[1]銷貨單品號主檔!$A:$D,4,0),"學習周邊")</f>
        <v>學習</v>
      </c>
      <c r="B483" s="22" t="s">
        <v>145</v>
      </c>
      <c r="C483" s="22" t="s">
        <v>85</v>
      </c>
      <c r="D483" s="22" t="s">
        <v>174</v>
      </c>
      <c r="E483" s="25">
        <v>2</v>
      </c>
      <c r="F483" s="25">
        <v>8188.5714285714284</v>
      </c>
      <c r="G483"/>
      <c r="H483"/>
      <c r="I483"/>
    </row>
    <row r="484" spans="1:9" s="23" customFormat="1">
      <c r="A484" t="str">
        <f>IFERROR(VLOOKUP(B484,[1]銷貨單品號主檔!$A:$D,4,0),"學習周邊")</f>
        <v>學習</v>
      </c>
      <c r="B484" s="22" t="s">
        <v>145</v>
      </c>
      <c r="C484" s="22" t="s">
        <v>87</v>
      </c>
      <c r="D484" s="22" t="s">
        <v>174</v>
      </c>
      <c r="E484" s="25">
        <v>14</v>
      </c>
      <c r="F484" s="25">
        <v>57320</v>
      </c>
      <c r="G484"/>
      <c r="H484"/>
      <c r="I484"/>
    </row>
    <row r="485" spans="1:9" s="23" customFormat="1">
      <c r="A485" t="str">
        <f>IFERROR(VLOOKUP(B485,[1]銷貨單品號主檔!$A:$D,4,0),"學習周邊")</f>
        <v>學習</v>
      </c>
      <c r="B485" s="22" t="s">
        <v>145</v>
      </c>
      <c r="C485" s="22" t="s">
        <v>108</v>
      </c>
      <c r="D485" s="22" t="s">
        <v>54</v>
      </c>
      <c r="E485" s="25">
        <v>1</v>
      </c>
      <c r="F485" s="25">
        <v>4094.2857142857142</v>
      </c>
      <c r="G485"/>
      <c r="H485"/>
      <c r="I485"/>
    </row>
    <row r="486" spans="1:9" s="23" customFormat="1">
      <c r="A486" t="str">
        <f>IFERROR(VLOOKUP(B486,[1]銷貨單品號主檔!$A:$D,4,0),"學習周邊")</f>
        <v>學習</v>
      </c>
      <c r="B486" s="22" t="s">
        <v>145</v>
      </c>
      <c r="C486" s="22" t="s">
        <v>53</v>
      </c>
      <c r="D486" s="22" t="s">
        <v>54</v>
      </c>
      <c r="E486" s="25">
        <v>2</v>
      </c>
      <c r="F486" s="25">
        <v>8188.5714285714284</v>
      </c>
      <c r="G486"/>
      <c r="H486"/>
      <c r="I486"/>
    </row>
    <row r="487" spans="1:9" s="23" customFormat="1">
      <c r="A487" t="str">
        <f>IFERROR(VLOOKUP(B487,[1]銷貨單品號主檔!$A:$D,4,0),"學習周邊")</f>
        <v>學習</v>
      </c>
      <c r="B487" s="22" t="s">
        <v>145</v>
      </c>
      <c r="C487" s="22" t="s">
        <v>92</v>
      </c>
      <c r="D487" s="22" t="s">
        <v>54</v>
      </c>
      <c r="E487" s="25">
        <v>1</v>
      </c>
      <c r="F487" s="25">
        <v>4094.2857142857142</v>
      </c>
      <c r="G487"/>
      <c r="H487"/>
      <c r="I487"/>
    </row>
    <row r="488" spans="1:9" s="23" customFormat="1">
      <c r="A488" t="str">
        <f>IFERROR(VLOOKUP(B488,[1]銷貨單品號主檔!$A:$D,4,0),"學習周邊")</f>
        <v>學習</v>
      </c>
      <c r="B488" s="22" t="s">
        <v>145</v>
      </c>
      <c r="C488" s="22" t="s">
        <v>92</v>
      </c>
      <c r="D488" s="22" t="s">
        <v>174</v>
      </c>
      <c r="E488" s="25">
        <v>6</v>
      </c>
      <c r="F488" s="25">
        <v>24565.714285714286</v>
      </c>
      <c r="G488"/>
      <c r="H488"/>
      <c r="I488"/>
    </row>
    <row r="489" spans="1:9" s="23" customFormat="1">
      <c r="A489" t="str">
        <f>IFERROR(VLOOKUP(B489,[1]銷貨單品號主檔!$A:$D,4,0),"學習周邊")</f>
        <v>學習</v>
      </c>
      <c r="B489" s="22" t="s">
        <v>145</v>
      </c>
      <c r="C489" s="22" t="s">
        <v>329</v>
      </c>
      <c r="D489" s="22" t="s">
        <v>174</v>
      </c>
      <c r="E489" s="25">
        <v>1</v>
      </c>
      <c r="F489" s="25">
        <v>4094.2857142857142</v>
      </c>
      <c r="G489"/>
      <c r="H489"/>
      <c r="I489"/>
    </row>
    <row r="490" spans="1:9" s="23" customFormat="1">
      <c r="A490" t="str">
        <f>IFERROR(VLOOKUP(B490,[1]銷貨單品號主檔!$A:$D,4,0),"學習周邊")</f>
        <v>學習</v>
      </c>
      <c r="B490" s="22" t="s">
        <v>145</v>
      </c>
      <c r="C490" s="22" t="s">
        <v>332</v>
      </c>
      <c r="D490" s="22" t="s">
        <v>174</v>
      </c>
      <c r="E490" s="25">
        <v>1</v>
      </c>
      <c r="F490" s="25">
        <v>4094.2857142857142</v>
      </c>
      <c r="G490"/>
      <c r="H490"/>
      <c r="I490"/>
    </row>
    <row r="491" spans="1:9" s="23" customFormat="1">
      <c r="A491" t="str">
        <f>IFERROR(VLOOKUP(B491,[1]銷貨單品號主檔!$A:$D,4,0),"學習周邊")</f>
        <v>學習</v>
      </c>
      <c r="B491" s="22" t="s">
        <v>145</v>
      </c>
      <c r="C491" s="22" t="s">
        <v>330</v>
      </c>
      <c r="D491" s="22" t="s">
        <v>174</v>
      </c>
      <c r="E491" s="25">
        <v>1</v>
      </c>
      <c r="F491" s="25">
        <v>4094.2857142857142</v>
      </c>
      <c r="G491"/>
      <c r="H491"/>
      <c r="I491"/>
    </row>
    <row r="492" spans="1:9" s="23" customFormat="1">
      <c r="A492" t="str">
        <f>IFERROR(VLOOKUP(B492,[1]銷貨單品號主檔!$A:$D,4,0),"學習周邊")</f>
        <v>學習</v>
      </c>
      <c r="B492" s="22" t="s">
        <v>145</v>
      </c>
      <c r="C492" s="22" t="s">
        <v>331</v>
      </c>
      <c r="D492" s="22" t="s">
        <v>54</v>
      </c>
      <c r="E492" s="25">
        <v>1</v>
      </c>
      <c r="F492" s="25">
        <v>4094.2857142857142</v>
      </c>
      <c r="G492"/>
      <c r="H492"/>
      <c r="I492"/>
    </row>
    <row r="493" spans="1:9" s="23" customFormat="1">
      <c r="A493" t="str">
        <f>IFERROR(VLOOKUP(B493,[1]銷貨單品號主檔!$A:$D,4,0),"學習周邊")</f>
        <v>學習</v>
      </c>
      <c r="B493" s="22" t="s">
        <v>145</v>
      </c>
      <c r="C493" s="22" t="s">
        <v>331</v>
      </c>
      <c r="D493" s="22" t="s">
        <v>174</v>
      </c>
      <c r="E493" s="25">
        <v>3</v>
      </c>
      <c r="F493" s="25">
        <v>12282.857142857143</v>
      </c>
      <c r="G493"/>
      <c r="H493"/>
      <c r="I493"/>
    </row>
    <row r="494" spans="1:9" s="23" customFormat="1">
      <c r="A494" t="str">
        <f>IFERROR(VLOOKUP(B494,[1]銷貨單品號主檔!$A:$D,4,0),"學習周邊")</f>
        <v>學習</v>
      </c>
      <c r="B494" s="22" t="s">
        <v>145</v>
      </c>
      <c r="C494" s="22" t="s">
        <v>349</v>
      </c>
      <c r="D494" s="22" t="s">
        <v>54</v>
      </c>
      <c r="E494" s="25">
        <v>2</v>
      </c>
      <c r="F494" s="25">
        <v>8188.5714285714284</v>
      </c>
      <c r="G494"/>
      <c r="H494"/>
      <c r="I494"/>
    </row>
    <row r="495" spans="1:9" s="23" customFormat="1">
      <c r="A495" t="str">
        <f>IFERROR(VLOOKUP(B495,[1]銷貨單品號主檔!$A:$D,4,0),"學習周邊")</f>
        <v>學習</v>
      </c>
      <c r="B495" s="22" t="s">
        <v>145</v>
      </c>
      <c r="C495" s="22" t="s">
        <v>354</v>
      </c>
      <c r="D495" s="22" t="s">
        <v>174</v>
      </c>
      <c r="E495" s="25">
        <v>4</v>
      </c>
      <c r="F495" s="25">
        <v>16377.142857142857</v>
      </c>
      <c r="G495"/>
      <c r="H495"/>
      <c r="I495"/>
    </row>
    <row r="496" spans="1:9" s="23" customFormat="1">
      <c r="A496" t="str">
        <f>IFERROR(VLOOKUP(B496,[1]銷貨單品號主檔!$A:$D,4,0),"學習周邊")</f>
        <v>學習</v>
      </c>
      <c r="B496" s="22" t="s">
        <v>145</v>
      </c>
      <c r="C496" s="22" t="s">
        <v>353</v>
      </c>
      <c r="D496" s="22" t="s">
        <v>54</v>
      </c>
      <c r="E496" s="25">
        <v>2</v>
      </c>
      <c r="F496" s="25">
        <v>8188.5714285714284</v>
      </c>
      <c r="G496"/>
      <c r="H496"/>
      <c r="I496"/>
    </row>
    <row r="497" spans="1:9" s="23" customFormat="1">
      <c r="A497" t="str">
        <f>IFERROR(VLOOKUP(B497,[1]銷貨單品號主檔!$A:$D,4,0),"學習周邊")</f>
        <v>學習周邊</v>
      </c>
      <c r="B497" s="22" t="s">
        <v>101</v>
      </c>
      <c r="C497" s="22" t="s">
        <v>56</v>
      </c>
      <c r="D497" s="22" t="s">
        <v>54</v>
      </c>
      <c r="E497" s="25">
        <v>1</v>
      </c>
      <c r="F497" s="25">
        <v>951.42857142857144</v>
      </c>
      <c r="G497"/>
      <c r="H497"/>
      <c r="I497"/>
    </row>
    <row r="498" spans="1:9" s="23" customFormat="1">
      <c r="A498" t="str">
        <f>IFERROR(VLOOKUP(B498,[1]銷貨單品號主檔!$A:$D,4,0),"學習周邊")</f>
        <v>學習周邊</v>
      </c>
      <c r="B498" s="22" t="s">
        <v>101</v>
      </c>
      <c r="C498" s="22" t="s">
        <v>62</v>
      </c>
      <c r="D498" s="22" t="s">
        <v>54</v>
      </c>
      <c r="E498" s="25">
        <v>2</v>
      </c>
      <c r="F498" s="25">
        <v>1902.8571428571429</v>
      </c>
      <c r="G498"/>
      <c r="H498"/>
      <c r="I498"/>
    </row>
    <row r="499" spans="1:9" s="23" customFormat="1">
      <c r="A499" t="str">
        <f>IFERROR(VLOOKUP(B499,[1]銷貨單品號主檔!$A:$D,4,0),"學習周邊")</f>
        <v>學習周邊</v>
      </c>
      <c r="B499" s="22" t="s">
        <v>101</v>
      </c>
      <c r="C499" s="22" t="s">
        <v>65</v>
      </c>
      <c r="D499" s="22" t="s">
        <v>54</v>
      </c>
      <c r="E499" s="25">
        <v>1</v>
      </c>
      <c r="F499" s="25">
        <v>951.42857142857144</v>
      </c>
      <c r="G499"/>
      <c r="H499"/>
      <c r="I499"/>
    </row>
    <row r="500" spans="1:9" s="23" customFormat="1">
      <c r="A500" t="str">
        <f>IFERROR(VLOOKUP(B500,[1]銷貨單品號主檔!$A:$D,4,0),"學習周邊")</f>
        <v>學習周邊</v>
      </c>
      <c r="B500" s="22" t="s">
        <v>101</v>
      </c>
      <c r="C500" s="22" t="s">
        <v>73</v>
      </c>
      <c r="D500" s="22" t="s">
        <v>54</v>
      </c>
      <c r="E500" s="25">
        <v>1</v>
      </c>
      <c r="F500" s="25">
        <v>951.42857142857144</v>
      </c>
      <c r="G500"/>
      <c r="H500"/>
      <c r="I500"/>
    </row>
    <row r="501" spans="1:9" s="23" customFormat="1">
      <c r="A501" t="str">
        <f>IFERROR(VLOOKUP(B501,[1]銷貨單品號主檔!$A:$D,4,0),"學習周邊")</f>
        <v>學習周邊</v>
      </c>
      <c r="B501" s="22" t="s">
        <v>101</v>
      </c>
      <c r="C501" s="22" t="s">
        <v>66</v>
      </c>
      <c r="D501" s="22" t="s">
        <v>54</v>
      </c>
      <c r="E501" s="25">
        <v>3</v>
      </c>
      <c r="F501" s="25">
        <v>2854.2857142857142</v>
      </c>
      <c r="G501"/>
      <c r="H501"/>
      <c r="I501"/>
    </row>
    <row r="502" spans="1:9" s="23" customFormat="1">
      <c r="A502" t="str">
        <f>IFERROR(VLOOKUP(B502,[1]銷貨單品號主檔!$A:$D,4,0),"學習周邊")</f>
        <v>學習周邊</v>
      </c>
      <c r="B502" s="22" t="s">
        <v>101</v>
      </c>
      <c r="C502" s="22" t="s">
        <v>107</v>
      </c>
      <c r="D502" s="22" t="s">
        <v>54</v>
      </c>
      <c r="E502" s="25">
        <v>3</v>
      </c>
      <c r="F502" s="25">
        <v>2854.2857142857142</v>
      </c>
      <c r="G502"/>
      <c r="H502"/>
      <c r="I502"/>
    </row>
    <row r="503" spans="1:9" s="23" customFormat="1">
      <c r="A503" t="str">
        <f>IFERROR(VLOOKUP(B503,[1]銷貨單品號主檔!$A:$D,4,0),"學習周邊")</f>
        <v>學習周邊</v>
      </c>
      <c r="B503" s="22" t="s">
        <v>101</v>
      </c>
      <c r="C503" s="22" t="s">
        <v>72</v>
      </c>
      <c r="D503" s="22" t="s">
        <v>54</v>
      </c>
      <c r="E503" s="25">
        <v>4</v>
      </c>
      <c r="F503" s="25">
        <v>3805.7142857142858</v>
      </c>
      <c r="G503"/>
      <c r="H503"/>
      <c r="I503"/>
    </row>
    <row r="504" spans="1:9">
      <c r="A504" t="str">
        <f>IFERROR(VLOOKUP(B504,[1]銷貨單品號主檔!$A:$D,4,0),"學習周邊")</f>
        <v>學習周邊</v>
      </c>
      <c r="B504" s="22" t="s">
        <v>101</v>
      </c>
      <c r="C504" s="22" t="s">
        <v>81</v>
      </c>
      <c r="D504" s="22" t="s">
        <v>54</v>
      </c>
      <c r="E504" s="25">
        <v>1</v>
      </c>
      <c r="F504" s="25">
        <v>951.42857142857144</v>
      </c>
    </row>
    <row r="505" spans="1:9">
      <c r="A505" t="str">
        <f>IFERROR(VLOOKUP(B505,[1]銷貨單品號主檔!$A:$D,4,0),"學習周邊")</f>
        <v>學習周邊</v>
      </c>
      <c r="B505" s="22" t="s">
        <v>101</v>
      </c>
      <c r="C505" s="22" t="s">
        <v>87</v>
      </c>
      <c r="D505" s="22" t="s">
        <v>54</v>
      </c>
      <c r="E505" s="25">
        <v>1</v>
      </c>
      <c r="F505" s="25">
        <v>951.42857142857144</v>
      </c>
    </row>
    <row r="506" spans="1:9">
      <c r="A506" t="str">
        <f>IFERROR(VLOOKUP(B506,[1]銷貨單品號主檔!$A:$D,4,0),"學習周邊")</f>
        <v>學習周邊</v>
      </c>
      <c r="B506" s="22" t="s">
        <v>101</v>
      </c>
      <c r="C506" s="22" t="s">
        <v>87</v>
      </c>
      <c r="D506" s="22" t="s">
        <v>174</v>
      </c>
      <c r="E506" s="25">
        <v>5</v>
      </c>
      <c r="F506" s="25">
        <v>4757.1428571428569</v>
      </c>
    </row>
    <row r="507" spans="1:9">
      <c r="A507" t="str">
        <f>IFERROR(VLOOKUP(B507,[1]銷貨單品號主檔!$A:$D,4,0),"學習周邊")</f>
        <v>學習周邊</v>
      </c>
      <c r="B507" s="22" t="s">
        <v>101</v>
      </c>
      <c r="C507" s="22" t="s">
        <v>108</v>
      </c>
      <c r="D507" s="22" t="s">
        <v>54</v>
      </c>
      <c r="E507" s="25">
        <v>1</v>
      </c>
      <c r="F507" s="25">
        <v>951.42857142857144</v>
      </c>
    </row>
    <row r="508" spans="1:9">
      <c r="A508" t="str">
        <f>IFERROR(VLOOKUP(B508,[1]銷貨單品號主檔!$A:$D,4,0),"學習周邊")</f>
        <v>學習周邊</v>
      </c>
      <c r="B508" s="22" t="s">
        <v>101</v>
      </c>
      <c r="C508" s="22" t="s">
        <v>53</v>
      </c>
      <c r="D508" s="22" t="s">
        <v>54</v>
      </c>
      <c r="E508" s="25">
        <v>1</v>
      </c>
      <c r="F508" s="25">
        <v>951.42857142857144</v>
      </c>
    </row>
    <row r="509" spans="1:9">
      <c r="A509" t="str">
        <f>IFERROR(VLOOKUP(B509,[1]銷貨單品號主檔!$A:$D,4,0),"學習周邊")</f>
        <v>學習周邊</v>
      </c>
      <c r="B509" s="22" t="s">
        <v>101</v>
      </c>
      <c r="C509" s="22" t="s">
        <v>92</v>
      </c>
      <c r="D509" s="22" t="s">
        <v>174</v>
      </c>
      <c r="E509" s="25">
        <v>1</v>
      </c>
      <c r="F509" s="25">
        <v>951.42857142857144</v>
      </c>
    </row>
    <row r="510" spans="1:9">
      <c r="A510" t="str">
        <f>IFERROR(VLOOKUP(B510,[1]銷貨單品號主檔!$A:$D,4,0),"學習周邊")</f>
        <v>學習周邊</v>
      </c>
      <c r="B510" s="22" t="s">
        <v>101</v>
      </c>
      <c r="C510" s="22" t="s">
        <v>326</v>
      </c>
      <c r="D510" s="22" t="s">
        <v>54</v>
      </c>
      <c r="E510" s="25">
        <v>1</v>
      </c>
      <c r="F510" s="25">
        <v>951.42857142857144</v>
      </c>
    </row>
    <row r="511" spans="1:9">
      <c r="A511" t="str">
        <f>IFERROR(VLOOKUP(B511,[1]銷貨單品號主檔!$A:$D,4,0),"學習周邊")</f>
        <v>學習周邊</v>
      </c>
      <c r="B511" s="22" t="s">
        <v>101</v>
      </c>
      <c r="C511" s="22" t="s">
        <v>326</v>
      </c>
      <c r="D511" s="22" t="s">
        <v>174</v>
      </c>
      <c r="E511" s="25">
        <v>1</v>
      </c>
      <c r="F511" s="25">
        <v>951.42857142857144</v>
      </c>
    </row>
    <row r="512" spans="1:9">
      <c r="A512" t="str">
        <f>IFERROR(VLOOKUP(B512,[1]銷貨單品號主檔!$A:$D,4,0),"學習周邊")</f>
        <v>學習周邊</v>
      </c>
      <c r="B512" s="22" t="s">
        <v>101</v>
      </c>
      <c r="C512" s="22" t="s">
        <v>328</v>
      </c>
      <c r="D512" s="22" t="s">
        <v>54</v>
      </c>
      <c r="E512" s="25">
        <v>1</v>
      </c>
      <c r="F512" s="25">
        <v>951.42857142857144</v>
      </c>
    </row>
    <row r="513" spans="1:6">
      <c r="A513" t="str">
        <f>IFERROR(VLOOKUP(B513,[1]銷貨單品號主檔!$A:$D,4,0),"學習周邊")</f>
        <v>學習周邊</v>
      </c>
      <c r="B513" s="22" t="s">
        <v>101</v>
      </c>
      <c r="C513" s="22" t="s">
        <v>332</v>
      </c>
      <c r="D513" s="22" t="s">
        <v>174</v>
      </c>
      <c r="E513" s="25">
        <v>2</v>
      </c>
      <c r="F513" s="25">
        <v>1902.8571428571429</v>
      </c>
    </row>
    <row r="514" spans="1:6">
      <c r="A514" t="str">
        <f>IFERROR(VLOOKUP(B514,[1]銷貨單品號主檔!$A:$D,4,0),"學習周邊")</f>
        <v>學習周邊</v>
      </c>
      <c r="B514" s="22" t="s">
        <v>101</v>
      </c>
      <c r="C514" s="22" t="s">
        <v>331</v>
      </c>
      <c r="D514" s="22" t="s">
        <v>174</v>
      </c>
      <c r="E514" s="25">
        <v>1</v>
      </c>
      <c r="F514" s="25">
        <v>951.42857142857144</v>
      </c>
    </row>
    <row r="515" spans="1:6">
      <c r="A515" t="str">
        <f>IFERROR(VLOOKUP(B515,[1]銷貨單品號主檔!$A:$D,4,0),"學習周邊")</f>
        <v>學習周邊</v>
      </c>
      <c r="B515" s="22" t="s">
        <v>101</v>
      </c>
      <c r="C515" s="22" t="s">
        <v>349</v>
      </c>
      <c r="D515" s="22" t="s">
        <v>54</v>
      </c>
      <c r="E515" s="25">
        <v>1</v>
      </c>
      <c r="F515" s="25">
        <v>951.42857142857144</v>
      </c>
    </row>
    <row r="516" spans="1:6">
      <c r="A516" t="str">
        <f>IFERROR(VLOOKUP(B516,[1]銷貨單品號主檔!$A:$D,4,0),"學習周邊")</f>
        <v>學習周邊</v>
      </c>
      <c r="B516" s="22" t="s">
        <v>101</v>
      </c>
      <c r="C516" s="22" t="s">
        <v>354</v>
      </c>
      <c r="D516" s="22" t="s">
        <v>54</v>
      </c>
      <c r="E516" s="25">
        <v>2</v>
      </c>
      <c r="F516" s="25">
        <v>1902.8571428571429</v>
      </c>
    </row>
    <row r="517" spans="1:6">
      <c r="A517" t="str">
        <f>IFERROR(VLOOKUP(B517,[1]銷貨單品號主檔!$A:$D,4,0),"學習周邊")</f>
        <v>學習周邊</v>
      </c>
      <c r="B517" s="22" t="s">
        <v>101</v>
      </c>
      <c r="C517" s="22" t="s">
        <v>354</v>
      </c>
      <c r="D517" s="22" t="s">
        <v>174</v>
      </c>
      <c r="E517" s="25">
        <v>1</v>
      </c>
      <c r="F517" s="25">
        <v>951.42857142857144</v>
      </c>
    </row>
    <row r="518" spans="1:6">
      <c r="A518" t="str">
        <f>IFERROR(VLOOKUP(B518,[1]銷貨單品號主檔!$A:$D,4,0),"學習周邊")</f>
        <v>學習周邊</v>
      </c>
      <c r="B518" s="22" t="s">
        <v>101</v>
      </c>
      <c r="C518" s="22" t="s">
        <v>353</v>
      </c>
      <c r="D518" s="22" t="s">
        <v>54</v>
      </c>
      <c r="E518" s="25">
        <v>1</v>
      </c>
      <c r="F518" s="25">
        <v>951.42857142857144</v>
      </c>
    </row>
    <row r="519" spans="1:6">
      <c r="A519" t="str">
        <f>IFERROR(VLOOKUP(B519,[1]銷貨單品號主檔!$A:$D,4,0),"學習周邊")</f>
        <v>學習</v>
      </c>
      <c r="B519" s="22" t="s">
        <v>132</v>
      </c>
      <c r="C519" s="22" t="s">
        <v>60</v>
      </c>
      <c r="D519" s="22" t="s">
        <v>54</v>
      </c>
      <c r="E519" s="25">
        <v>1</v>
      </c>
      <c r="F519" s="25">
        <v>3047.6190476190477</v>
      </c>
    </row>
    <row r="520" spans="1:6">
      <c r="A520" t="str">
        <f>IFERROR(VLOOKUP(B520,[1]銷貨單品號主檔!$A:$D,4,0),"學習周邊")</f>
        <v>學習</v>
      </c>
      <c r="B520" s="22" t="s">
        <v>132</v>
      </c>
      <c r="C520" s="22" t="s">
        <v>62</v>
      </c>
      <c r="D520" s="22" t="s">
        <v>54</v>
      </c>
      <c r="E520" s="25">
        <v>2</v>
      </c>
      <c r="F520" s="25">
        <v>6095.2380952380954</v>
      </c>
    </row>
    <row r="521" spans="1:6">
      <c r="A521" t="str">
        <f>IFERROR(VLOOKUP(B521,[1]銷貨單品號主檔!$A:$D,4,0),"學習周邊")</f>
        <v>學習</v>
      </c>
      <c r="B521" s="22" t="s">
        <v>132</v>
      </c>
      <c r="C521" s="22" t="s">
        <v>73</v>
      </c>
      <c r="D521" s="22" t="s">
        <v>54</v>
      </c>
      <c r="E521" s="25">
        <v>1</v>
      </c>
      <c r="F521" s="25">
        <v>3047.6190476190477</v>
      </c>
    </row>
    <row r="522" spans="1:6">
      <c r="A522" t="str">
        <f>IFERROR(VLOOKUP(B522,[1]銷貨單品號主檔!$A:$D,4,0),"學習周邊")</f>
        <v>學習</v>
      </c>
      <c r="B522" s="22" t="s">
        <v>132</v>
      </c>
      <c r="C522" s="22" t="s">
        <v>107</v>
      </c>
      <c r="D522" s="22" t="s">
        <v>54</v>
      </c>
      <c r="E522" s="25">
        <v>1</v>
      </c>
      <c r="F522" s="25">
        <v>3047.6190476190477</v>
      </c>
    </row>
    <row r="523" spans="1:6">
      <c r="A523" t="str">
        <f>IFERROR(VLOOKUP(B523,[1]銷貨單品號主檔!$A:$D,4,0),"學習周邊")</f>
        <v>學習</v>
      </c>
      <c r="B523" s="22" t="s">
        <v>132</v>
      </c>
      <c r="C523" s="22" t="s">
        <v>72</v>
      </c>
      <c r="D523" s="22" t="s">
        <v>54</v>
      </c>
      <c r="E523" s="25">
        <v>1</v>
      </c>
      <c r="F523" s="25">
        <v>3047.6190476190477</v>
      </c>
    </row>
    <row r="524" spans="1:6">
      <c r="A524" t="str">
        <f>IFERROR(VLOOKUP(B524,[1]銷貨單品號主檔!$A:$D,4,0),"學習周邊")</f>
        <v>學習</v>
      </c>
      <c r="B524" s="22" t="s">
        <v>132</v>
      </c>
      <c r="C524" s="22" t="s">
        <v>76</v>
      </c>
      <c r="D524" s="22" t="s">
        <v>54</v>
      </c>
      <c r="E524" s="25">
        <v>1</v>
      </c>
      <c r="F524" s="25">
        <v>3047.6190476190477</v>
      </c>
    </row>
    <row r="525" spans="1:6">
      <c r="A525" t="str">
        <f>IFERROR(VLOOKUP(B525,[1]銷貨單品號主檔!$A:$D,4,0),"學習周邊")</f>
        <v>學習</v>
      </c>
      <c r="B525" s="22" t="s">
        <v>132</v>
      </c>
      <c r="C525" s="22" t="s">
        <v>83</v>
      </c>
      <c r="D525" s="22" t="s">
        <v>54</v>
      </c>
      <c r="E525" s="25">
        <v>1</v>
      </c>
      <c r="F525" s="25">
        <v>3047.6190476190477</v>
      </c>
    </row>
    <row r="526" spans="1:6">
      <c r="A526" t="str">
        <f>IFERROR(VLOOKUP(B526,[1]銷貨單品號主檔!$A:$D,4,0),"學習周邊")</f>
        <v>學習</v>
      </c>
      <c r="B526" s="22" t="s">
        <v>132</v>
      </c>
      <c r="C526" s="22" t="s">
        <v>85</v>
      </c>
      <c r="D526" s="22" t="s">
        <v>174</v>
      </c>
      <c r="E526" s="25">
        <v>1</v>
      </c>
      <c r="F526" s="25">
        <v>3047.6190476190477</v>
      </c>
    </row>
    <row r="527" spans="1:6">
      <c r="A527" t="str">
        <f>IFERROR(VLOOKUP(B527,[1]銷貨單品號主檔!$A:$D,4,0),"學習周邊")</f>
        <v>學習</v>
      </c>
      <c r="B527" s="22" t="s">
        <v>132</v>
      </c>
      <c r="C527" s="22" t="s">
        <v>90</v>
      </c>
      <c r="D527" s="22" t="s">
        <v>54</v>
      </c>
      <c r="E527" s="25">
        <v>1</v>
      </c>
      <c r="F527" s="25">
        <v>3047.6190476190477</v>
      </c>
    </row>
    <row r="528" spans="1:6">
      <c r="A528" t="str">
        <f>IFERROR(VLOOKUP(B528,[1]銷貨單品號主檔!$A:$D,4,0),"學習周邊")</f>
        <v>學習</v>
      </c>
      <c r="B528" s="22" t="s">
        <v>132</v>
      </c>
      <c r="C528" s="22" t="s">
        <v>92</v>
      </c>
      <c r="D528" s="22" t="s">
        <v>174</v>
      </c>
      <c r="E528" s="25">
        <v>2</v>
      </c>
      <c r="F528" s="25">
        <v>6095.2380952380954</v>
      </c>
    </row>
    <row r="529" spans="1:6">
      <c r="A529" t="str">
        <f>IFERROR(VLOOKUP(B529,[1]銷貨單品號主檔!$A:$D,4,0),"學習周邊")</f>
        <v>學習</v>
      </c>
      <c r="B529" s="22" t="s">
        <v>132</v>
      </c>
      <c r="C529" s="22" t="s">
        <v>326</v>
      </c>
      <c r="D529" s="22" t="s">
        <v>54</v>
      </c>
      <c r="E529" s="25">
        <v>2</v>
      </c>
      <c r="F529" s="25">
        <v>6095.2380952380954</v>
      </c>
    </row>
    <row r="530" spans="1:6">
      <c r="A530" t="str">
        <f>IFERROR(VLOOKUP(B530,[1]銷貨單品號主檔!$A:$D,4,0),"學習周邊")</f>
        <v>學習</v>
      </c>
      <c r="B530" s="22" t="s">
        <v>132</v>
      </c>
      <c r="C530" s="22" t="s">
        <v>328</v>
      </c>
      <c r="D530" s="22" t="s">
        <v>54</v>
      </c>
      <c r="E530" s="25">
        <v>4</v>
      </c>
      <c r="F530" s="25">
        <v>12190.476190476191</v>
      </c>
    </row>
    <row r="531" spans="1:6">
      <c r="A531" t="str">
        <f>IFERROR(VLOOKUP(B531,[1]銷貨單品號主檔!$A:$D,4,0),"學習周邊")</f>
        <v>學習</v>
      </c>
      <c r="B531" s="22" t="s">
        <v>132</v>
      </c>
      <c r="C531" s="22" t="s">
        <v>329</v>
      </c>
      <c r="D531" s="22" t="s">
        <v>174</v>
      </c>
      <c r="E531" s="25">
        <v>1</v>
      </c>
      <c r="F531" s="25">
        <v>3047.6190476190477</v>
      </c>
    </row>
    <row r="532" spans="1:6">
      <c r="A532" t="str">
        <f>IFERROR(VLOOKUP(B532,[1]銷貨單品號主檔!$A:$D,4,0),"學習周邊")</f>
        <v>學習</v>
      </c>
      <c r="B532" s="22" t="s">
        <v>132</v>
      </c>
      <c r="C532" s="22" t="s">
        <v>332</v>
      </c>
      <c r="D532" s="22" t="s">
        <v>54</v>
      </c>
      <c r="E532" s="25">
        <v>1</v>
      </c>
      <c r="F532" s="25">
        <v>3047.6190476190477</v>
      </c>
    </row>
    <row r="533" spans="1:6">
      <c r="A533" t="str">
        <f>IFERROR(VLOOKUP(B533,[1]銷貨單品號主檔!$A:$D,4,0),"學習周邊")</f>
        <v>學習</v>
      </c>
      <c r="B533" s="22" t="s">
        <v>132</v>
      </c>
      <c r="C533" s="22" t="s">
        <v>330</v>
      </c>
      <c r="D533" s="22" t="s">
        <v>174</v>
      </c>
      <c r="E533" s="25">
        <v>1</v>
      </c>
      <c r="F533" s="25">
        <v>3047.6190476190477</v>
      </c>
    </row>
    <row r="534" spans="1:6">
      <c r="A534" t="str">
        <f>IFERROR(VLOOKUP(B534,[1]銷貨單品號主檔!$A:$D,4,0),"學習周邊")</f>
        <v>學習</v>
      </c>
      <c r="B534" s="22" t="s">
        <v>132</v>
      </c>
      <c r="C534" s="22" t="s">
        <v>331</v>
      </c>
      <c r="D534" s="22" t="s">
        <v>174</v>
      </c>
      <c r="E534" s="25">
        <v>1</v>
      </c>
      <c r="F534" s="25">
        <v>3047.6190476190477</v>
      </c>
    </row>
    <row r="535" spans="1:6">
      <c r="A535" t="str">
        <f>IFERROR(VLOOKUP(B535,[1]銷貨單品號主檔!$A:$D,4,0),"學習周邊")</f>
        <v>學習</v>
      </c>
      <c r="B535" s="22" t="s">
        <v>132</v>
      </c>
      <c r="C535" s="22" t="s">
        <v>349</v>
      </c>
      <c r="D535" s="22" t="s">
        <v>174</v>
      </c>
      <c r="E535" s="25">
        <v>3</v>
      </c>
      <c r="F535" s="25">
        <v>9142.8571428571431</v>
      </c>
    </row>
    <row r="536" spans="1:6">
      <c r="A536" t="str">
        <f>IFERROR(VLOOKUP(B536,[1]銷貨單品號主檔!$A:$D,4,0),"學習周邊")</f>
        <v>學習</v>
      </c>
      <c r="B536" s="22" t="s">
        <v>132</v>
      </c>
      <c r="C536" s="22" t="s">
        <v>354</v>
      </c>
      <c r="D536" s="22" t="s">
        <v>174</v>
      </c>
      <c r="E536" s="25">
        <v>1</v>
      </c>
      <c r="F536" s="25">
        <v>3047.6190476190477</v>
      </c>
    </row>
    <row r="537" spans="1:6">
      <c r="A537" t="str">
        <f>IFERROR(VLOOKUP(B537,[1]銷貨單品號主檔!$A:$D,4,0),"學習周邊")</f>
        <v>學習</v>
      </c>
      <c r="B537" s="22" t="s">
        <v>132</v>
      </c>
      <c r="C537" s="22" t="s">
        <v>353</v>
      </c>
      <c r="D537" s="22" t="s">
        <v>54</v>
      </c>
      <c r="E537" s="25">
        <v>1</v>
      </c>
      <c r="F537" s="25">
        <v>3047.6190476190477</v>
      </c>
    </row>
    <row r="538" spans="1:6">
      <c r="A538" t="str">
        <f>IFERROR(VLOOKUP(B538,[1]銷貨單品號主檔!$A:$D,4,0),"學習周邊")</f>
        <v>生活周邊</v>
      </c>
      <c r="B538" s="22" t="s">
        <v>335</v>
      </c>
      <c r="C538" s="22" t="s">
        <v>331</v>
      </c>
      <c r="D538" s="22" t="s">
        <v>54</v>
      </c>
      <c r="E538" s="25">
        <v>1</v>
      </c>
      <c r="F538" s="25">
        <v>380</v>
      </c>
    </row>
    <row r="539" spans="1:6">
      <c r="A539" t="str">
        <f>IFERROR(VLOOKUP(B539,[1]銷貨單品號主檔!$A:$D,4,0),"學習周邊")</f>
        <v>生活周邊</v>
      </c>
      <c r="B539" s="22" t="s">
        <v>255</v>
      </c>
      <c r="C539" s="22" t="s">
        <v>56</v>
      </c>
      <c r="D539" s="22" t="s">
        <v>54</v>
      </c>
      <c r="E539" s="25">
        <v>1</v>
      </c>
      <c r="F539" s="25">
        <v>380</v>
      </c>
    </row>
    <row r="540" spans="1:6">
      <c r="A540" t="str">
        <f>IFERROR(VLOOKUP(B540,[1]銷貨單品號主檔!$A:$D,4,0),"學習周邊")</f>
        <v>生活周邊</v>
      </c>
      <c r="B540" s="22" t="s">
        <v>255</v>
      </c>
      <c r="C540" s="22" t="s">
        <v>59</v>
      </c>
      <c r="D540" s="22" t="s">
        <v>54</v>
      </c>
      <c r="E540" s="25">
        <v>1</v>
      </c>
      <c r="F540" s="25">
        <v>380</v>
      </c>
    </row>
    <row r="541" spans="1:6">
      <c r="A541" t="str">
        <f>IFERROR(VLOOKUP(B541,[1]銷貨單品號主檔!$A:$D,4,0),"學習周邊")</f>
        <v>生活周邊</v>
      </c>
      <c r="B541" s="22" t="s">
        <v>255</v>
      </c>
      <c r="C541" s="22" t="s">
        <v>107</v>
      </c>
      <c r="D541" s="22" t="s">
        <v>54</v>
      </c>
      <c r="E541" s="25">
        <v>1</v>
      </c>
      <c r="F541" s="25">
        <v>380</v>
      </c>
    </row>
    <row r="542" spans="1:6">
      <c r="A542" t="str">
        <f>IFERROR(VLOOKUP(B542,[1]銷貨單品號主檔!$A:$D,4,0),"學習周邊")</f>
        <v>生活周邊</v>
      </c>
      <c r="B542" s="22" t="s">
        <v>255</v>
      </c>
      <c r="C542" s="22" t="s">
        <v>72</v>
      </c>
      <c r="D542" s="22" t="s">
        <v>54</v>
      </c>
      <c r="E542" s="25">
        <v>1</v>
      </c>
      <c r="F542" s="25">
        <v>380</v>
      </c>
    </row>
    <row r="543" spans="1:6">
      <c r="A543" t="str">
        <f>IFERROR(VLOOKUP(B543,[1]銷貨單品號主檔!$A:$D,4,0),"學習周邊")</f>
        <v>生活周邊</v>
      </c>
      <c r="B543" s="22" t="s">
        <v>255</v>
      </c>
      <c r="C543" s="22" t="s">
        <v>53</v>
      </c>
      <c r="D543" s="22" t="s">
        <v>54</v>
      </c>
      <c r="E543" s="25">
        <v>1</v>
      </c>
      <c r="F543" s="25">
        <v>380</v>
      </c>
    </row>
    <row r="544" spans="1:6">
      <c r="A544" t="str">
        <f>IFERROR(VLOOKUP(B544,[1]銷貨單品號主檔!$A:$D,4,0),"學習周邊")</f>
        <v>生活周邊</v>
      </c>
      <c r="B544" s="22" t="s">
        <v>256</v>
      </c>
      <c r="C544" s="22" t="s">
        <v>107</v>
      </c>
      <c r="D544" s="22" t="s">
        <v>54</v>
      </c>
      <c r="E544" s="25">
        <v>1</v>
      </c>
      <c r="F544" s="25">
        <v>289.52380952380952</v>
      </c>
    </row>
    <row r="545" spans="1:6">
      <c r="A545" t="str">
        <f>IFERROR(VLOOKUP(B545,[1]銷貨單品號主檔!$A:$D,4,0),"學習周邊")</f>
        <v>生活周邊</v>
      </c>
      <c r="B545" s="22" t="s">
        <v>256</v>
      </c>
      <c r="C545" s="22" t="s">
        <v>81</v>
      </c>
      <c r="D545" s="22" t="s">
        <v>54</v>
      </c>
      <c r="E545" s="25">
        <v>1</v>
      </c>
      <c r="F545" s="25">
        <v>289.52380952380952</v>
      </c>
    </row>
    <row r="546" spans="1:6">
      <c r="A546" t="str">
        <f>IFERROR(VLOOKUP(B546,[1]銷貨單品號主檔!$A:$D,4,0),"學習周邊")</f>
        <v>生活周邊</v>
      </c>
      <c r="B546" s="22" t="s">
        <v>256</v>
      </c>
      <c r="C546" s="22" t="s">
        <v>83</v>
      </c>
      <c r="D546" s="22" t="s">
        <v>54</v>
      </c>
      <c r="E546" s="25">
        <v>3</v>
      </c>
      <c r="F546" s="25">
        <v>868.57142857142856</v>
      </c>
    </row>
    <row r="547" spans="1:6">
      <c r="A547" t="str">
        <f>IFERROR(VLOOKUP(B547,[1]銷貨單品號主檔!$A:$D,4,0),"學習周邊")</f>
        <v>生活周邊</v>
      </c>
      <c r="B547" s="22" t="s">
        <v>256</v>
      </c>
      <c r="C547" s="22" t="s">
        <v>87</v>
      </c>
      <c r="D547" s="22" t="s">
        <v>54</v>
      </c>
      <c r="E547" s="25">
        <v>1</v>
      </c>
      <c r="F547" s="25">
        <v>289.52380952380952</v>
      </c>
    </row>
    <row r="548" spans="1:6">
      <c r="A548" t="str">
        <f>IFERROR(VLOOKUP(B548,[1]銷貨單品號主檔!$A:$D,4,0),"學習周邊")</f>
        <v>生活周邊</v>
      </c>
      <c r="B548" s="22" t="s">
        <v>256</v>
      </c>
      <c r="C548" s="22" t="s">
        <v>53</v>
      </c>
      <c r="D548" s="22" t="s">
        <v>54</v>
      </c>
      <c r="E548" s="25">
        <v>1</v>
      </c>
      <c r="F548" s="25">
        <v>289.52380952380952</v>
      </c>
    </row>
    <row r="549" spans="1:6">
      <c r="A549" t="str">
        <f>IFERROR(VLOOKUP(B549,[1]銷貨單品號主檔!$A:$D,4,0),"學習周邊")</f>
        <v>生活周邊</v>
      </c>
      <c r="B549" s="22" t="s">
        <v>256</v>
      </c>
      <c r="C549" s="22" t="s">
        <v>326</v>
      </c>
      <c r="D549" s="22" t="s">
        <v>54</v>
      </c>
      <c r="E549" s="25">
        <v>1</v>
      </c>
      <c r="F549" s="25">
        <v>289.52380952380952</v>
      </c>
    </row>
    <row r="550" spans="1:6">
      <c r="A550" t="str">
        <f>IFERROR(VLOOKUP(B550,[1]銷貨單品號主檔!$A:$D,4,0),"學習周邊")</f>
        <v>生活周邊</v>
      </c>
      <c r="B550" s="22" t="s">
        <v>256</v>
      </c>
      <c r="C550" s="22" t="s">
        <v>353</v>
      </c>
      <c r="D550" s="22" t="s">
        <v>54</v>
      </c>
      <c r="E550" s="25">
        <v>1</v>
      </c>
      <c r="F550" s="25">
        <v>289.52380952380952</v>
      </c>
    </row>
    <row r="551" spans="1:6">
      <c r="A551" t="str">
        <f>IFERROR(VLOOKUP(B551,[1]銷貨單品號主檔!$A:$D,4,0),"學習周邊")</f>
        <v>生活周邊</v>
      </c>
      <c r="B551" s="22" t="s">
        <v>257</v>
      </c>
      <c r="C551" s="22" t="s">
        <v>60</v>
      </c>
      <c r="D551" s="22" t="s">
        <v>54</v>
      </c>
      <c r="E551" s="25">
        <v>1</v>
      </c>
      <c r="F551" s="25">
        <v>1332.3809523809523</v>
      </c>
    </row>
    <row r="552" spans="1:6">
      <c r="A552" t="str">
        <f>IFERROR(VLOOKUP(B552,[1]銷貨單品號主檔!$A:$D,4,0),"學習周邊")</f>
        <v>生活周邊</v>
      </c>
      <c r="B552" s="22" t="s">
        <v>46</v>
      </c>
      <c r="C552" s="22" t="s">
        <v>59</v>
      </c>
      <c r="D552" s="22" t="s">
        <v>54</v>
      </c>
      <c r="E552" s="25">
        <v>1</v>
      </c>
      <c r="F552" s="25">
        <v>1522.8571428571429</v>
      </c>
    </row>
    <row r="553" spans="1:6">
      <c r="A553" t="str">
        <f>IFERROR(VLOOKUP(B553,[1]銷貨單品號主檔!$A:$D,4,0),"學習周邊")</f>
        <v>生活周邊</v>
      </c>
      <c r="B553" s="22" t="s">
        <v>46</v>
      </c>
      <c r="C553" s="22" t="s">
        <v>83</v>
      </c>
      <c r="D553" s="22" t="s">
        <v>54</v>
      </c>
      <c r="E553" s="25">
        <v>1</v>
      </c>
      <c r="F553" s="25">
        <v>1522.8571428571429</v>
      </c>
    </row>
    <row r="554" spans="1:6">
      <c r="A554" t="str">
        <f>IFERROR(VLOOKUP(B554,[1]銷貨單品號主檔!$A:$D,4,0),"學習周邊")</f>
        <v>生活周邊</v>
      </c>
      <c r="B554" s="22" t="s">
        <v>46</v>
      </c>
      <c r="C554" s="22" t="s">
        <v>85</v>
      </c>
      <c r="D554" s="22" t="s">
        <v>54</v>
      </c>
      <c r="E554" s="25">
        <v>1</v>
      </c>
      <c r="F554" s="25">
        <v>1522.8571428571429</v>
      </c>
    </row>
    <row r="555" spans="1:6">
      <c r="A555" t="str">
        <f>IFERROR(VLOOKUP(B555,[1]銷貨單品號主檔!$A:$D,4,0),"學習周邊")</f>
        <v>生活周邊</v>
      </c>
      <c r="B555" s="22" t="s">
        <v>258</v>
      </c>
      <c r="C555" s="22" t="s">
        <v>60</v>
      </c>
      <c r="D555" s="22" t="s">
        <v>54</v>
      </c>
      <c r="E555" s="25">
        <v>2</v>
      </c>
      <c r="F555" s="25">
        <v>1712.3809523809523</v>
      </c>
    </row>
    <row r="556" spans="1:6">
      <c r="A556" t="str">
        <f>IFERROR(VLOOKUP(B556,[1]銷貨單品號主檔!$A:$D,4,0),"學習周邊")</f>
        <v>生活周邊</v>
      </c>
      <c r="B556" s="22" t="s">
        <v>258</v>
      </c>
      <c r="C556" s="22" t="s">
        <v>59</v>
      </c>
      <c r="D556" s="22" t="s">
        <v>54</v>
      </c>
      <c r="E556" s="25">
        <v>2</v>
      </c>
      <c r="F556" s="25">
        <v>1712.3809523809523</v>
      </c>
    </row>
    <row r="557" spans="1:6">
      <c r="A557" t="str">
        <f>IFERROR(VLOOKUP(B557,[1]銷貨單品號主檔!$A:$D,4,0),"學習周邊")</f>
        <v>生活周邊</v>
      </c>
      <c r="B557" s="22" t="s">
        <v>258</v>
      </c>
      <c r="C557" s="22" t="s">
        <v>66</v>
      </c>
      <c r="D557" s="22" t="s">
        <v>54</v>
      </c>
      <c r="E557" s="25">
        <v>1</v>
      </c>
      <c r="F557" s="25">
        <v>856.19047619047615</v>
      </c>
    </row>
    <row r="558" spans="1:6">
      <c r="A558" t="str">
        <f>IFERROR(VLOOKUP(B558,[1]銷貨單品號主檔!$A:$D,4,0),"學習周邊")</f>
        <v>生活周邊</v>
      </c>
      <c r="B558" s="22" t="s">
        <v>258</v>
      </c>
      <c r="C558" s="22" t="s">
        <v>76</v>
      </c>
      <c r="D558" s="22" t="s">
        <v>54</v>
      </c>
      <c r="E558" s="25">
        <v>3</v>
      </c>
      <c r="F558" s="25">
        <v>2568.5714285714284</v>
      </c>
    </row>
    <row r="559" spans="1:6">
      <c r="A559" t="str">
        <f>IFERROR(VLOOKUP(B559,[1]銷貨單品號主檔!$A:$D,4,0),"學習周邊")</f>
        <v>生活周邊</v>
      </c>
      <c r="B559" s="22" t="s">
        <v>258</v>
      </c>
      <c r="C559" s="22" t="s">
        <v>81</v>
      </c>
      <c r="D559" s="22" t="s">
        <v>54</v>
      </c>
      <c r="E559" s="25">
        <v>1</v>
      </c>
      <c r="F559" s="25">
        <v>856.19047619047615</v>
      </c>
    </row>
    <row r="560" spans="1:6">
      <c r="A560" t="str">
        <f>IFERROR(VLOOKUP(B560,[1]銷貨單品號主檔!$A:$D,4,0),"學習周邊")</f>
        <v>生活周邊</v>
      </c>
      <c r="B560" s="22" t="s">
        <v>258</v>
      </c>
      <c r="C560" s="22" t="s">
        <v>90</v>
      </c>
      <c r="D560" s="22" t="s">
        <v>54</v>
      </c>
      <c r="E560" s="25">
        <v>1</v>
      </c>
      <c r="F560" s="25">
        <v>856.19047619047615</v>
      </c>
    </row>
    <row r="561" spans="1:6">
      <c r="A561" t="str">
        <f>IFERROR(VLOOKUP(B561,[1]銷貨單品號主檔!$A:$D,4,0),"學習周邊")</f>
        <v>生活周邊</v>
      </c>
      <c r="B561" s="22" t="s">
        <v>259</v>
      </c>
      <c r="C561" s="22" t="s">
        <v>60</v>
      </c>
      <c r="D561" s="22" t="s">
        <v>54</v>
      </c>
      <c r="E561" s="25">
        <v>1</v>
      </c>
      <c r="F561" s="25">
        <v>380</v>
      </c>
    </row>
    <row r="562" spans="1:6">
      <c r="A562" t="str">
        <f>IFERROR(VLOOKUP(B562,[1]銷貨單品號主檔!$A:$D,4,0),"學習周邊")</f>
        <v>生活周邊</v>
      </c>
      <c r="B562" s="22" t="s">
        <v>259</v>
      </c>
      <c r="C562" s="22" t="s">
        <v>78</v>
      </c>
      <c r="D562" s="22" t="s">
        <v>54</v>
      </c>
      <c r="E562" s="25">
        <v>1</v>
      </c>
      <c r="F562" s="25">
        <v>380</v>
      </c>
    </row>
    <row r="563" spans="1:6">
      <c r="A563" t="str">
        <f>IFERROR(VLOOKUP(B563,[1]銷貨單品號主檔!$A:$D,4,0),"學習周邊")</f>
        <v>生活周邊</v>
      </c>
      <c r="B563" s="22" t="s">
        <v>260</v>
      </c>
      <c r="C563" s="22" t="s">
        <v>62</v>
      </c>
      <c r="D563" s="22" t="s">
        <v>54</v>
      </c>
      <c r="E563" s="25">
        <v>1</v>
      </c>
      <c r="F563" s="25">
        <v>380</v>
      </c>
    </row>
    <row r="564" spans="1:6">
      <c r="A564" t="str">
        <f>IFERROR(VLOOKUP(B564,[1]銷貨單品號主檔!$A:$D,4,0),"學習周邊")</f>
        <v>生活周邊</v>
      </c>
      <c r="B564" s="22" t="s">
        <v>260</v>
      </c>
      <c r="C564" s="22" t="s">
        <v>88</v>
      </c>
      <c r="D564" s="22" t="s">
        <v>54</v>
      </c>
      <c r="E564" s="25">
        <v>1</v>
      </c>
      <c r="F564" s="25">
        <v>380</v>
      </c>
    </row>
    <row r="565" spans="1:6">
      <c r="A565" t="str">
        <f>IFERROR(VLOOKUP(B565,[1]銷貨單品號主檔!$A:$D,4,0),"學習周邊")</f>
        <v>生活周邊</v>
      </c>
      <c r="B565" s="22" t="s">
        <v>260</v>
      </c>
      <c r="C565" s="22" t="s">
        <v>53</v>
      </c>
      <c r="D565" s="22" t="s">
        <v>54</v>
      </c>
      <c r="E565" s="25">
        <v>1</v>
      </c>
      <c r="F565" s="25">
        <v>380</v>
      </c>
    </row>
    <row r="566" spans="1:6">
      <c r="A566" t="str">
        <f>IFERROR(VLOOKUP(B566,[1]銷貨單品號主檔!$A:$D,4,0),"學習周邊")</f>
        <v>生活周邊</v>
      </c>
      <c r="B566" s="22" t="s">
        <v>261</v>
      </c>
      <c r="C566" s="22" t="s">
        <v>88</v>
      </c>
      <c r="D566" s="22" t="s">
        <v>54</v>
      </c>
      <c r="E566" s="25">
        <v>1</v>
      </c>
      <c r="F566" s="25">
        <v>380</v>
      </c>
    </row>
    <row r="567" spans="1:6">
      <c r="A567" t="str">
        <f>IFERROR(VLOOKUP(B567,[1]銷貨單品號主檔!$A:$D,4,0),"學習周邊")</f>
        <v>生活周邊</v>
      </c>
      <c r="B567" s="22" t="s">
        <v>261</v>
      </c>
      <c r="C567" s="22" t="s">
        <v>349</v>
      </c>
      <c r="D567" s="22" t="s">
        <v>54</v>
      </c>
      <c r="E567" s="25">
        <v>1</v>
      </c>
      <c r="F567" s="25">
        <v>380</v>
      </c>
    </row>
    <row r="568" spans="1:6">
      <c r="A568" t="str">
        <f>IFERROR(VLOOKUP(B568,[1]銷貨單品號主檔!$A:$D,4,0),"學習周邊")</f>
        <v>生活周邊</v>
      </c>
      <c r="B568" s="22" t="s">
        <v>262</v>
      </c>
      <c r="C568" s="22" t="s">
        <v>78</v>
      </c>
      <c r="D568" s="22" t="s">
        <v>54</v>
      </c>
      <c r="E568" s="25">
        <v>1</v>
      </c>
      <c r="F568" s="25">
        <v>380</v>
      </c>
    </row>
    <row r="569" spans="1:6">
      <c r="A569" t="str">
        <f>IFERROR(VLOOKUP(B569,[1]銷貨單品號主檔!$A:$D,4,0),"學習周邊")</f>
        <v>生活周邊</v>
      </c>
      <c r="B569" s="22" t="s">
        <v>262</v>
      </c>
      <c r="C569" s="22" t="s">
        <v>87</v>
      </c>
      <c r="D569" s="22" t="s">
        <v>54</v>
      </c>
      <c r="E569" s="25">
        <v>1</v>
      </c>
      <c r="F569" s="25">
        <v>380</v>
      </c>
    </row>
    <row r="570" spans="1:6">
      <c r="A570" t="str">
        <f>IFERROR(VLOOKUP(B570,[1]銷貨單品號主檔!$A:$D,4,0),"學習周邊")</f>
        <v>學習周邊</v>
      </c>
      <c r="B570" s="22" t="s">
        <v>120</v>
      </c>
      <c r="C570" s="22" t="s">
        <v>107</v>
      </c>
      <c r="D570" s="22" t="s">
        <v>54</v>
      </c>
      <c r="E570" s="25">
        <v>1</v>
      </c>
      <c r="F570" s="25">
        <v>665.71428571428567</v>
      </c>
    </row>
    <row r="571" spans="1:6">
      <c r="A571" t="str">
        <f>IFERROR(VLOOKUP(B571,[1]銷貨單品號主檔!$A:$D,4,0),"學習周邊")</f>
        <v>學習周邊</v>
      </c>
      <c r="B571" s="22" t="s">
        <v>120</v>
      </c>
      <c r="C571" s="22" t="s">
        <v>76</v>
      </c>
      <c r="D571" s="22" t="s">
        <v>174</v>
      </c>
      <c r="E571" s="25">
        <v>1</v>
      </c>
      <c r="F571" s="25">
        <v>665.71428571428567</v>
      </c>
    </row>
    <row r="572" spans="1:6">
      <c r="A572" t="str">
        <f>IFERROR(VLOOKUP(B572,[1]銷貨單品號主檔!$A:$D,4,0),"學習周邊")</f>
        <v>學習周邊</v>
      </c>
      <c r="B572" s="22" t="s">
        <v>120</v>
      </c>
      <c r="C572" s="22" t="s">
        <v>85</v>
      </c>
      <c r="D572" s="22" t="s">
        <v>174</v>
      </c>
      <c r="E572" s="25">
        <v>1</v>
      </c>
      <c r="F572" s="25">
        <v>665.71428571428567</v>
      </c>
    </row>
    <row r="573" spans="1:6">
      <c r="A573" t="str">
        <f>IFERROR(VLOOKUP(B573,[1]銷貨單品號主檔!$A:$D,4,0),"學習周邊")</f>
        <v>學習周邊</v>
      </c>
      <c r="B573" s="22" t="s">
        <v>120</v>
      </c>
      <c r="C573" s="22" t="s">
        <v>87</v>
      </c>
      <c r="D573" s="22" t="s">
        <v>174</v>
      </c>
      <c r="E573" s="25">
        <v>3</v>
      </c>
      <c r="F573" s="25">
        <v>1997.1428571428571</v>
      </c>
    </row>
    <row r="574" spans="1:6">
      <c r="A574" t="str">
        <f>IFERROR(VLOOKUP(B574,[1]銷貨單品號主檔!$A:$D,4,0),"學習周邊")</f>
        <v>學習周邊</v>
      </c>
      <c r="B574" s="22" t="s">
        <v>120</v>
      </c>
      <c r="C574" s="22" t="s">
        <v>90</v>
      </c>
      <c r="D574" s="22" t="s">
        <v>54</v>
      </c>
      <c r="E574" s="25">
        <v>1</v>
      </c>
      <c r="F574" s="25">
        <v>665.71428571428567</v>
      </c>
    </row>
    <row r="575" spans="1:6">
      <c r="A575" t="str">
        <f>IFERROR(VLOOKUP(B575,[1]銷貨單品號主檔!$A:$D,4,0),"學習周邊")</f>
        <v>學習周邊</v>
      </c>
      <c r="B575" s="22" t="s">
        <v>120</v>
      </c>
      <c r="C575" s="22" t="s">
        <v>108</v>
      </c>
      <c r="D575" s="22" t="s">
        <v>54</v>
      </c>
      <c r="E575" s="25">
        <v>1</v>
      </c>
      <c r="F575" s="25">
        <v>665.71428571428567</v>
      </c>
    </row>
    <row r="576" spans="1:6">
      <c r="A576" t="str">
        <f>IFERROR(VLOOKUP(B576,[1]銷貨單品號主檔!$A:$D,4,0),"學習周邊")</f>
        <v>學習周邊</v>
      </c>
      <c r="B576" s="22" t="s">
        <v>120</v>
      </c>
      <c r="C576" s="22" t="s">
        <v>92</v>
      </c>
      <c r="D576" s="22" t="s">
        <v>54</v>
      </c>
      <c r="E576" s="25">
        <v>1</v>
      </c>
      <c r="F576" s="25">
        <v>665.71428571428567</v>
      </c>
    </row>
    <row r="577" spans="1:6">
      <c r="A577" t="str">
        <f>IFERROR(VLOOKUP(B577,[1]銷貨單品號主檔!$A:$D,4,0),"學習周邊")</f>
        <v>學習周邊</v>
      </c>
      <c r="B577" s="22" t="s">
        <v>120</v>
      </c>
      <c r="C577" s="22" t="s">
        <v>92</v>
      </c>
      <c r="D577" s="22" t="s">
        <v>174</v>
      </c>
      <c r="E577" s="25">
        <v>1</v>
      </c>
      <c r="F577" s="25">
        <v>665.71428571428567</v>
      </c>
    </row>
    <row r="578" spans="1:6">
      <c r="A578" t="str">
        <f>IFERROR(VLOOKUP(B578,[1]銷貨單品號主檔!$A:$D,4,0),"學習周邊")</f>
        <v>學習周邊</v>
      </c>
      <c r="B578" s="22" t="s">
        <v>120</v>
      </c>
      <c r="C578" s="22" t="s">
        <v>329</v>
      </c>
      <c r="D578" s="22" t="s">
        <v>174</v>
      </c>
      <c r="E578" s="25">
        <v>1</v>
      </c>
      <c r="F578" s="25">
        <v>665.71428571428567</v>
      </c>
    </row>
    <row r="579" spans="1:6">
      <c r="A579" t="str">
        <f>IFERROR(VLOOKUP(B579,[1]銷貨單品號主檔!$A:$D,4,0),"學習周邊")</f>
        <v>學習周邊</v>
      </c>
      <c r="B579" s="22" t="s">
        <v>120</v>
      </c>
      <c r="C579" s="22" t="s">
        <v>332</v>
      </c>
      <c r="D579" s="22" t="s">
        <v>54</v>
      </c>
      <c r="E579" s="25">
        <v>1</v>
      </c>
      <c r="F579" s="25">
        <v>665.71428571428567</v>
      </c>
    </row>
    <row r="580" spans="1:6">
      <c r="A580" t="str">
        <f>IFERROR(VLOOKUP(B580,[1]銷貨單品號主檔!$A:$D,4,0),"學習周邊")</f>
        <v>學習周邊</v>
      </c>
      <c r="B580" s="22" t="s">
        <v>120</v>
      </c>
      <c r="C580" s="22" t="s">
        <v>331</v>
      </c>
      <c r="D580" s="22" t="s">
        <v>174</v>
      </c>
      <c r="E580" s="25">
        <v>2</v>
      </c>
      <c r="F580" s="25">
        <v>1331.4285714285713</v>
      </c>
    </row>
    <row r="581" spans="1:6">
      <c r="A581" t="str">
        <f>IFERROR(VLOOKUP(B581,[1]銷貨單品號主檔!$A:$D,4,0),"學習周邊")</f>
        <v>學習周邊</v>
      </c>
      <c r="B581" s="22" t="s">
        <v>120</v>
      </c>
      <c r="C581" s="22" t="s">
        <v>354</v>
      </c>
      <c r="D581" s="22" t="s">
        <v>174</v>
      </c>
      <c r="E581" s="25">
        <v>2</v>
      </c>
      <c r="F581" s="25">
        <v>1331.4285714285713</v>
      </c>
    </row>
    <row r="582" spans="1:6">
      <c r="A582" t="str">
        <f>IFERROR(VLOOKUP(B582,[1]銷貨單品號主檔!$A:$D,4,0),"學習周邊")</f>
        <v>學習周邊</v>
      </c>
      <c r="B582" s="22" t="s">
        <v>120</v>
      </c>
      <c r="C582" s="22" t="s">
        <v>353</v>
      </c>
      <c r="D582" s="22" t="s">
        <v>54</v>
      </c>
      <c r="E582" s="25">
        <v>1</v>
      </c>
      <c r="F582" s="25">
        <v>665.71428571428567</v>
      </c>
    </row>
    <row r="583" spans="1:6">
      <c r="A583" t="str">
        <f>IFERROR(VLOOKUP(B583,[1]銷貨單品號主檔!$A:$D,4,0),"學習周邊")</f>
        <v>學習周邊</v>
      </c>
      <c r="B583" s="22" t="s">
        <v>185</v>
      </c>
      <c r="C583" s="22" t="s">
        <v>67</v>
      </c>
      <c r="D583" s="22" t="s">
        <v>54</v>
      </c>
      <c r="E583" s="25">
        <v>1</v>
      </c>
      <c r="F583" s="25">
        <v>1046.6666666666665</v>
      </c>
    </row>
    <row r="584" spans="1:6">
      <c r="A584" t="str">
        <f>IFERROR(VLOOKUP(B584,[1]銷貨單品號主檔!$A:$D,4,0),"學習周邊")</f>
        <v>學習周邊</v>
      </c>
      <c r="B584" s="22" t="s">
        <v>185</v>
      </c>
      <c r="C584" s="22" t="s">
        <v>73</v>
      </c>
      <c r="D584" s="22" t="s">
        <v>54</v>
      </c>
      <c r="E584" s="25">
        <v>2</v>
      </c>
      <c r="F584" s="25">
        <v>2093.333333333333</v>
      </c>
    </row>
    <row r="585" spans="1:6">
      <c r="A585" t="str">
        <f>IFERROR(VLOOKUP(B585,[1]銷貨單品號主檔!$A:$D,4,0),"學習周邊")</f>
        <v>學習周邊</v>
      </c>
      <c r="B585" s="22" t="s">
        <v>185</v>
      </c>
      <c r="C585" s="22" t="s">
        <v>59</v>
      </c>
      <c r="D585" s="22" t="s">
        <v>54</v>
      </c>
      <c r="E585" s="25">
        <v>1</v>
      </c>
      <c r="F585" s="25">
        <v>1046.6666666666665</v>
      </c>
    </row>
    <row r="586" spans="1:6">
      <c r="A586" t="str">
        <f>IFERROR(VLOOKUP(B586,[1]銷貨單品號主檔!$A:$D,4,0),"學習周邊")</f>
        <v>學習周邊</v>
      </c>
      <c r="B586" s="22" t="s">
        <v>185</v>
      </c>
      <c r="C586" s="22" t="s">
        <v>107</v>
      </c>
      <c r="D586" s="22" t="s">
        <v>174</v>
      </c>
      <c r="E586" s="25">
        <v>1</v>
      </c>
      <c r="F586" s="25">
        <v>1046.6666666666665</v>
      </c>
    </row>
    <row r="587" spans="1:6">
      <c r="A587" t="str">
        <f>IFERROR(VLOOKUP(B587,[1]銷貨單品號主檔!$A:$D,4,0),"學習周邊")</f>
        <v>學習周邊</v>
      </c>
      <c r="B587" s="22" t="s">
        <v>185</v>
      </c>
      <c r="C587" s="22" t="s">
        <v>76</v>
      </c>
      <c r="D587" s="22" t="s">
        <v>174</v>
      </c>
      <c r="E587" s="25">
        <v>1</v>
      </c>
      <c r="F587" s="25">
        <v>1046.6666666666665</v>
      </c>
    </row>
    <row r="588" spans="1:6">
      <c r="A588" t="str">
        <f>IFERROR(VLOOKUP(B588,[1]銷貨單品號主檔!$A:$D,4,0),"學習周邊")</f>
        <v>學習周邊</v>
      </c>
      <c r="B588" s="22" t="s">
        <v>185</v>
      </c>
      <c r="C588" s="22" t="s">
        <v>83</v>
      </c>
      <c r="D588" s="22" t="s">
        <v>54</v>
      </c>
      <c r="E588" s="25">
        <v>1</v>
      </c>
      <c r="F588" s="25">
        <v>1046.6666666666665</v>
      </c>
    </row>
    <row r="589" spans="1:6">
      <c r="A589" t="str">
        <f>IFERROR(VLOOKUP(B589,[1]銷貨單品號主檔!$A:$D,4,0),"學習周邊")</f>
        <v>學習周邊</v>
      </c>
      <c r="B589" s="22" t="s">
        <v>185</v>
      </c>
      <c r="C589" s="22" t="s">
        <v>87</v>
      </c>
      <c r="D589" s="22" t="s">
        <v>174</v>
      </c>
      <c r="E589" s="25">
        <v>5</v>
      </c>
      <c r="F589" s="25">
        <v>5233.333333333333</v>
      </c>
    </row>
    <row r="590" spans="1:6">
      <c r="A590" t="str">
        <f>IFERROR(VLOOKUP(B590,[1]銷貨單品號主檔!$A:$D,4,0),"學習周邊")</f>
        <v>學習周邊</v>
      </c>
      <c r="B590" s="22" t="s">
        <v>185</v>
      </c>
      <c r="C590" s="22" t="s">
        <v>53</v>
      </c>
      <c r="D590" s="22" t="s">
        <v>54</v>
      </c>
      <c r="E590" s="25">
        <v>1</v>
      </c>
      <c r="F590" s="25">
        <v>1046.6666666666665</v>
      </c>
    </row>
    <row r="591" spans="1:6">
      <c r="A591" t="str">
        <f>IFERROR(VLOOKUP(B591,[1]銷貨單品號主檔!$A:$D,4,0),"學習周邊")</f>
        <v>學習周邊</v>
      </c>
      <c r="B591" s="22" t="s">
        <v>185</v>
      </c>
      <c r="C591" s="22" t="s">
        <v>92</v>
      </c>
      <c r="D591" s="22" t="s">
        <v>174</v>
      </c>
      <c r="E591" s="25">
        <v>2</v>
      </c>
      <c r="F591" s="25">
        <v>2093.333333333333</v>
      </c>
    </row>
    <row r="592" spans="1:6">
      <c r="A592" t="str">
        <f>IFERROR(VLOOKUP(B592,[1]銷貨單品號主檔!$A:$D,4,0),"學習周邊")</f>
        <v>學習周邊</v>
      </c>
      <c r="B592" s="22" t="s">
        <v>185</v>
      </c>
      <c r="C592" s="22" t="s">
        <v>326</v>
      </c>
      <c r="D592" s="22" t="s">
        <v>54</v>
      </c>
      <c r="E592" s="25">
        <v>1</v>
      </c>
      <c r="F592" s="25">
        <v>1046.6666666666665</v>
      </c>
    </row>
    <row r="593" spans="1:6">
      <c r="A593" t="str">
        <f>IFERROR(VLOOKUP(B593,[1]銷貨單品號主檔!$A:$D,4,0),"學習周邊")</f>
        <v>學習周邊</v>
      </c>
      <c r="B593" s="22" t="s">
        <v>185</v>
      </c>
      <c r="C593" s="22" t="s">
        <v>326</v>
      </c>
      <c r="D593" s="22" t="s">
        <v>174</v>
      </c>
      <c r="E593" s="25">
        <v>1</v>
      </c>
      <c r="F593" s="25">
        <v>1046.6666666666665</v>
      </c>
    </row>
    <row r="594" spans="1:6">
      <c r="A594" t="str">
        <f>IFERROR(VLOOKUP(B594,[1]銷貨單品號主檔!$A:$D,4,0),"學習周邊")</f>
        <v>學習周邊</v>
      </c>
      <c r="B594" s="22" t="s">
        <v>185</v>
      </c>
      <c r="C594" s="22" t="s">
        <v>329</v>
      </c>
      <c r="D594" s="22" t="s">
        <v>54</v>
      </c>
      <c r="E594" s="25">
        <v>1</v>
      </c>
      <c r="F594" s="25">
        <v>1046.6666666666665</v>
      </c>
    </row>
    <row r="595" spans="1:6">
      <c r="A595" t="str">
        <f>IFERROR(VLOOKUP(B595,[1]銷貨單品號主檔!$A:$D,4,0),"學習周邊")</f>
        <v>學習周邊</v>
      </c>
      <c r="B595" s="22" t="s">
        <v>185</v>
      </c>
      <c r="C595" s="22" t="s">
        <v>331</v>
      </c>
      <c r="D595" s="22" t="s">
        <v>174</v>
      </c>
      <c r="E595" s="25">
        <v>1</v>
      </c>
      <c r="F595" s="25">
        <v>1046.6666666666665</v>
      </c>
    </row>
    <row r="596" spans="1:6">
      <c r="A596" t="str">
        <f>IFERROR(VLOOKUP(B596,[1]銷貨單品號主檔!$A:$D,4,0),"學習周邊")</f>
        <v>學習周邊</v>
      </c>
      <c r="B596" s="22" t="s">
        <v>185</v>
      </c>
      <c r="C596" s="22" t="s">
        <v>354</v>
      </c>
      <c r="D596" s="22" t="s">
        <v>174</v>
      </c>
      <c r="E596" s="25">
        <v>1</v>
      </c>
      <c r="F596" s="25">
        <v>1046.6666666666665</v>
      </c>
    </row>
    <row r="597" spans="1:6">
      <c r="A597" t="str">
        <f>IFERROR(VLOOKUP(B597,[1]銷貨單品號主檔!$A:$D,4,0),"學習周邊")</f>
        <v>生活周邊</v>
      </c>
      <c r="B597" s="22" t="s">
        <v>263</v>
      </c>
      <c r="C597" s="22" t="s">
        <v>56</v>
      </c>
      <c r="D597" s="22" t="s">
        <v>54</v>
      </c>
      <c r="E597" s="25">
        <v>1</v>
      </c>
      <c r="F597" s="25">
        <v>1428.5714285714284</v>
      </c>
    </row>
    <row r="598" spans="1:6">
      <c r="A598" t="str">
        <f>IFERROR(VLOOKUP(B598,[1]銷貨單品號主檔!$A:$D,4,0),"學習周邊")</f>
        <v>生活周邊</v>
      </c>
      <c r="B598" s="22" t="s">
        <v>263</v>
      </c>
      <c r="C598" s="22" t="s">
        <v>65</v>
      </c>
      <c r="D598" s="22" t="s">
        <v>54</v>
      </c>
      <c r="E598" s="25">
        <v>1</v>
      </c>
      <c r="F598" s="25">
        <v>1428.5714285714284</v>
      </c>
    </row>
    <row r="599" spans="1:6">
      <c r="A599" t="str">
        <f>IFERROR(VLOOKUP(B599,[1]銷貨單品號主檔!$A:$D,4,0),"學習周邊")</f>
        <v>生活周邊</v>
      </c>
      <c r="B599" s="22" t="s">
        <v>263</v>
      </c>
      <c r="C599" s="22" t="s">
        <v>66</v>
      </c>
      <c r="D599" s="22" t="s">
        <v>54</v>
      </c>
      <c r="E599" s="25">
        <v>2</v>
      </c>
      <c r="F599" s="25">
        <v>2857.1428571428569</v>
      </c>
    </row>
    <row r="600" spans="1:6">
      <c r="A600" t="str">
        <f>IFERROR(VLOOKUP(B600,[1]銷貨單品號主檔!$A:$D,4,0),"學習周邊")</f>
        <v>生活周邊</v>
      </c>
      <c r="B600" s="22" t="s">
        <v>263</v>
      </c>
      <c r="C600" s="22" t="s">
        <v>72</v>
      </c>
      <c r="D600" s="22" t="s">
        <v>54</v>
      </c>
      <c r="E600" s="25">
        <v>1</v>
      </c>
      <c r="F600" s="25">
        <v>1428.5714285714284</v>
      </c>
    </row>
    <row r="601" spans="1:6">
      <c r="A601" t="str">
        <f>IFERROR(VLOOKUP(B601,[1]銷貨單品號主檔!$A:$D,4,0),"學習周邊")</f>
        <v>生活周邊</v>
      </c>
      <c r="B601" s="22" t="s">
        <v>263</v>
      </c>
      <c r="C601" s="22" t="s">
        <v>76</v>
      </c>
      <c r="D601" s="22" t="s">
        <v>54</v>
      </c>
      <c r="E601" s="25">
        <v>2</v>
      </c>
      <c r="F601" s="25">
        <v>2857.1428571428569</v>
      </c>
    </row>
    <row r="602" spans="1:6">
      <c r="A602" t="str">
        <f>IFERROR(VLOOKUP(B602,[1]銷貨單品號主檔!$A:$D,4,0),"學習周邊")</f>
        <v>生活周邊</v>
      </c>
      <c r="B602" s="22" t="s">
        <v>263</v>
      </c>
      <c r="C602" s="22" t="s">
        <v>332</v>
      </c>
      <c r="D602" s="22" t="s">
        <v>54</v>
      </c>
      <c r="E602" s="25">
        <v>1</v>
      </c>
      <c r="F602" s="25">
        <v>1428.5714285714284</v>
      </c>
    </row>
    <row r="603" spans="1:6">
      <c r="A603" t="str">
        <f>IFERROR(VLOOKUP(B603,[1]銷貨單品號主檔!$A:$D,4,0),"學習周邊")</f>
        <v>生活周邊</v>
      </c>
      <c r="B603" s="22" t="s">
        <v>263</v>
      </c>
      <c r="C603" s="22" t="s">
        <v>353</v>
      </c>
      <c r="D603" s="22" t="s">
        <v>54</v>
      </c>
      <c r="E603" s="25">
        <v>1</v>
      </c>
      <c r="F603" s="25">
        <v>1428.5714285714284</v>
      </c>
    </row>
    <row r="604" spans="1:6">
      <c r="A604" t="str">
        <f>IFERROR(VLOOKUP(B604,[1]銷貨單品號主檔!$A:$D,4,0),"學習周邊")</f>
        <v>生活周邊</v>
      </c>
      <c r="B604" s="22" t="s">
        <v>264</v>
      </c>
      <c r="C604" s="22" t="s">
        <v>56</v>
      </c>
      <c r="D604" s="22" t="s">
        <v>54</v>
      </c>
      <c r="E604" s="25">
        <v>1</v>
      </c>
      <c r="F604" s="25">
        <v>333.33333333333331</v>
      </c>
    </row>
    <row r="605" spans="1:6">
      <c r="A605" t="str">
        <f>IFERROR(VLOOKUP(B605,[1]銷貨單品號主檔!$A:$D,4,0),"學習周邊")</f>
        <v>生活周邊</v>
      </c>
      <c r="B605" s="22" t="s">
        <v>264</v>
      </c>
      <c r="C605" s="22" t="s">
        <v>65</v>
      </c>
      <c r="D605" s="22" t="s">
        <v>54</v>
      </c>
      <c r="E605" s="25">
        <v>1</v>
      </c>
      <c r="F605" s="25">
        <v>333.33333333333331</v>
      </c>
    </row>
    <row r="606" spans="1:6">
      <c r="A606" t="str">
        <f>IFERROR(VLOOKUP(B606,[1]銷貨單品號主檔!$A:$D,4,0),"學習周邊")</f>
        <v>生活周邊</v>
      </c>
      <c r="B606" s="22" t="s">
        <v>264</v>
      </c>
      <c r="C606" s="22" t="s">
        <v>59</v>
      </c>
      <c r="D606" s="22" t="s">
        <v>54</v>
      </c>
      <c r="E606" s="25">
        <v>5</v>
      </c>
      <c r="F606" s="25">
        <v>1666.6666666666665</v>
      </c>
    </row>
    <row r="607" spans="1:6">
      <c r="A607" t="str">
        <f>IFERROR(VLOOKUP(B607,[1]銷貨單品號主檔!$A:$D,4,0),"學習周邊")</f>
        <v>生活周邊</v>
      </c>
      <c r="B607" s="22" t="s">
        <v>264</v>
      </c>
      <c r="C607" s="22" t="s">
        <v>66</v>
      </c>
      <c r="D607" s="22" t="s">
        <v>54</v>
      </c>
      <c r="E607" s="25">
        <v>1</v>
      </c>
      <c r="F607" s="25">
        <v>333.33333333333331</v>
      </c>
    </row>
    <row r="608" spans="1:6">
      <c r="A608" t="str">
        <f>IFERROR(VLOOKUP(B608,[1]銷貨單品號主檔!$A:$D,4,0),"學習周邊")</f>
        <v>生活周邊</v>
      </c>
      <c r="B608" s="22" t="s">
        <v>264</v>
      </c>
      <c r="C608" s="22" t="s">
        <v>107</v>
      </c>
      <c r="D608" s="22" t="s">
        <v>54</v>
      </c>
      <c r="E608" s="25">
        <v>8</v>
      </c>
      <c r="F608" s="25">
        <v>2666.6666666666665</v>
      </c>
    </row>
    <row r="609" spans="1:6">
      <c r="A609" t="str">
        <f>IFERROR(VLOOKUP(B609,[1]銷貨單品號主檔!$A:$D,4,0),"學習周邊")</f>
        <v>生活周邊</v>
      </c>
      <c r="B609" s="22" t="s">
        <v>264</v>
      </c>
      <c r="C609" s="22" t="s">
        <v>78</v>
      </c>
      <c r="D609" s="22" t="s">
        <v>54</v>
      </c>
      <c r="E609" s="25">
        <v>4</v>
      </c>
      <c r="F609" s="25">
        <v>1333.3333333333333</v>
      </c>
    </row>
    <row r="610" spans="1:6">
      <c r="A610" t="str">
        <f>IFERROR(VLOOKUP(B610,[1]銷貨單品號主檔!$A:$D,4,0),"學習周邊")</f>
        <v>生活周邊</v>
      </c>
      <c r="B610" s="22" t="s">
        <v>264</v>
      </c>
      <c r="C610" s="22" t="s">
        <v>81</v>
      </c>
      <c r="D610" s="22" t="s">
        <v>54</v>
      </c>
      <c r="E610" s="25">
        <v>2</v>
      </c>
      <c r="F610" s="25">
        <v>666.66666666666663</v>
      </c>
    </row>
    <row r="611" spans="1:6">
      <c r="A611" t="str">
        <f>IFERROR(VLOOKUP(B611,[1]銷貨單品號主檔!$A:$D,4,0),"學習周邊")</f>
        <v>生活周邊</v>
      </c>
      <c r="B611" s="22" t="s">
        <v>264</v>
      </c>
      <c r="C611" s="22" t="s">
        <v>85</v>
      </c>
      <c r="D611" s="22" t="s">
        <v>54</v>
      </c>
      <c r="E611" s="25">
        <v>2</v>
      </c>
      <c r="F611" s="25">
        <v>666.66666666666663</v>
      </c>
    </row>
    <row r="612" spans="1:6">
      <c r="A612" t="str">
        <f>IFERROR(VLOOKUP(B612,[1]銷貨單品號主檔!$A:$D,4,0),"學習周邊")</f>
        <v>生活周邊</v>
      </c>
      <c r="B612" s="22" t="s">
        <v>264</v>
      </c>
      <c r="C612" s="22" t="s">
        <v>87</v>
      </c>
      <c r="D612" s="22" t="s">
        <v>54</v>
      </c>
      <c r="E612" s="25">
        <v>1</v>
      </c>
      <c r="F612" s="25">
        <v>333.33333333333331</v>
      </c>
    </row>
    <row r="613" spans="1:6">
      <c r="A613" t="str">
        <f>IFERROR(VLOOKUP(B613,[1]銷貨單品號主檔!$A:$D,4,0),"學習周邊")</f>
        <v>生活周邊</v>
      </c>
      <c r="B613" s="22" t="s">
        <v>264</v>
      </c>
      <c r="C613" s="22" t="s">
        <v>90</v>
      </c>
      <c r="D613" s="22" t="s">
        <v>54</v>
      </c>
      <c r="E613" s="25">
        <v>1</v>
      </c>
      <c r="F613" s="25">
        <v>333.33333333333331</v>
      </c>
    </row>
    <row r="614" spans="1:6">
      <c r="A614" t="str">
        <f>IFERROR(VLOOKUP(B614,[1]銷貨單品號主檔!$A:$D,4,0),"學習周邊")</f>
        <v>生活周邊</v>
      </c>
      <c r="B614" s="22" t="s">
        <v>264</v>
      </c>
      <c r="C614" s="22" t="s">
        <v>88</v>
      </c>
      <c r="D614" s="22" t="s">
        <v>54</v>
      </c>
      <c r="E614" s="25">
        <v>1</v>
      </c>
      <c r="F614" s="25">
        <v>333.33333333333331</v>
      </c>
    </row>
    <row r="615" spans="1:6">
      <c r="A615" t="str">
        <f>IFERROR(VLOOKUP(B615,[1]銷貨單品號主檔!$A:$D,4,0),"學習周邊")</f>
        <v>生活周邊</v>
      </c>
      <c r="B615" s="22" t="s">
        <v>264</v>
      </c>
      <c r="C615" s="22" t="s">
        <v>53</v>
      </c>
      <c r="D615" s="22" t="s">
        <v>54</v>
      </c>
      <c r="E615" s="25">
        <v>1</v>
      </c>
      <c r="F615" s="25">
        <v>333.33333333333331</v>
      </c>
    </row>
    <row r="616" spans="1:6">
      <c r="A616" t="str">
        <f>IFERROR(VLOOKUP(B616,[1]銷貨單品號主檔!$A:$D,4,0),"學習周邊")</f>
        <v>生活周邊</v>
      </c>
      <c r="B616" s="22" t="s">
        <v>264</v>
      </c>
      <c r="C616" s="22" t="s">
        <v>326</v>
      </c>
      <c r="D616" s="22" t="s">
        <v>54</v>
      </c>
      <c r="E616" s="25">
        <v>1</v>
      </c>
      <c r="F616" s="25">
        <v>333.33333333333331</v>
      </c>
    </row>
    <row r="617" spans="1:6">
      <c r="A617" t="str">
        <f>IFERROR(VLOOKUP(B617,[1]銷貨單品號主檔!$A:$D,4,0),"學習周邊")</f>
        <v>生活周邊</v>
      </c>
      <c r="B617" s="22" t="s">
        <v>264</v>
      </c>
      <c r="C617" s="22" t="s">
        <v>328</v>
      </c>
      <c r="D617" s="22" t="s">
        <v>54</v>
      </c>
      <c r="E617" s="25">
        <v>1</v>
      </c>
      <c r="F617" s="25">
        <v>333.33333333333331</v>
      </c>
    </row>
    <row r="618" spans="1:6">
      <c r="A618" t="str">
        <f>IFERROR(VLOOKUP(B618,[1]銷貨單品號主檔!$A:$D,4,0),"學習周邊")</f>
        <v>生活周邊</v>
      </c>
      <c r="B618" s="22" t="s">
        <v>264</v>
      </c>
      <c r="C618" s="22" t="s">
        <v>329</v>
      </c>
      <c r="D618" s="22" t="s">
        <v>54</v>
      </c>
      <c r="E618" s="25">
        <v>1</v>
      </c>
      <c r="F618" s="25">
        <v>333.33333333333331</v>
      </c>
    </row>
    <row r="619" spans="1:6">
      <c r="A619" t="str">
        <f>IFERROR(VLOOKUP(B619,[1]銷貨單品號主檔!$A:$D,4,0),"學習周邊")</f>
        <v>生活周邊</v>
      </c>
      <c r="B619" s="22" t="s">
        <v>264</v>
      </c>
      <c r="C619" s="22" t="s">
        <v>330</v>
      </c>
      <c r="D619" s="22" t="s">
        <v>54</v>
      </c>
      <c r="E619" s="25">
        <v>1</v>
      </c>
      <c r="F619" s="25">
        <v>333.33333333333331</v>
      </c>
    </row>
    <row r="620" spans="1:6">
      <c r="A620" t="str">
        <f>IFERROR(VLOOKUP(B620,[1]銷貨單品號主檔!$A:$D,4,0),"學習周邊")</f>
        <v>生活周邊</v>
      </c>
      <c r="B620" s="22" t="s">
        <v>264</v>
      </c>
      <c r="C620" s="22" t="s">
        <v>331</v>
      </c>
      <c r="D620" s="22" t="s">
        <v>54</v>
      </c>
      <c r="E620" s="25">
        <v>2</v>
      </c>
      <c r="F620" s="25">
        <v>666.66666666666663</v>
      </c>
    </row>
    <row r="621" spans="1:6">
      <c r="A621" t="str">
        <f>IFERROR(VLOOKUP(B621,[1]銷貨單品號主檔!$A:$D,4,0),"學習周邊")</f>
        <v>生活周邊</v>
      </c>
      <c r="B621" s="22" t="s">
        <v>265</v>
      </c>
      <c r="C621" s="22" t="s">
        <v>56</v>
      </c>
      <c r="D621" s="22" t="s">
        <v>54</v>
      </c>
      <c r="E621" s="25">
        <v>1</v>
      </c>
      <c r="F621" s="25">
        <v>666.66666666666663</v>
      </c>
    </row>
    <row r="622" spans="1:6">
      <c r="A622" t="str">
        <f>IFERROR(VLOOKUP(B622,[1]銷貨單品號主檔!$A:$D,4,0),"學習周邊")</f>
        <v>生活周邊</v>
      </c>
      <c r="B622" s="22" t="s">
        <v>265</v>
      </c>
      <c r="C622" s="22" t="s">
        <v>62</v>
      </c>
      <c r="D622" s="22" t="s">
        <v>54</v>
      </c>
      <c r="E622" s="25">
        <v>1</v>
      </c>
      <c r="F622" s="25">
        <v>666.66666666666663</v>
      </c>
    </row>
    <row r="623" spans="1:6">
      <c r="A623" t="str">
        <f>IFERROR(VLOOKUP(B623,[1]銷貨單品號主檔!$A:$D,4,0),"學習周邊")</f>
        <v>生活周邊</v>
      </c>
      <c r="B623" s="22" t="s">
        <v>265</v>
      </c>
      <c r="C623" s="22" t="s">
        <v>65</v>
      </c>
      <c r="D623" s="22" t="s">
        <v>54</v>
      </c>
      <c r="E623" s="25">
        <v>1</v>
      </c>
      <c r="F623" s="25">
        <v>666.66666666666663</v>
      </c>
    </row>
    <row r="624" spans="1:6">
      <c r="A624" t="str">
        <f>IFERROR(VLOOKUP(B624,[1]銷貨單品號主檔!$A:$D,4,0),"學習周邊")</f>
        <v>生活周邊</v>
      </c>
      <c r="B624" s="22" t="s">
        <v>265</v>
      </c>
      <c r="C624" s="22" t="s">
        <v>66</v>
      </c>
      <c r="D624" s="22" t="s">
        <v>54</v>
      </c>
      <c r="E624" s="25">
        <v>1</v>
      </c>
      <c r="F624" s="25">
        <v>666.66666666666663</v>
      </c>
    </row>
    <row r="625" spans="1:6">
      <c r="A625" t="str">
        <f>IFERROR(VLOOKUP(B625,[1]銷貨單品號主檔!$A:$D,4,0),"學習周邊")</f>
        <v>生活周邊</v>
      </c>
      <c r="B625" s="22" t="s">
        <v>265</v>
      </c>
      <c r="C625" s="22" t="s">
        <v>78</v>
      </c>
      <c r="D625" s="22" t="s">
        <v>54</v>
      </c>
      <c r="E625" s="25">
        <v>1</v>
      </c>
      <c r="F625" s="25">
        <v>666.66666666666663</v>
      </c>
    </row>
    <row r="626" spans="1:6">
      <c r="A626" t="str">
        <f>IFERROR(VLOOKUP(B626,[1]銷貨單品號主檔!$A:$D,4,0),"學習周邊")</f>
        <v>生活周邊</v>
      </c>
      <c r="B626" s="22" t="s">
        <v>265</v>
      </c>
      <c r="C626" s="22" t="s">
        <v>81</v>
      </c>
      <c r="D626" s="22" t="s">
        <v>54</v>
      </c>
      <c r="E626" s="25">
        <v>1</v>
      </c>
      <c r="F626" s="25">
        <v>666.66666666666663</v>
      </c>
    </row>
    <row r="627" spans="1:6">
      <c r="A627" t="str">
        <f>IFERROR(VLOOKUP(B627,[1]銷貨單品號主檔!$A:$D,4,0),"學習周邊")</f>
        <v>生活周邊</v>
      </c>
      <c r="B627" s="22" t="s">
        <v>265</v>
      </c>
      <c r="C627" s="22" t="s">
        <v>108</v>
      </c>
      <c r="D627" s="22" t="s">
        <v>54</v>
      </c>
      <c r="E627" s="25">
        <v>1</v>
      </c>
      <c r="F627" s="25">
        <v>666.66666666666663</v>
      </c>
    </row>
    <row r="628" spans="1:6">
      <c r="A628" t="str">
        <f>IFERROR(VLOOKUP(B628,[1]銷貨單品號主檔!$A:$D,4,0),"學習周邊")</f>
        <v>生活周邊</v>
      </c>
      <c r="B628" s="22" t="s">
        <v>265</v>
      </c>
      <c r="C628" s="22" t="s">
        <v>53</v>
      </c>
      <c r="D628" s="22" t="s">
        <v>54</v>
      </c>
      <c r="E628" s="25">
        <v>1</v>
      </c>
      <c r="F628" s="25">
        <v>666.66666666666663</v>
      </c>
    </row>
    <row r="629" spans="1:6">
      <c r="A629" t="str">
        <f>IFERROR(VLOOKUP(B629,[1]銷貨單品號主檔!$A:$D,4,0),"學習周邊")</f>
        <v>生活周邊</v>
      </c>
      <c r="B629" s="22" t="s">
        <v>266</v>
      </c>
      <c r="C629" s="22" t="s">
        <v>62</v>
      </c>
      <c r="D629" s="22" t="s">
        <v>54</v>
      </c>
      <c r="E629" s="25">
        <v>1</v>
      </c>
      <c r="F629" s="25">
        <v>1333.3333333333333</v>
      </c>
    </row>
    <row r="630" spans="1:6">
      <c r="A630" t="str">
        <f>IFERROR(VLOOKUP(B630,[1]銷貨單品號主檔!$A:$D,4,0),"學習周邊")</f>
        <v>生活周邊</v>
      </c>
      <c r="B630" s="22" t="s">
        <v>266</v>
      </c>
      <c r="C630" s="22" t="s">
        <v>73</v>
      </c>
      <c r="D630" s="22" t="s">
        <v>54</v>
      </c>
      <c r="E630" s="25">
        <v>1</v>
      </c>
      <c r="F630" s="25">
        <v>1333.3333333333333</v>
      </c>
    </row>
    <row r="631" spans="1:6">
      <c r="A631" t="str">
        <f>IFERROR(VLOOKUP(B631,[1]銷貨單品號主檔!$A:$D,4,0),"學習周邊")</f>
        <v>生活周邊</v>
      </c>
      <c r="B631" s="22" t="s">
        <v>266</v>
      </c>
      <c r="C631" s="22" t="s">
        <v>59</v>
      </c>
      <c r="D631" s="22" t="s">
        <v>54</v>
      </c>
      <c r="E631" s="25">
        <v>1</v>
      </c>
      <c r="F631" s="25">
        <v>1333.3333333333333</v>
      </c>
    </row>
    <row r="632" spans="1:6">
      <c r="A632" t="str">
        <f>IFERROR(VLOOKUP(B632,[1]銷貨單品號主檔!$A:$D,4,0),"學習周邊")</f>
        <v>生活周邊</v>
      </c>
      <c r="B632" s="22" t="s">
        <v>266</v>
      </c>
      <c r="C632" s="22" t="s">
        <v>76</v>
      </c>
      <c r="D632" s="22" t="s">
        <v>54</v>
      </c>
      <c r="E632" s="25">
        <v>1</v>
      </c>
      <c r="F632" s="25">
        <v>1333.3333333333333</v>
      </c>
    </row>
    <row r="633" spans="1:6">
      <c r="A633" t="str">
        <f>IFERROR(VLOOKUP(B633,[1]銷貨單品號主檔!$A:$D,4,0),"學習周邊")</f>
        <v>生活周邊</v>
      </c>
      <c r="B633" s="22" t="s">
        <v>266</v>
      </c>
      <c r="C633" s="22" t="s">
        <v>78</v>
      </c>
      <c r="D633" s="22" t="s">
        <v>54</v>
      </c>
      <c r="E633" s="25">
        <v>1</v>
      </c>
      <c r="F633" s="25">
        <v>1333.3333333333333</v>
      </c>
    </row>
    <row r="634" spans="1:6">
      <c r="A634" t="str">
        <f>IFERROR(VLOOKUP(B634,[1]銷貨單品號主檔!$A:$D,4,0),"學習周邊")</f>
        <v>生活周邊</v>
      </c>
      <c r="B634" s="22" t="s">
        <v>266</v>
      </c>
      <c r="C634" s="22" t="s">
        <v>83</v>
      </c>
      <c r="D634" s="22" t="s">
        <v>54</v>
      </c>
      <c r="E634" s="25">
        <v>1</v>
      </c>
      <c r="F634" s="25">
        <v>1333.3333333333333</v>
      </c>
    </row>
    <row r="635" spans="1:6">
      <c r="A635" t="str">
        <f>IFERROR(VLOOKUP(B635,[1]銷貨單品號主檔!$A:$D,4,0),"學習周邊")</f>
        <v>生活周邊</v>
      </c>
      <c r="B635" s="22" t="s">
        <v>266</v>
      </c>
      <c r="C635" s="22" t="s">
        <v>90</v>
      </c>
      <c r="D635" s="22" t="s">
        <v>54</v>
      </c>
      <c r="E635" s="25">
        <v>1</v>
      </c>
      <c r="F635" s="25">
        <v>1333.3333333333333</v>
      </c>
    </row>
    <row r="636" spans="1:6">
      <c r="A636" t="str">
        <f>IFERROR(VLOOKUP(B636,[1]銷貨單品號主檔!$A:$D,4,0),"學習周邊")</f>
        <v>生活周邊</v>
      </c>
      <c r="B636" s="22" t="s">
        <v>266</v>
      </c>
      <c r="C636" s="22" t="s">
        <v>330</v>
      </c>
      <c r="D636" s="22" t="s">
        <v>54</v>
      </c>
      <c r="E636" s="25">
        <v>1</v>
      </c>
      <c r="F636" s="25">
        <v>1333.3333333333333</v>
      </c>
    </row>
    <row r="637" spans="1:6">
      <c r="A637" t="str">
        <f>IFERROR(VLOOKUP(B637,[1]銷貨單品號主檔!$A:$D,4,0),"學習周邊")</f>
        <v>生活周邊</v>
      </c>
      <c r="B637" s="22" t="s">
        <v>267</v>
      </c>
      <c r="C637" s="22" t="s">
        <v>56</v>
      </c>
      <c r="D637" s="22" t="s">
        <v>54</v>
      </c>
      <c r="E637" s="25">
        <v>1</v>
      </c>
      <c r="F637" s="25">
        <v>714.28571428571422</v>
      </c>
    </row>
    <row r="638" spans="1:6">
      <c r="A638" t="str">
        <f>IFERROR(VLOOKUP(B638,[1]銷貨單品號主檔!$A:$D,4,0),"學習周邊")</f>
        <v>生活周邊</v>
      </c>
      <c r="B638" s="22" t="s">
        <v>267</v>
      </c>
      <c r="C638" s="22" t="s">
        <v>59</v>
      </c>
      <c r="D638" s="22" t="s">
        <v>54</v>
      </c>
      <c r="E638" s="25">
        <v>1</v>
      </c>
      <c r="F638" s="25">
        <v>714.28571428571422</v>
      </c>
    </row>
    <row r="639" spans="1:6">
      <c r="A639" t="str">
        <f>IFERROR(VLOOKUP(B639,[1]銷貨單品號主檔!$A:$D,4,0),"學習周邊")</f>
        <v>生活周邊</v>
      </c>
      <c r="B639" s="22" t="s">
        <v>267</v>
      </c>
      <c r="C639" s="22" t="s">
        <v>107</v>
      </c>
      <c r="D639" s="22" t="s">
        <v>54</v>
      </c>
      <c r="E639" s="25">
        <v>1</v>
      </c>
      <c r="F639" s="25">
        <v>714.28571428571422</v>
      </c>
    </row>
    <row r="640" spans="1:6">
      <c r="A640" t="str">
        <f>IFERROR(VLOOKUP(B640,[1]銷貨單品號主檔!$A:$D,4,0),"學習周邊")</f>
        <v>生活周邊</v>
      </c>
      <c r="B640" s="22" t="s">
        <v>267</v>
      </c>
      <c r="C640" s="22" t="s">
        <v>83</v>
      </c>
      <c r="D640" s="22" t="s">
        <v>54</v>
      </c>
      <c r="E640" s="25">
        <v>1</v>
      </c>
      <c r="F640" s="25">
        <v>714.28571428571422</v>
      </c>
    </row>
    <row r="641" spans="1:6">
      <c r="A641" t="str">
        <f>IFERROR(VLOOKUP(B641,[1]銷貨單品號主檔!$A:$D,4,0),"學習周邊")</f>
        <v>生活周邊</v>
      </c>
      <c r="B641" s="22" t="s">
        <v>267</v>
      </c>
      <c r="C641" s="22" t="s">
        <v>326</v>
      </c>
      <c r="D641" s="22" t="s">
        <v>54</v>
      </c>
      <c r="E641" s="25">
        <v>1</v>
      </c>
      <c r="F641" s="25">
        <v>714.28571428571422</v>
      </c>
    </row>
    <row r="642" spans="1:6">
      <c r="A642" t="str">
        <f>IFERROR(VLOOKUP(B642,[1]銷貨單品號主檔!$A:$D,4,0),"學習周邊")</f>
        <v>生活周邊</v>
      </c>
      <c r="B642" s="22" t="s">
        <v>267</v>
      </c>
      <c r="C642" s="22" t="s">
        <v>354</v>
      </c>
      <c r="D642" s="22" t="s">
        <v>54</v>
      </c>
      <c r="E642" s="25">
        <v>1</v>
      </c>
      <c r="F642" s="25">
        <v>714.28571428571422</v>
      </c>
    </row>
    <row r="643" spans="1:6">
      <c r="A643" t="str">
        <f>IFERROR(VLOOKUP(B643,[1]銷貨單品號主檔!$A:$D,4,0),"學習周邊")</f>
        <v>生活周邊</v>
      </c>
      <c r="B643" s="22" t="s">
        <v>268</v>
      </c>
      <c r="C643" s="22" t="s">
        <v>56</v>
      </c>
      <c r="D643" s="22" t="s">
        <v>54</v>
      </c>
      <c r="E643" s="25">
        <v>1</v>
      </c>
      <c r="F643" s="25">
        <v>714.28571428571422</v>
      </c>
    </row>
    <row r="644" spans="1:6">
      <c r="A644" t="str">
        <f>IFERROR(VLOOKUP(B644,[1]銷貨單品號主檔!$A:$D,4,0),"學習周邊")</f>
        <v>生活周邊</v>
      </c>
      <c r="B644" s="22" t="s">
        <v>268</v>
      </c>
      <c r="C644" s="22" t="s">
        <v>83</v>
      </c>
      <c r="D644" s="22" t="s">
        <v>54</v>
      </c>
      <c r="E644" s="25">
        <v>1</v>
      </c>
      <c r="F644" s="25">
        <v>714.28571428571422</v>
      </c>
    </row>
    <row r="645" spans="1:6">
      <c r="A645" t="str">
        <f>IFERROR(VLOOKUP(B645,[1]銷貨單品號主檔!$A:$D,4,0),"學習周邊")</f>
        <v>生活周邊</v>
      </c>
      <c r="B645" s="22" t="s">
        <v>268</v>
      </c>
      <c r="C645" s="22" t="s">
        <v>85</v>
      </c>
      <c r="D645" s="22" t="s">
        <v>54</v>
      </c>
      <c r="E645" s="25">
        <v>1</v>
      </c>
      <c r="F645" s="25">
        <v>714.28571428571422</v>
      </c>
    </row>
    <row r="646" spans="1:6">
      <c r="A646" t="str">
        <f>IFERROR(VLOOKUP(B646,[1]銷貨單品號主檔!$A:$D,4,0),"學習周邊")</f>
        <v>生活周邊</v>
      </c>
      <c r="B646" s="22" t="s">
        <v>268</v>
      </c>
      <c r="C646" s="22" t="s">
        <v>328</v>
      </c>
      <c r="D646" s="22" t="s">
        <v>54</v>
      </c>
      <c r="E646" s="25">
        <v>1</v>
      </c>
      <c r="F646" s="25">
        <v>714.28571428571422</v>
      </c>
    </row>
    <row r="647" spans="1:6">
      <c r="A647" t="str">
        <f>IFERROR(VLOOKUP(B647,[1]銷貨單品號主檔!$A:$D,4,0),"學習周邊")</f>
        <v>生活周邊</v>
      </c>
      <c r="B647" s="22" t="s">
        <v>269</v>
      </c>
      <c r="C647" s="22" t="s">
        <v>56</v>
      </c>
      <c r="D647" s="22" t="s">
        <v>54</v>
      </c>
      <c r="E647" s="25">
        <v>1</v>
      </c>
      <c r="F647" s="25">
        <v>276.1904761904762</v>
      </c>
    </row>
    <row r="648" spans="1:6">
      <c r="A648" t="str">
        <f>IFERROR(VLOOKUP(B648,[1]銷貨單品號主檔!$A:$D,4,0),"學習周邊")</f>
        <v>生活周邊</v>
      </c>
      <c r="B648" s="22" t="s">
        <v>269</v>
      </c>
      <c r="C648" s="22" t="s">
        <v>59</v>
      </c>
      <c r="D648" s="22" t="s">
        <v>54</v>
      </c>
      <c r="E648" s="25">
        <v>2</v>
      </c>
      <c r="F648" s="25">
        <v>552.38095238095241</v>
      </c>
    </row>
    <row r="649" spans="1:6">
      <c r="A649" t="str">
        <f>IFERROR(VLOOKUP(B649,[1]銷貨單品號主檔!$A:$D,4,0),"學習周邊")</f>
        <v>生活周邊</v>
      </c>
      <c r="B649" s="22" t="s">
        <v>269</v>
      </c>
      <c r="C649" s="22" t="s">
        <v>76</v>
      </c>
      <c r="D649" s="22" t="s">
        <v>54</v>
      </c>
      <c r="E649" s="25">
        <v>1</v>
      </c>
      <c r="F649" s="25">
        <v>276.1904761904762</v>
      </c>
    </row>
    <row r="650" spans="1:6">
      <c r="A650" t="str">
        <f>IFERROR(VLOOKUP(B650,[1]銷貨單品號主檔!$A:$D,4,0),"學習周邊")</f>
        <v>生活周邊</v>
      </c>
      <c r="B650" s="22" t="s">
        <v>270</v>
      </c>
      <c r="C650" s="22" t="s">
        <v>66</v>
      </c>
      <c r="D650" s="22" t="s">
        <v>54</v>
      </c>
      <c r="E650" s="25">
        <v>1</v>
      </c>
      <c r="F650" s="25">
        <v>428.57142857142856</v>
      </c>
    </row>
    <row r="651" spans="1:6">
      <c r="A651" t="str">
        <f>IFERROR(VLOOKUP(B651,[1]銷貨單品號主檔!$A:$D,4,0),"學習周邊")</f>
        <v>生活周邊</v>
      </c>
      <c r="B651" s="22" t="s">
        <v>270</v>
      </c>
      <c r="C651" s="22" t="s">
        <v>76</v>
      </c>
      <c r="D651" s="22" t="s">
        <v>54</v>
      </c>
      <c r="E651" s="25">
        <v>1</v>
      </c>
      <c r="F651" s="25">
        <v>428.57142857142856</v>
      </c>
    </row>
    <row r="652" spans="1:6">
      <c r="A652" t="str">
        <f>IFERROR(VLOOKUP(B652,[1]銷貨單品號主檔!$A:$D,4,0),"學習周邊")</f>
        <v>生活周邊</v>
      </c>
      <c r="B652" s="22" t="s">
        <v>271</v>
      </c>
      <c r="C652" s="22" t="s">
        <v>56</v>
      </c>
      <c r="D652" s="22" t="s">
        <v>54</v>
      </c>
      <c r="E652" s="25">
        <v>1</v>
      </c>
      <c r="F652" s="25">
        <v>523.80952380952374</v>
      </c>
    </row>
    <row r="653" spans="1:6">
      <c r="A653" t="str">
        <f>IFERROR(VLOOKUP(B653,[1]銷貨單品號主檔!$A:$D,4,0),"學習周邊")</f>
        <v>生活周邊</v>
      </c>
      <c r="B653" s="22" t="s">
        <v>271</v>
      </c>
      <c r="C653" s="22" t="s">
        <v>107</v>
      </c>
      <c r="D653" s="22" t="s">
        <v>54</v>
      </c>
      <c r="E653" s="25">
        <v>1</v>
      </c>
      <c r="F653" s="25">
        <v>523.80952380952374</v>
      </c>
    </row>
    <row r="654" spans="1:6">
      <c r="A654" t="str">
        <f>IFERROR(VLOOKUP(B654,[1]銷貨單品號主檔!$A:$D,4,0),"學習周邊")</f>
        <v>生活周邊</v>
      </c>
      <c r="B654" s="22" t="s">
        <v>271</v>
      </c>
      <c r="C654" s="22" t="s">
        <v>76</v>
      </c>
      <c r="D654" s="22" t="s">
        <v>54</v>
      </c>
      <c r="E654" s="25">
        <v>1</v>
      </c>
      <c r="F654" s="25">
        <v>523.80952380952374</v>
      </c>
    </row>
    <row r="655" spans="1:6">
      <c r="A655" t="str">
        <f>IFERROR(VLOOKUP(B655,[1]銷貨單品號主檔!$A:$D,4,0),"學習周邊")</f>
        <v>生活周邊</v>
      </c>
      <c r="B655" s="22" t="s">
        <v>271</v>
      </c>
      <c r="C655" s="22" t="s">
        <v>78</v>
      </c>
      <c r="D655" s="22" t="s">
        <v>54</v>
      </c>
      <c r="E655" s="25">
        <v>1</v>
      </c>
      <c r="F655" s="25">
        <v>523.80952380952374</v>
      </c>
    </row>
    <row r="656" spans="1:6">
      <c r="A656" t="str">
        <f>IFERROR(VLOOKUP(B656,[1]銷貨單品號主檔!$A:$D,4,0),"學習周邊")</f>
        <v>生活周邊</v>
      </c>
      <c r="B656" s="22" t="s">
        <v>271</v>
      </c>
      <c r="C656" s="22" t="s">
        <v>85</v>
      </c>
      <c r="D656" s="22" t="s">
        <v>54</v>
      </c>
      <c r="E656" s="25">
        <v>1</v>
      </c>
      <c r="F656" s="25">
        <v>523.80952380952374</v>
      </c>
    </row>
    <row r="657" spans="1:6">
      <c r="A657" t="str">
        <f>IFERROR(VLOOKUP(B657,[1]銷貨單品號主檔!$A:$D,4,0),"學習周邊")</f>
        <v>生活周邊</v>
      </c>
      <c r="B657" s="22" t="s">
        <v>271</v>
      </c>
      <c r="C657" s="22" t="s">
        <v>53</v>
      </c>
      <c r="D657" s="22" t="s">
        <v>54</v>
      </c>
      <c r="E657" s="25">
        <v>1</v>
      </c>
      <c r="F657" s="25">
        <v>523.80952380952374</v>
      </c>
    </row>
    <row r="658" spans="1:6">
      <c r="A658" t="str">
        <f>IFERROR(VLOOKUP(B658,[1]銷貨單品號主檔!$A:$D,4,0),"學習周邊")</f>
        <v>生活周邊</v>
      </c>
      <c r="B658" s="22" t="s">
        <v>271</v>
      </c>
      <c r="C658" s="22" t="s">
        <v>326</v>
      </c>
      <c r="D658" s="22" t="s">
        <v>54</v>
      </c>
      <c r="E658" s="25">
        <v>1</v>
      </c>
      <c r="F658" s="25">
        <v>523.80952380952374</v>
      </c>
    </row>
    <row r="659" spans="1:6">
      <c r="A659" t="str">
        <f>IFERROR(VLOOKUP(B659,[1]銷貨單品號主檔!$A:$D,4,0),"學習周邊")</f>
        <v>生活周邊</v>
      </c>
      <c r="B659" s="22" t="s">
        <v>272</v>
      </c>
      <c r="C659" s="22" t="s">
        <v>66</v>
      </c>
      <c r="D659" s="22" t="s">
        <v>54</v>
      </c>
      <c r="E659" s="25">
        <v>1</v>
      </c>
      <c r="F659" s="25">
        <v>760.95238095238096</v>
      </c>
    </row>
    <row r="660" spans="1:6">
      <c r="A660" t="str">
        <f>IFERROR(VLOOKUP(B660,[1]銷貨單品號主檔!$A:$D,4,0),"學習周邊")</f>
        <v>生活周邊</v>
      </c>
      <c r="B660" s="22" t="s">
        <v>272</v>
      </c>
      <c r="C660" s="22" t="s">
        <v>83</v>
      </c>
      <c r="D660" s="22" t="s">
        <v>54</v>
      </c>
      <c r="E660" s="25">
        <v>1</v>
      </c>
      <c r="F660" s="25">
        <v>760.95238095238096</v>
      </c>
    </row>
    <row r="661" spans="1:6">
      <c r="A661" t="str">
        <f>IFERROR(VLOOKUP(B661,[1]銷貨單品號主檔!$A:$D,4,0),"學習周邊")</f>
        <v>生活周邊</v>
      </c>
      <c r="B661" s="22" t="s">
        <v>272</v>
      </c>
      <c r="C661" s="22" t="s">
        <v>330</v>
      </c>
      <c r="D661" s="22" t="s">
        <v>54</v>
      </c>
      <c r="E661" s="25">
        <v>1</v>
      </c>
      <c r="F661" s="25">
        <v>760.95238095238096</v>
      </c>
    </row>
    <row r="662" spans="1:6">
      <c r="A662" t="str">
        <f>IFERROR(VLOOKUP(B662,[1]銷貨單品號主檔!$A:$D,4,0),"學習周邊")</f>
        <v>生活周邊</v>
      </c>
      <c r="B662" s="22" t="s">
        <v>272</v>
      </c>
      <c r="C662" s="22" t="s">
        <v>331</v>
      </c>
      <c r="D662" s="22" t="s">
        <v>54</v>
      </c>
      <c r="E662" s="25">
        <v>1</v>
      </c>
      <c r="F662" s="25">
        <v>760.95238095238096</v>
      </c>
    </row>
    <row r="663" spans="1:6">
      <c r="A663" t="str">
        <f>IFERROR(VLOOKUP(B663,[1]銷貨單品號主檔!$A:$D,4,0),"學習周邊")</f>
        <v>生活周邊</v>
      </c>
      <c r="B663" s="22" t="s">
        <v>272</v>
      </c>
      <c r="C663" s="22" t="s">
        <v>354</v>
      </c>
      <c r="D663" s="22" t="s">
        <v>54</v>
      </c>
      <c r="E663" s="25">
        <v>1</v>
      </c>
      <c r="F663" s="25">
        <v>760.95238095238096</v>
      </c>
    </row>
    <row r="664" spans="1:6">
      <c r="A664" t="str">
        <f>IFERROR(VLOOKUP(B664,[1]銷貨單品號主檔!$A:$D,4,0),"學習周邊")</f>
        <v>生活周邊</v>
      </c>
      <c r="B664" s="22" t="s">
        <v>272</v>
      </c>
      <c r="C664" s="22" t="s">
        <v>353</v>
      </c>
      <c r="D664" s="22" t="s">
        <v>54</v>
      </c>
      <c r="E664" s="25">
        <v>1</v>
      </c>
      <c r="F664" s="25">
        <v>760.95238095238096</v>
      </c>
    </row>
    <row r="665" spans="1:6">
      <c r="A665" t="str">
        <f>IFERROR(VLOOKUP(B665,[1]銷貨單品號主檔!$A:$D,4,0),"學習周邊")</f>
        <v>Mirafeel</v>
      </c>
      <c r="B665" s="22" t="s">
        <v>336</v>
      </c>
      <c r="C665" s="22" t="s">
        <v>332</v>
      </c>
      <c r="D665" s="22" t="s">
        <v>54</v>
      </c>
      <c r="E665" s="25">
        <v>1</v>
      </c>
      <c r="F665" s="25">
        <v>571.42857142857144</v>
      </c>
    </row>
    <row r="666" spans="1:6">
      <c r="A666" t="str">
        <f>IFERROR(VLOOKUP(B666,[1]銷貨單品號主檔!$A:$D,4,0),"學習周邊")</f>
        <v>Mirafeel</v>
      </c>
      <c r="B666" s="22" t="s">
        <v>273</v>
      </c>
      <c r="C666" s="22" t="s">
        <v>59</v>
      </c>
      <c r="D666" s="22" t="s">
        <v>54</v>
      </c>
      <c r="E666" s="25">
        <v>2</v>
      </c>
      <c r="F666" s="25">
        <v>1142.8571428571429</v>
      </c>
    </row>
    <row r="667" spans="1:6">
      <c r="A667" t="str">
        <f>IFERROR(VLOOKUP(B667,[1]銷貨單品號主檔!$A:$D,4,0),"學習周邊")</f>
        <v>Mirafeel</v>
      </c>
      <c r="B667" s="22" t="s">
        <v>273</v>
      </c>
      <c r="C667" s="22" t="s">
        <v>66</v>
      </c>
      <c r="D667" s="22" t="s">
        <v>54</v>
      </c>
      <c r="E667" s="25">
        <v>2</v>
      </c>
      <c r="F667" s="25">
        <v>1142.8571428571429</v>
      </c>
    </row>
    <row r="668" spans="1:6">
      <c r="A668" t="str">
        <f>IFERROR(VLOOKUP(B668,[1]銷貨單品號主檔!$A:$D,4,0),"學習周邊")</f>
        <v>Mirafeel</v>
      </c>
      <c r="B668" s="22" t="s">
        <v>273</v>
      </c>
      <c r="C668" s="22" t="s">
        <v>90</v>
      </c>
      <c r="D668" s="22" t="s">
        <v>54</v>
      </c>
      <c r="E668" s="25">
        <v>3</v>
      </c>
      <c r="F668" s="25">
        <v>1714.2857142857142</v>
      </c>
    </row>
    <row r="669" spans="1:6">
      <c r="A669" t="str">
        <f>IFERROR(VLOOKUP(B669,[1]銷貨單品號主檔!$A:$D,4,0),"學習周邊")</f>
        <v>Mirafeel</v>
      </c>
      <c r="B669" s="22" t="s">
        <v>273</v>
      </c>
      <c r="C669" s="22" t="s">
        <v>332</v>
      </c>
      <c r="D669" s="22" t="s">
        <v>54</v>
      </c>
      <c r="E669" s="25">
        <v>1</v>
      </c>
      <c r="F669" s="25">
        <v>571.42857142857144</v>
      </c>
    </row>
    <row r="670" spans="1:6">
      <c r="A670" t="str">
        <f>IFERROR(VLOOKUP(B670,[1]銷貨單品號主檔!$A:$D,4,0),"學習周邊")</f>
        <v>Mirafeel</v>
      </c>
      <c r="B670" s="22" t="s">
        <v>187</v>
      </c>
      <c r="C670" s="22" t="s">
        <v>73</v>
      </c>
      <c r="D670" s="22" t="s">
        <v>54</v>
      </c>
      <c r="E670" s="25">
        <v>4</v>
      </c>
      <c r="F670" s="25">
        <v>2285.7142857142858</v>
      </c>
    </row>
    <row r="671" spans="1:6">
      <c r="A671" t="str">
        <f>IFERROR(VLOOKUP(B671,[1]銷貨單品號主檔!$A:$D,4,0),"學習周邊")</f>
        <v>Mirafeel</v>
      </c>
      <c r="B671" s="22" t="s">
        <v>187</v>
      </c>
      <c r="C671" s="22" t="s">
        <v>78</v>
      </c>
      <c r="D671" s="22" t="s">
        <v>174</v>
      </c>
      <c r="E671" s="25">
        <v>2</v>
      </c>
      <c r="F671" s="25">
        <v>1142.8571428571429</v>
      </c>
    </row>
    <row r="672" spans="1:6">
      <c r="A672" t="str">
        <f>IFERROR(VLOOKUP(B672,[1]銷貨單品號主檔!$A:$D,4,0),"學習周邊")</f>
        <v>Mirafeel</v>
      </c>
      <c r="B672" s="22" t="s">
        <v>187</v>
      </c>
      <c r="C672" s="22" t="s">
        <v>349</v>
      </c>
      <c r="D672" s="22" t="s">
        <v>54</v>
      </c>
      <c r="E672" s="25">
        <v>3</v>
      </c>
      <c r="F672" s="25">
        <v>1714.2857142857142</v>
      </c>
    </row>
    <row r="673" spans="1:6">
      <c r="A673" t="str">
        <f>IFERROR(VLOOKUP(B673,[1]銷貨單品號主檔!$A:$D,4,0),"學習周邊")</f>
        <v>Mirafeel</v>
      </c>
      <c r="B673" s="22" t="s">
        <v>274</v>
      </c>
      <c r="C673" s="22" t="s">
        <v>83</v>
      </c>
      <c r="D673" s="22" t="s">
        <v>54</v>
      </c>
      <c r="E673" s="25">
        <v>1</v>
      </c>
      <c r="F673" s="25">
        <v>571.42857142857144</v>
      </c>
    </row>
    <row r="674" spans="1:6">
      <c r="A674" t="str">
        <f>IFERROR(VLOOKUP(B674,[1]銷貨單品號主檔!$A:$D,4,0),"學習周邊")</f>
        <v>Mirafeel</v>
      </c>
      <c r="B674" s="22" t="s">
        <v>337</v>
      </c>
      <c r="C674" s="22" t="s">
        <v>331</v>
      </c>
      <c r="D674" s="22" t="s">
        <v>54</v>
      </c>
      <c r="E674" s="25">
        <v>2</v>
      </c>
      <c r="F674" s="25">
        <v>666.66666666666663</v>
      </c>
    </row>
    <row r="675" spans="1:6">
      <c r="A675" t="str">
        <f>IFERROR(VLOOKUP(B675,[1]銷貨單品號主檔!$A:$D,4,0),"學習周邊")</f>
        <v>Mirafeel</v>
      </c>
      <c r="B675" s="22" t="s">
        <v>275</v>
      </c>
      <c r="C675" s="22" t="s">
        <v>60</v>
      </c>
      <c r="D675" s="22" t="s">
        <v>54</v>
      </c>
      <c r="E675" s="25">
        <v>4</v>
      </c>
      <c r="F675" s="25">
        <v>1333.3333333333333</v>
      </c>
    </row>
    <row r="676" spans="1:6">
      <c r="A676" t="str">
        <f>IFERROR(VLOOKUP(B676,[1]銷貨單品號主檔!$A:$D,4,0),"學習周邊")</f>
        <v>Mirafeel</v>
      </c>
      <c r="B676" s="22" t="s">
        <v>275</v>
      </c>
      <c r="C676" s="22" t="s">
        <v>59</v>
      </c>
      <c r="D676" s="22" t="s">
        <v>54</v>
      </c>
      <c r="E676" s="25">
        <v>1</v>
      </c>
      <c r="F676" s="25">
        <v>333.33333333333331</v>
      </c>
    </row>
    <row r="677" spans="1:6">
      <c r="A677" t="str">
        <f>IFERROR(VLOOKUP(B677,[1]銷貨單品號主檔!$A:$D,4,0),"學習周邊")</f>
        <v>Mirafeel</v>
      </c>
      <c r="B677" s="22" t="s">
        <v>275</v>
      </c>
      <c r="C677" s="22" t="s">
        <v>83</v>
      </c>
      <c r="D677" s="22" t="s">
        <v>54</v>
      </c>
      <c r="E677" s="25">
        <v>2</v>
      </c>
      <c r="F677" s="25">
        <v>666.66666666666663</v>
      </c>
    </row>
    <row r="678" spans="1:6">
      <c r="A678" t="str">
        <f>IFERROR(VLOOKUP(B678,[1]銷貨單品號主檔!$A:$D,4,0),"學習周邊")</f>
        <v>Mirafeel</v>
      </c>
      <c r="B678" s="22" t="s">
        <v>275</v>
      </c>
      <c r="C678" s="22" t="s">
        <v>331</v>
      </c>
      <c r="D678" s="22" t="s">
        <v>54</v>
      </c>
      <c r="E678" s="25">
        <v>6</v>
      </c>
      <c r="F678" s="25">
        <v>2000</v>
      </c>
    </row>
    <row r="679" spans="1:6">
      <c r="A679" t="str">
        <f>IFERROR(VLOOKUP(B679,[1]銷貨單品號主檔!$A:$D,4,0),"學習周邊")</f>
        <v>Mirafeel</v>
      </c>
      <c r="B679" s="22" t="s">
        <v>338</v>
      </c>
      <c r="C679" s="22" t="s">
        <v>330</v>
      </c>
      <c r="D679" s="22" t="s">
        <v>54</v>
      </c>
      <c r="E679" s="25">
        <v>6</v>
      </c>
      <c r="F679" s="25">
        <v>171.42857142857142</v>
      </c>
    </row>
    <row r="680" spans="1:6">
      <c r="A680" t="str">
        <f>IFERROR(VLOOKUP(B680,[1]銷貨單品號主檔!$A:$D,4,0),"學習周邊")</f>
        <v>Mirafeel</v>
      </c>
      <c r="B680" s="22" t="s">
        <v>276</v>
      </c>
      <c r="C680" s="22" t="s">
        <v>73</v>
      </c>
      <c r="D680" s="22" t="s">
        <v>54</v>
      </c>
      <c r="E680" s="25">
        <v>1</v>
      </c>
      <c r="F680" s="25">
        <v>28.571428571428569</v>
      </c>
    </row>
    <row r="681" spans="1:6">
      <c r="A681" t="str">
        <f>IFERROR(VLOOKUP(B681,[1]銷貨單品號主檔!$A:$D,4,0),"學習周邊")</f>
        <v>Mirafeel</v>
      </c>
      <c r="B681" s="22" t="s">
        <v>276</v>
      </c>
      <c r="C681" s="22" t="s">
        <v>332</v>
      </c>
      <c r="D681" s="22" t="s">
        <v>54</v>
      </c>
      <c r="E681" s="25">
        <v>1</v>
      </c>
      <c r="F681" s="25">
        <v>28.571428571428569</v>
      </c>
    </row>
    <row r="682" spans="1:6">
      <c r="A682" t="str">
        <f>IFERROR(VLOOKUP(B682,[1]銷貨單品號主檔!$A:$D,4,0),"學習周邊")</f>
        <v>Mirafeel</v>
      </c>
      <c r="B682" s="22" t="s">
        <v>276</v>
      </c>
      <c r="C682" s="22" t="s">
        <v>330</v>
      </c>
      <c r="D682" s="22" t="s">
        <v>54</v>
      </c>
      <c r="E682" s="25">
        <v>1</v>
      </c>
      <c r="F682" s="25">
        <v>28.571428571428569</v>
      </c>
    </row>
    <row r="683" spans="1:6">
      <c r="A683" t="str">
        <f>IFERROR(VLOOKUP(B683,[1]銷貨單品號主檔!$A:$D,4,0),"學習周邊")</f>
        <v>Mirafeel</v>
      </c>
      <c r="B683" s="22" t="s">
        <v>277</v>
      </c>
      <c r="C683" s="22" t="s">
        <v>73</v>
      </c>
      <c r="D683" s="22" t="s">
        <v>54</v>
      </c>
      <c r="E683" s="25">
        <v>1</v>
      </c>
      <c r="F683" s="25">
        <v>28.571428571428569</v>
      </c>
    </row>
    <row r="684" spans="1:6">
      <c r="A684" t="str">
        <f>IFERROR(VLOOKUP(B684,[1]銷貨單品號主檔!$A:$D,4,0),"學習周邊")</f>
        <v>Mirafeel</v>
      </c>
      <c r="B684" s="22" t="s">
        <v>277</v>
      </c>
      <c r="C684" s="22" t="s">
        <v>108</v>
      </c>
      <c r="D684" s="22" t="s">
        <v>54</v>
      </c>
      <c r="E684" s="25">
        <v>1</v>
      </c>
      <c r="F684" s="25">
        <v>28.571428571428569</v>
      </c>
    </row>
    <row r="685" spans="1:6">
      <c r="A685" t="str">
        <f>IFERROR(VLOOKUP(B685,[1]銷貨單品號主檔!$A:$D,4,0),"學習周邊")</f>
        <v>Mirafeel</v>
      </c>
      <c r="B685" s="22" t="s">
        <v>277</v>
      </c>
      <c r="C685" s="22" t="s">
        <v>328</v>
      </c>
      <c r="D685" s="22" t="s">
        <v>54</v>
      </c>
      <c r="E685" s="25">
        <v>1</v>
      </c>
      <c r="F685" s="25">
        <v>28.571428571428569</v>
      </c>
    </row>
    <row r="686" spans="1:6">
      <c r="A686" t="str">
        <f>IFERROR(VLOOKUP(B686,[1]銷貨單品號主檔!$A:$D,4,0),"學習周邊")</f>
        <v>Mirafeel</v>
      </c>
      <c r="B686" s="22" t="s">
        <v>277</v>
      </c>
      <c r="C686" s="22" t="s">
        <v>332</v>
      </c>
      <c r="D686" s="22" t="s">
        <v>54</v>
      </c>
      <c r="E686" s="25">
        <v>1</v>
      </c>
      <c r="F686" s="25">
        <v>28.571428571428569</v>
      </c>
    </row>
    <row r="687" spans="1:6">
      <c r="A687" t="str">
        <f>IFERROR(VLOOKUP(B687,[1]銷貨單品號主檔!$A:$D,4,0),"學習周邊")</f>
        <v>Mirafeel</v>
      </c>
      <c r="B687" s="22" t="s">
        <v>278</v>
      </c>
      <c r="C687" s="22" t="s">
        <v>67</v>
      </c>
      <c r="D687" s="22" t="s">
        <v>54</v>
      </c>
      <c r="E687" s="25">
        <v>5</v>
      </c>
      <c r="F687" s="25">
        <v>142.85714285714286</v>
      </c>
    </row>
    <row r="688" spans="1:6">
      <c r="A688" t="str">
        <f>IFERROR(VLOOKUP(B688,[1]銷貨單品號主檔!$A:$D,4,0),"學習周邊")</f>
        <v>Mirafeel</v>
      </c>
      <c r="B688" s="22" t="s">
        <v>278</v>
      </c>
      <c r="C688" s="22" t="s">
        <v>85</v>
      </c>
      <c r="D688" s="22" t="s">
        <v>54</v>
      </c>
      <c r="E688" s="25">
        <v>2</v>
      </c>
      <c r="F688" s="25">
        <v>57.142857142857139</v>
      </c>
    </row>
    <row r="689" spans="1:6">
      <c r="A689" t="str">
        <f>IFERROR(VLOOKUP(B689,[1]銷貨單品號主檔!$A:$D,4,0),"學習周邊")</f>
        <v>Mirafeel</v>
      </c>
      <c r="B689" s="22" t="s">
        <v>278</v>
      </c>
      <c r="C689" s="22" t="s">
        <v>108</v>
      </c>
      <c r="D689" s="22" t="s">
        <v>54</v>
      </c>
      <c r="E689" s="25">
        <v>4</v>
      </c>
      <c r="F689" s="25">
        <v>114.28571428571428</v>
      </c>
    </row>
    <row r="690" spans="1:6">
      <c r="A690" t="str">
        <f>IFERROR(VLOOKUP(B690,[1]銷貨單品號主檔!$A:$D,4,0),"學習周邊")</f>
        <v>Mirafeel</v>
      </c>
      <c r="B690" s="22" t="s">
        <v>278</v>
      </c>
      <c r="C690" s="22" t="s">
        <v>328</v>
      </c>
      <c r="D690" s="22" t="s">
        <v>54</v>
      </c>
      <c r="E690" s="25">
        <v>1</v>
      </c>
      <c r="F690" s="25">
        <v>28.571428571428569</v>
      </c>
    </row>
    <row r="691" spans="1:6">
      <c r="A691" t="str">
        <f>IFERROR(VLOOKUP(B691,[1]銷貨單品號主檔!$A:$D,4,0),"學習周邊")</f>
        <v>Mirafeel</v>
      </c>
      <c r="B691" s="22" t="s">
        <v>278</v>
      </c>
      <c r="C691" s="22" t="s">
        <v>349</v>
      </c>
      <c r="D691" s="22" t="s">
        <v>54</v>
      </c>
      <c r="E691" s="25">
        <v>1</v>
      </c>
      <c r="F691" s="25">
        <v>28.571428571428569</v>
      </c>
    </row>
    <row r="692" spans="1:6">
      <c r="A692" t="str">
        <f>IFERROR(VLOOKUP(B692,[1]銷貨單品號主檔!$A:$D,4,0),"學習周邊")</f>
        <v>Mirafeel</v>
      </c>
      <c r="B692" s="22" t="s">
        <v>279</v>
      </c>
      <c r="C692" s="22" t="s">
        <v>67</v>
      </c>
      <c r="D692" s="22" t="s">
        <v>54</v>
      </c>
      <c r="E692" s="25">
        <v>2</v>
      </c>
      <c r="F692" s="25">
        <v>57.142857142857139</v>
      </c>
    </row>
    <row r="693" spans="1:6">
      <c r="A693" t="str">
        <f>IFERROR(VLOOKUP(B693,[1]銷貨單品號主檔!$A:$D,4,0),"學習周邊")</f>
        <v>Mirafeel</v>
      </c>
      <c r="B693" s="22" t="s">
        <v>188</v>
      </c>
      <c r="C693" s="22" t="s">
        <v>67</v>
      </c>
      <c r="D693" s="22" t="s">
        <v>54</v>
      </c>
      <c r="E693" s="25">
        <v>1</v>
      </c>
      <c r="F693" s="25">
        <v>2000</v>
      </c>
    </row>
    <row r="694" spans="1:6">
      <c r="A694" t="str">
        <f>IFERROR(VLOOKUP(B694,[1]銷貨單品號主檔!$A:$D,4,0),"學習周邊")</f>
        <v>Mirafeel</v>
      </c>
      <c r="B694" s="22" t="s">
        <v>188</v>
      </c>
      <c r="C694" s="22" t="s">
        <v>73</v>
      </c>
      <c r="D694" s="22" t="s">
        <v>54</v>
      </c>
      <c r="E694" s="25">
        <v>2</v>
      </c>
      <c r="F694" s="25">
        <v>4000</v>
      </c>
    </row>
    <row r="695" spans="1:6">
      <c r="A695" t="str">
        <f>IFERROR(VLOOKUP(B695,[1]銷貨單品號主檔!$A:$D,4,0),"學習周邊")</f>
        <v>Mirafeel</v>
      </c>
      <c r="B695" s="22" t="s">
        <v>188</v>
      </c>
      <c r="C695" s="22" t="s">
        <v>59</v>
      </c>
      <c r="D695" s="22" t="s">
        <v>54</v>
      </c>
      <c r="E695" s="25">
        <v>1</v>
      </c>
      <c r="F695" s="25">
        <v>2000</v>
      </c>
    </row>
    <row r="696" spans="1:6">
      <c r="A696" t="str">
        <f>IFERROR(VLOOKUP(B696,[1]銷貨單品號主檔!$A:$D,4,0),"學習周邊")</f>
        <v>Mirafeel</v>
      </c>
      <c r="B696" s="22" t="s">
        <v>188</v>
      </c>
      <c r="C696" s="22" t="s">
        <v>107</v>
      </c>
      <c r="D696" s="22" t="s">
        <v>54</v>
      </c>
      <c r="E696" s="25">
        <v>3</v>
      </c>
      <c r="F696" s="25">
        <v>6000</v>
      </c>
    </row>
    <row r="697" spans="1:6">
      <c r="A697" t="str">
        <f>IFERROR(VLOOKUP(B697,[1]銷貨單品號主檔!$A:$D,4,0),"學習周邊")</f>
        <v>Mirafeel</v>
      </c>
      <c r="B697" s="22" t="s">
        <v>188</v>
      </c>
      <c r="C697" s="22" t="s">
        <v>81</v>
      </c>
      <c r="D697" s="22" t="s">
        <v>54</v>
      </c>
      <c r="E697" s="25">
        <v>1</v>
      </c>
      <c r="F697" s="25">
        <v>2000</v>
      </c>
    </row>
    <row r="698" spans="1:6">
      <c r="A698" t="str">
        <f>IFERROR(VLOOKUP(B698,[1]銷貨單品號主檔!$A:$D,4,0),"學習周邊")</f>
        <v>Mirafeel</v>
      </c>
      <c r="B698" s="22" t="s">
        <v>188</v>
      </c>
      <c r="C698" s="22" t="s">
        <v>83</v>
      </c>
      <c r="D698" s="22" t="s">
        <v>174</v>
      </c>
      <c r="E698" s="25">
        <v>2</v>
      </c>
      <c r="F698" s="25">
        <v>4000</v>
      </c>
    </row>
    <row r="699" spans="1:6">
      <c r="A699" t="str">
        <f>IFERROR(VLOOKUP(B699,[1]銷貨單品號主檔!$A:$D,4,0),"學習周邊")</f>
        <v>Mirafeel</v>
      </c>
      <c r="B699" s="22" t="s">
        <v>188</v>
      </c>
      <c r="C699" s="22" t="s">
        <v>332</v>
      </c>
      <c r="D699" s="22" t="s">
        <v>54</v>
      </c>
      <c r="E699" s="25">
        <v>1</v>
      </c>
      <c r="F699" s="25">
        <v>2000</v>
      </c>
    </row>
    <row r="700" spans="1:6">
      <c r="A700" t="str">
        <f>IFERROR(VLOOKUP(B700,[1]銷貨單品號主檔!$A:$D,4,0),"學習周邊")</f>
        <v>Mirafeel</v>
      </c>
      <c r="B700" s="22" t="s">
        <v>189</v>
      </c>
      <c r="C700" s="22" t="s">
        <v>56</v>
      </c>
      <c r="D700" s="22" t="s">
        <v>54</v>
      </c>
      <c r="E700" s="25">
        <v>2</v>
      </c>
      <c r="F700" s="25">
        <v>4000</v>
      </c>
    </row>
    <row r="701" spans="1:6">
      <c r="A701" t="str">
        <f>IFERROR(VLOOKUP(B701,[1]銷貨單品號主檔!$A:$D,4,0),"學習周邊")</f>
        <v>Mirafeel</v>
      </c>
      <c r="B701" s="22" t="s">
        <v>189</v>
      </c>
      <c r="C701" s="22" t="s">
        <v>59</v>
      </c>
      <c r="D701" s="22" t="s">
        <v>54</v>
      </c>
      <c r="E701" s="25">
        <v>2</v>
      </c>
      <c r="F701" s="25">
        <v>4000</v>
      </c>
    </row>
    <row r="702" spans="1:6">
      <c r="A702" t="str">
        <f>IFERROR(VLOOKUP(B702,[1]銷貨單品號主檔!$A:$D,4,0),"學習周邊")</f>
        <v>Mirafeel</v>
      </c>
      <c r="B702" s="22" t="s">
        <v>189</v>
      </c>
      <c r="C702" s="22" t="s">
        <v>66</v>
      </c>
      <c r="D702" s="22" t="s">
        <v>54</v>
      </c>
      <c r="E702" s="25">
        <v>1</v>
      </c>
      <c r="F702" s="25">
        <v>2000</v>
      </c>
    </row>
    <row r="703" spans="1:6">
      <c r="A703" t="str">
        <f>IFERROR(VLOOKUP(B703,[1]銷貨單品號主檔!$A:$D,4,0),"學習周邊")</f>
        <v>Mirafeel</v>
      </c>
      <c r="B703" s="22" t="s">
        <v>189</v>
      </c>
      <c r="C703" s="22" t="s">
        <v>66</v>
      </c>
      <c r="D703" s="22" t="s">
        <v>174</v>
      </c>
      <c r="E703" s="25">
        <v>1</v>
      </c>
      <c r="F703" s="25">
        <v>2000</v>
      </c>
    </row>
    <row r="704" spans="1:6">
      <c r="A704" t="str">
        <f>IFERROR(VLOOKUP(B704,[1]銷貨單品號主檔!$A:$D,4,0),"學習周邊")</f>
        <v>Mirafeel</v>
      </c>
      <c r="B704" s="22" t="s">
        <v>189</v>
      </c>
      <c r="C704" s="22" t="s">
        <v>76</v>
      </c>
      <c r="D704" s="22" t="s">
        <v>174</v>
      </c>
      <c r="E704" s="25">
        <v>1</v>
      </c>
      <c r="F704" s="25">
        <v>2000</v>
      </c>
    </row>
    <row r="705" spans="1:6">
      <c r="A705" t="str">
        <f>IFERROR(VLOOKUP(B705,[1]銷貨單品號主檔!$A:$D,4,0),"學習周邊")</f>
        <v>Mirafeel</v>
      </c>
      <c r="B705" s="22" t="s">
        <v>189</v>
      </c>
      <c r="C705" s="22" t="s">
        <v>83</v>
      </c>
      <c r="D705" s="22" t="s">
        <v>174</v>
      </c>
      <c r="E705" s="25">
        <v>5</v>
      </c>
      <c r="F705" s="25">
        <v>10000</v>
      </c>
    </row>
    <row r="706" spans="1:6">
      <c r="A706" t="str">
        <f>IFERROR(VLOOKUP(B706,[1]銷貨單品號主檔!$A:$D,4,0),"學習周邊")</f>
        <v>Mirafeel</v>
      </c>
      <c r="B706" s="22" t="s">
        <v>189</v>
      </c>
      <c r="C706" s="22" t="s">
        <v>85</v>
      </c>
      <c r="D706" s="22" t="s">
        <v>54</v>
      </c>
      <c r="E706" s="25">
        <v>3</v>
      </c>
      <c r="F706" s="25">
        <v>6000</v>
      </c>
    </row>
    <row r="707" spans="1:6">
      <c r="A707" t="str">
        <f>IFERROR(VLOOKUP(B707,[1]銷貨單品號主檔!$A:$D,4,0),"學習周邊")</f>
        <v>Mirafeel</v>
      </c>
      <c r="B707" s="22" t="s">
        <v>189</v>
      </c>
      <c r="C707" s="22" t="s">
        <v>87</v>
      </c>
      <c r="D707" s="22" t="s">
        <v>54</v>
      </c>
      <c r="E707" s="25">
        <v>1</v>
      </c>
      <c r="F707" s="25">
        <v>2000</v>
      </c>
    </row>
    <row r="708" spans="1:6">
      <c r="A708" t="str">
        <f>IFERROR(VLOOKUP(B708,[1]銷貨單品號主檔!$A:$D,4,0),"學習周邊")</f>
        <v>Mirafeel</v>
      </c>
      <c r="B708" s="22" t="s">
        <v>189</v>
      </c>
      <c r="C708" s="22" t="s">
        <v>326</v>
      </c>
      <c r="D708" s="22" t="s">
        <v>54</v>
      </c>
      <c r="E708" s="25">
        <v>3</v>
      </c>
      <c r="F708" s="25">
        <v>6000</v>
      </c>
    </row>
    <row r="709" spans="1:6">
      <c r="A709" t="str">
        <f>IFERROR(VLOOKUP(B709,[1]銷貨單品號主檔!$A:$D,4,0),"學習周邊")</f>
        <v>Mirafeel</v>
      </c>
      <c r="B709" s="22" t="s">
        <v>189</v>
      </c>
      <c r="C709" s="22" t="s">
        <v>328</v>
      </c>
      <c r="D709" s="22" t="s">
        <v>54</v>
      </c>
      <c r="E709" s="25">
        <v>4</v>
      </c>
      <c r="F709" s="25">
        <v>8000</v>
      </c>
    </row>
    <row r="710" spans="1:6">
      <c r="A710" t="str">
        <f>IFERROR(VLOOKUP(B710,[1]銷貨單品號主檔!$A:$D,4,0),"學習周邊")</f>
        <v>Mirafeel</v>
      </c>
      <c r="B710" s="22" t="s">
        <v>189</v>
      </c>
      <c r="C710" s="22" t="s">
        <v>332</v>
      </c>
      <c r="D710" s="22" t="s">
        <v>54</v>
      </c>
      <c r="E710" s="25">
        <v>1</v>
      </c>
      <c r="F710" s="25">
        <v>2000</v>
      </c>
    </row>
    <row r="711" spans="1:6">
      <c r="A711" t="str">
        <f>IFERROR(VLOOKUP(B711,[1]銷貨單品號主檔!$A:$D,4,0),"學習周邊")</f>
        <v>Mirafeel</v>
      </c>
      <c r="B711" s="22" t="s">
        <v>191</v>
      </c>
      <c r="C711" s="22" t="s">
        <v>66</v>
      </c>
      <c r="D711" s="22" t="s">
        <v>54</v>
      </c>
      <c r="E711" s="25">
        <v>2</v>
      </c>
      <c r="F711" s="25">
        <v>5333.333333333333</v>
      </c>
    </row>
    <row r="712" spans="1:6">
      <c r="A712" t="str">
        <f>IFERROR(VLOOKUP(B712,[1]銷貨單品號主檔!$A:$D,4,0),"學習周邊")</f>
        <v>Mirafeel</v>
      </c>
      <c r="B712" s="22" t="s">
        <v>191</v>
      </c>
      <c r="C712" s="22" t="s">
        <v>107</v>
      </c>
      <c r="D712" s="22" t="s">
        <v>174</v>
      </c>
      <c r="E712" s="25">
        <v>3</v>
      </c>
      <c r="F712" s="25">
        <v>8000</v>
      </c>
    </row>
    <row r="713" spans="1:6">
      <c r="A713" t="str">
        <f>IFERROR(VLOOKUP(B713,[1]銷貨單品號主檔!$A:$D,4,0),"學習周邊")</f>
        <v>Mirafeel</v>
      </c>
      <c r="B713" s="22" t="s">
        <v>191</v>
      </c>
      <c r="C713" s="22" t="s">
        <v>72</v>
      </c>
      <c r="D713" s="22" t="s">
        <v>54</v>
      </c>
      <c r="E713" s="25">
        <v>2</v>
      </c>
      <c r="F713" s="25">
        <v>5333.333333333333</v>
      </c>
    </row>
    <row r="714" spans="1:6">
      <c r="A714" t="str">
        <f>IFERROR(VLOOKUP(B714,[1]銷貨單品號主檔!$A:$D,4,0),"學習周邊")</f>
        <v>Mirafeel</v>
      </c>
      <c r="B714" s="22" t="s">
        <v>191</v>
      </c>
      <c r="C714" s="22" t="s">
        <v>76</v>
      </c>
      <c r="D714" s="22" t="s">
        <v>54</v>
      </c>
      <c r="E714" s="25">
        <v>1</v>
      </c>
      <c r="F714" s="25">
        <v>2666.6666666666665</v>
      </c>
    </row>
    <row r="715" spans="1:6">
      <c r="A715" t="str">
        <f>IFERROR(VLOOKUP(B715,[1]銷貨單品號主檔!$A:$D,4,0),"學習周邊")</f>
        <v>Mirafeel</v>
      </c>
      <c r="B715" s="22" t="s">
        <v>191</v>
      </c>
      <c r="C715" s="22" t="s">
        <v>81</v>
      </c>
      <c r="D715" s="22" t="s">
        <v>174</v>
      </c>
      <c r="E715" s="25">
        <v>3</v>
      </c>
      <c r="F715" s="25">
        <v>8000</v>
      </c>
    </row>
    <row r="716" spans="1:6">
      <c r="A716" t="str">
        <f>IFERROR(VLOOKUP(B716,[1]銷貨單品號主檔!$A:$D,4,0),"學習周邊")</f>
        <v>Mirafeel</v>
      </c>
      <c r="B716" s="22" t="s">
        <v>191</v>
      </c>
      <c r="C716" s="22" t="s">
        <v>85</v>
      </c>
      <c r="D716" s="22" t="s">
        <v>174</v>
      </c>
      <c r="E716" s="25">
        <v>3</v>
      </c>
      <c r="F716" s="25">
        <v>8000</v>
      </c>
    </row>
    <row r="717" spans="1:6">
      <c r="A717" t="str">
        <f>IFERROR(VLOOKUP(B717,[1]銷貨單品號主檔!$A:$D,4,0),"學習周邊")</f>
        <v>Mirafeel</v>
      </c>
      <c r="B717" s="22" t="s">
        <v>191</v>
      </c>
      <c r="C717" s="22" t="s">
        <v>332</v>
      </c>
      <c r="D717" s="22" t="s">
        <v>54</v>
      </c>
      <c r="E717" s="25">
        <v>3</v>
      </c>
      <c r="F717" s="25">
        <v>8000</v>
      </c>
    </row>
    <row r="718" spans="1:6">
      <c r="A718" t="str">
        <f>IFERROR(VLOOKUP(B718,[1]銷貨單品號主檔!$A:$D,4,0),"學習周邊")</f>
        <v>Mirafeel</v>
      </c>
      <c r="B718" s="22" t="s">
        <v>191</v>
      </c>
      <c r="C718" s="22" t="s">
        <v>330</v>
      </c>
      <c r="D718" s="22" t="s">
        <v>54</v>
      </c>
      <c r="E718" s="25">
        <v>2</v>
      </c>
      <c r="F718" s="25">
        <v>5333.333333333333</v>
      </c>
    </row>
    <row r="719" spans="1:6">
      <c r="A719" t="str">
        <f>IFERROR(VLOOKUP(B719,[1]銷貨單品號主檔!$A:$D,4,0),"學習周邊")</f>
        <v>Mirafeel</v>
      </c>
      <c r="B719" s="22" t="s">
        <v>280</v>
      </c>
      <c r="C719" s="22" t="s">
        <v>56</v>
      </c>
      <c r="D719" s="22" t="s">
        <v>54</v>
      </c>
      <c r="E719" s="25">
        <v>1</v>
      </c>
      <c r="F719" s="25">
        <v>2666.6666666666665</v>
      </c>
    </row>
    <row r="720" spans="1:6">
      <c r="A720" t="str">
        <f>IFERROR(VLOOKUP(B720,[1]銷貨單品號主檔!$A:$D,4,0),"學習周邊")</f>
        <v>Mirafeel</v>
      </c>
      <c r="B720" s="22" t="s">
        <v>280</v>
      </c>
      <c r="C720" s="22" t="s">
        <v>60</v>
      </c>
      <c r="D720" s="22" t="s">
        <v>54</v>
      </c>
      <c r="E720" s="25">
        <v>1</v>
      </c>
      <c r="F720" s="25">
        <v>2666.6666666666665</v>
      </c>
    </row>
    <row r="721" spans="1:6">
      <c r="A721" t="str">
        <f>IFERROR(VLOOKUP(B721,[1]銷貨單品號主檔!$A:$D,4,0),"學習周邊")</f>
        <v>Mirafeel</v>
      </c>
      <c r="B721" s="22" t="s">
        <v>280</v>
      </c>
      <c r="C721" s="22" t="s">
        <v>76</v>
      </c>
      <c r="D721" s="22" t="s">
        <v>54</v>
      </c>
      <c r="E721" s="25">
        <v>1</v>
      </c>
      <c r="F721" s="25">
        <v>2666.6666666666665</v>
      </c>
    </row>
    <row r="722" spans="1:6">
      <c r="A722" t="str">
        <f>IFERROR(VLOOKUP(B722,[1]銷貨單品號主檔!$A:$D,4,0),"學習周邊")</f>
        <v>Mirafeel</v>
      </c>
      <c r="B722" s="22" t="s">
        <v>280</v>
      </c>
      <c r="C722" s="22" t="s">
        <v>330</v>
      </c>
      <c r="D722" s="22" t="s">
        <v>54</v>
      </c>
      <c r="E722" s="25">
        <v>2</v>
      </c>
      <c r="F722" s="25">
        <v>5333.333333333333</v>
      </c>
    </row>
    <row r="723" spans="1:6">
      <c r="A723" t="str">
        <f>IFERROR(VLOOKUP(B723,[1]銷貨單品號主檔!$A:$D,4,0),"學習周邊")</f>
        <v>Mirafeel</v>
      </c>
      <c r="B723" s="22" t="s">
        <v>280</v>
      </c>
      <c r="C723" s="22" t="s">
        <v>331</v>
      </c>
      <c r="D723" s="22" t="s">
        <v>54</v>
      </c>
      <c r="E723" s="25">
        <v>1</v>
      </c>
      <c r="F723" s="25">
        <v>2666.6666666666665</v>
      </c>
    </row>
    <row r="724" spans="1:6">
      <c r="A724" t="str">
        <f>IFERROR(VLOOKUP(B724,[1]銷貨單品號主檔!$A:$D,4,0),"學習周邊")</f>
        <v>學習周邊</v>
      </c>
      <c r="B724" s="22" t="s">
        <v>281</v>
      </c>
      <c r="C724" s="22" t="s">
        <v>92</v>
      </c>
      <c r="D724" s="22" t="s">
        <v>54</v>
      </c>
      <c r="E724" s="25">
        <v>0</v>
      </c>
      <c r="F724" s="25">
        <v>0</v>
      </c>
    </row>
    <row r="725" spans="1:6">
      <c r="A725" t="str">
        <f>IFERROR(VLOOKUP(B725,[1]銷貨單品號主檔!$A:$D,4,0),"學習周邊")</f>
        <v>學習周邊</v>
      </c>
      <c r="B725" s="22" t="s">
        <v>281</v>
      </c>
      <c r="C725" s="22" t="s">
        <v>331</v>
      </c>
      <c r="D725" s="22" t="s">
        <v>54</v>
      </c>
      <c r="E725" s="25">
        <v>0</v>
      </c>
      <c r="F725" s="25">
        <v>0</v>
      </c>
    </row>
    <row r="726" spans="1:6">
      <c r="A726" t="str">
        <f>IFERROR(VLOOKUP(B726,[1]銷貨單品號主檔!$A:$D,4,0),"學習周邊")</f>
        <v>學習周邊</v>
      </c>
      <c r="B726" s="22" t="s">
        <v>281</v>
      </c>
      <c r="C726" s="22" t="s">
        <v>349</v>
      </c>
      <c r="D726" s="22" t="s">
        <v>54</v>
      </c>
      <c r="E726" s="25">
        <v>0</v>
      </c>
      <c r="F726" s="25">
        <v>0</v>
      </c>
    </row>
    <row r="727" spans="1:6">
      <c r="A727" t="str">
        <f>IFERROR(VLOOKUP(B727,[1]銷貨單品號主檔!$A:$D,4,0),"學習周邊")</f>
        <v>學習周邊</v>
      </c>
      <c r="B727" s="22" t="s">
        <v>281</v>
      </c>
      <c r="C727" s="22" t="s">
        <v>354</v>
      </c>
      <c r="D727" s="22" t="s">
        <v>54</v>
      </c>
      <c r="E727" s="25">
        <v>0</v>
      </c>
      <c r="F727" s="25">
        <v>0</v>
      </c>
    </row>
    <row r="728" spans="1:6">
      <c r="A728" t="str">
        <f>IFERROR(VLOOKUP(B728,[1]銷貨單品號主檔!$A:$D,4,0),"學習周邊")</f>
        <v>學習周邊</v>
      </c>
      <c r="B728" s="22" t="s">
        <v>282</v>
      </c>
      <c r="C728" s="22" t="s">
        <v>90</v>
      </c>
      <c r="D728" s="22" t="s">
        <v>54</v>
      </c>
      <c r="E728" s="25">
        <v>0</v>
      </c>
      <c r="F728" s="25">
        <v>0</v>
      </c>
    </row>
    <row r="729" spans="1:6">
      <c r="A729" t="str">
        <f>IFERROR(VLOOKUP(B729,[1]銷貨單品號主檔!$A:$D,4,0),"學習周邊")</f>
        <v>學習周邊</v>
      </c>
      <c r="B729" s="22" t="s">
        <v>283</v>
      </c>
      <c r="C729" s="22" t="s">
        <v>59</v>
      </c>
      <c r="D729" s="22" t="s">
        <v>54</v>
      </c>
      <c r="E729" s="25">
        <v>0</v>
      </c>
      <c r="F729" s="25">
        <v>0</v>
      </c>
    </row>
    <row r="730" spans="1:6">
      <c r="A730" t="str">
        <f>IFERROR(VLOOKUP(B730,[1]銷貨單品號主檔!$A:$D,4,0),"學習周邊")</f>
        <v>學習周邊</v>
      </c>
      <c r="B730" s="22" t="s">
        <v>284</v>
      </c>
      <c r="C730" s="22" t="s">
        <v>56</v>
      </c>
      <c r="D730" s="22" t="s">
        <v>54</v>
      </c>
      <c r="E730" s="25">
        <v>0</v>
      </c>
      <c r="F730" s="25">
        <v>0</v>
      </c>
    </row>
    <row r="731" spans="1:6">
      <c r="A731" t="str">
        <f>IFERROR(VLOOKUP(B731,[1]銷貨單品號主檔!$A:$D,4,0),"學習周邊")</f>
        <v>學習周邊</v>
      </c>
      <c r="B731" s="22" t="s">
        <v>284</v>
      </c>
      <c r="C731" s="22" t="s">
        <v>62</v>
      </c>
      <c r="D731" s="22" t="s">
        <v>54</v>
      </c>
      <c r="E731" s="25">
        <v>0</v>
      </c>
      <c r="F731" s="25">
        <v>0</v>
      </c>
    </row>
    <row r="732" spans="1:6">
      <c r="A732" t="str">
        <f>IFERROR(VLOOKUP(B732,[1]銷貨單品號主檔!$A:$D,4,0),"學習周邊")</f>
        <v>學習周邊</v>
      </c>
      <c r="B732" s="22" t="s">
        <v>284</v>
      </c>
      <c r="C732" s="22" t="s">
        <v>65</v>
      </c>
      <c r="D732" s="22" t="s">
        <v>54</v>
      </c>
      <c r="E732" s="25">
        <v>0</v>
      </c>
      <c r="F732" s="25">
        <v>0</v>
      </c>
    </row>
    <row r="733" spans="1:6">
      <c r="A733" t="str">
        <f>IFERROR(VLOOKUP(B733,[1]銷貨單品號主檔!$A:$D,4,0),"學習周邊")</f>
        <v>學習周邊</v>
      </c>
      <c r="B733" s="22" t="s">
        <v>284</v>
      </c>
      <c r="C733" s="22" t="s">
        <v>73</v>
      </c>
      <c r="D733" s="22" t="s">
        <v>54</v>
      </c>
      <c r="E733" s="25">
        <v>0</v>
      </c>
      <c r="F733" s="25">
        <v>0</v>
      </c>
    </row>
    <row r="734" spans="1:6">
      <c r="A734" t="str">
        <f>IFERROR(VLOOKUP(B734,[1]銷貨單品號主檔!$A:$D,4,0),"學習周邊")</f>
        <v>學習周邊</v>
      </c>
      <c r="B734" s="22" t="s">
        <v>284</v>
      </c>
      <c r="C734" s="22" t="s">
        <v>59</v>
      </c>
      <c r="D734" s="22" t="s">
        <v>54</v>
      </c>
      <c r="E734" s="25">
        <v>0</v>
      </c>
      <c r="F734" s="25">
        <v>0</v>
      </c>
    </row>
    <row r="735" spans="1:6">
      <c r="A735" t="str">
        <f>IFERROR(VLOOKUP(B735,[1]銷貨單品號主檔!$A:$D,4,0),"學習周邊")</f>
        <v>學習周邊</v>
      </c>
      <c r="B735" s="22" t="s">
        <v>284</v>
      </c>
      <c r="C735" s="22" t="s">
        <v>66</v>
      </c>
      <c r="D735" s="22" t="s">
        <v>54</v>
      </c>
      <c r="E735" s="25">
        <v>0</v>
      </c>
      <c r="F735" s="25">
        <v>0</v>
      </c>
    </row>
    <row r="736" spans="1:6">
      <c r="A736" t="str">
        <f>IFERROR(VLOOKUP(B736,[1]銷貨單品號主檔!$A:$D,4,0),"學習周邊")</f>
        <v>學習周邊</v>
      </c>
      <c r="B736" s="22" t="s">
        <v>284</v>
      </c>
      <c r="C736" s="22" t="s">
        <v>107</v>
      </c>
      <c r="D736" s="22" t="s">
        <v>54</v>
      </c>
      <c r="E736" s="25">
        <v>0</v>
      </c>
      <c r="F736" s="25">
        <v>0</v>
      </c>
    </row>
    <row r="737" spans="1:6">
      <c r="A737" t="str">
        <f>IFERROR(VLOOKUP(B737,[1]銷貨單品號主檔!$A:$D,4,0),"學習周邊")</f>
        <v>學習周邊</v>
      </c>
      <c r="B737" s="22" t="s">
        <v>284</v>
      </c>
      <c r="C737" s="22" t="s">
        <v>72</v>
      </c>
      <c r="D737" s="22" t="s">
        <v>54</v>
      </c>
      <c r="E737" s="25">
        <v>0</v>
      </c>
      <c r="F737" s="25">
        <v>0</v>
      </c>
    </row>
    <row r="738" spans="1:6">
      <c r="A738" t="str">
        <f>IFERROR(VLOOKUP(B738,[1]銷貨單品號主檔!$A:$D,4,0),"學習周邊")</f>
        <v>學習周邊</v>
      </c>
      <c r="B738" s="22" t="s">
        <v>284</v>
      </c>
      <c r="C738" s="22" t="s">
        <v>76</v>
      </c>
      <c r="D738" s="22" t="s">
        <v>54</v>
      </c>
      <c r="E738" s="25">
        <v>0</v>
      </c>
      <c r="F738" s="25">
        <v>0</v>
      </c>
    </row>
    <row r="739" spans="1:6">
      <c r="A739" t="str">
        <f>IFERROR(VLOOKUP(B739,[1]銷貨單品號主檔!$A:$D,4,0),"學習周邊")</f>
        <v>學習周邊</v>
      </c>
      <c r="B739" s="22" t="s">
        <v>284</v>
      </c>
      <c r="C739" s="22" t="s">
        <v>78</v>
      </c>
      <c r="D739" s="22" t="s">
        <v>54</v>
      </c>
      <c r="E739" s="25">
        <v>0</v>
      </c>
      <c r="F739" s="25">
        <v>0</v>
      </c>
    </row>
    <row r="740" spans="1:6">
      <c r="A740" t="str">
        <f>IFERROR(VLOOKUP(B740,[1]銷貨單品號主檔!$A:$D,4,0),"學習周邊")</f>
        <v>學習周邊</v>
      </c>
      <c r="B740" s="22" t="s">
        <v>284</v>
      </c>
      <c r="C740" s="22" t="s">
        <v>81</v>
      </c>
      <c r="D740" s="22" t="s">
        <v>54</v>
      </c>
      <c r="E740" s="25">
        <v>0</v>
      </c>
      <c r="F740" s="25">
        <v>0</v>
      </c>
    </row>
    <row r="741" spans="1:6">
      <c r="A741" t="str">
        <f>IFERROR(VLOOKUP(B741,[1]銷貨單品號主檔!$A:$D,4,0),"學習周邊")</f>
        <v>學習周邊</v>
      </c>
      <c r="B741" s="22" t="s">
        <v>284</v>
      </c>
      <c r="C741" s="22" t="s">
        <v>83</v>
      </c>
      <c r="D741" s="22" t="s">
        <v>54</v>
      </c>
      <c r="E741" s="25">
        <v>0</v>
      </c>
      <c r="F741" s="25">
        <v>0</v>
      </c>
    </row>
    <row r="742" spans="1:6">
      <c r="A742" t="str">
        <f>IFERROR(VLOOKUP(B742,[1]銷貨單品號主檔!$A:$D,4,0),"學習周邊")</f>
        <v>學習周邊</v>
      </c>
      <c r="B742" s="22" t="s">
        <v>284</v>
      </c>
      <c r="C742" s="22" t="s">
        <v>90</v>
      </c>
      <c r="D742" s="22" t="s">
        <v>54</v>
      </c>
      <c r="E742" s="25">
        <v>0</v>
      </c>
      <c r="F742" s="25">
        <v>0</v>
      </c>
    </row>
    <row r="743" spans="1:6">
      <c r="A743" t="str">
        <f>IFERROR(VLOOKUP(B743,[1]銷貨單品號主檔!$A:$D,4,0),"學習周邊")</f>
        <v>學習周邊</v>
      </c>
      <c r="B743" s="22" t="s">
        <v>284</v>
      </c>
      <c r="C743" s="22" t="s">
        <v>88</v>
      </c>
      <c r="D743" s="22" t="s">
        <v>54</v>
      </c>
      <c r="E743" s="25">
        <v>0</v>
      </c>
      <c r="F743" s="25">
        <v>0</v>
      </c>
    </row>
    <row r="744" spans="1:6">
      <c r="A744" t="str">
        <f>IFERROR(VLOOKUP(B744,[1]銷貨單品號主檔!$A:$D,4,0),"學習周邊")</f>
        <v>學習周邊</v>
      </c>
      <c r="B744" s="22" t="s">
        <v>284</v>
      </c>
      <c r="C744" s="22" t="s">
        <v>108</v>
      </c>
      <c r="D744" s="22" t="s">
        <v>54</v>
      </c>
      <c r="E744" s="25">
        <v>0</v>
      </c>
      <c r="F744" s="25">
        <v>0</v>
      </c>
    </row>
    <row r="745" spans="1:6">
      <c r="A745" t="str">
        <f>IFERROR(VLOOKUP(B745,[1]銷貨單品號主檔!$A:$D,4,0),"學習周邊")</f>
        <v>學習周邊</v>
      </c>
      <c r="B745" s="22" t="s">
        <v>284</v>
      </c>
      <c r="C745" s="22" t="s">
        <v>53</v>
      </c>
      <c r="D745" s="22" t="s">
        <v>54</v>
      </c>
      <c r="E745" s="25">
        <v>0</v>
      </c>
      <c r="F745" s="25">
        <v>0</v>
      </c>
    </row>
    <row r="746" spans="1:6">
      <c r="A746" t="str">
        <f>IFERROR(VLOOKUP(B746,[1]銷貨單品號主檔!$A:$D,4,0),"學習周邊")</f>
        <v>學習周邊</v>
      </c>
      <c r="B746" s="22" t="s">
        <v>284</v>
      </c>
      <c r="C746" s="22" t="s">
        <v>92</v>
      </c>
      <c r="D746" s="22" t="s">
        <v>54</v>
      </c>
      <c r="E746" s="25">
        <v>0</v>
      </c>
      <c r="F746" s="25">
        <v>0</v>
      </c>
    </row>
    <row r="747" spans="1:6">
      <c r="A747" t="str">
        <f>IFERROR(VLOOKUP(B747,[1]銷貨單品號主檔!$A:$D,4,0),"學習周邊")</f>
        <v>學習周邊</v>
      </c>
      <c r="B747" s="22" t="s">
        <v>284</v>
      </c>
      <c r="C747" s="22" t="s">
        <v>326</v>
      </c>
      <c r="D747" s="22" t="s">
        <v>54</v>
      </c>
      <c r="E747" s="25">
        <v>0</v>
      </c>
      <c r="F747" s="25">
        <v>0</v>
      </c>
    </row>
    <row r="748" spans="1:6">
      <c r="A748" t="str">
        <f>IFERROR(VLOOKUP(B748,[1]銷貨單品號主檔!$A:$D,4,0),"學習周邊")</f>
        <v>學習周邊</v>
      </c>
      <c r="B748" s="22" t="s">
        <v>284</v>
      </c>
      <c r="C748" s="22" t="s">
        <v>328</v>
      </c>
      <c r="D748" s="22" t="s">
        <v>54</v>
      </c>
      <c r="E748" s="25">
        <v>0</v>
      </c>
      <c r="F748" s="25">
        <v>0</v>
      </c>
    </row>
    <row r="749" spans="1:6">
      <c r="A749" t="str">
        <f>IFERROR(VLOOKUP(B749,[1]銷貨單品號主檔!$A:$D,4,0),"學習周邊")</f>
        <v>學習周邊</v>
      </c>
      <c r="B749" s="22" t="s">
        <v>284</v>
      </c>
      <c r="C749" s="22" t="s">
        <v>329</v>
      </c>
      <c r="D749" s="22" t="s">
        <v>54</v>
      </c>
      <c r="E749" s="25">
        <v>0</v>
      </c>
      <c r="F749" s="25">
        <v>0</v>
      </c>
    </row>
    <row r="750" spans="1:6">
      <c r="A750" t="str">
        <f>IFERROR(VLOOKUP(B750,[1]銷貨單品號主檔!$A:$D,4,0),"學習周邊")</f>
        <v>學習周邊</v>
      </c>
      <c r="B750" s="22" t="s">
        <v>284</v>
      </c>
      <c r="C750" s="22" t="s">
        <v>332</v>
      </c>
      <c r="D750" s="22" t="s">
        <v>54</v>
      </c>
      <c r="E750" s="25">
        <v>0</v>
      </c>
      <c r="F750" s="25">
        <v>0</v>
      </c>
    </row>
    <row r="751" spans="1:6">
      <c r="A751" t="str">
        <f>IFERROR(VLOOKUP(B751,[1]銷貨單品號主檔!$A:$D,4,0),"學習周邊")</f>
        <v>學習周邊</v>
      </c>
      <c r="B751" s="22" t="s">
        <v>284</v>
      </c>
      <c r="C751" s="22" t="s">
        <v>330</v>
      </c>
      <c r="D751" s="22" t="s">
        <v>54</v>
      </c>
      <c r="E751" s="25">
        <v>0</v>
      </c>
      <c r="F751" s="25">
        <v>0</v>
      </c>
    </row>
    <row r="752" spans="1:6">
      <c r="A752" t="str">
        <f>IFERROR(VLOOKUP(B752,[1]銷貨單品號主檔!$A:$D,4,0),"學習周邊")</f>
        <v>生活周邊</v>
      </c>
      <c r="B752" s="22" t="s">
        <v>285</v>
      </c>
      <c r="C752" s="22" t="s">
        <v>62</v>
      </c>
      <c r="D752" s="22" t="s">
        <v>54</v>
      </c>
      <c r="E752" s="25">
        <v>1</v>
      </c>
      <c r="F752" s="25">
        <v>856.19047619047615</v>
      </c>
    </row>
    <row r="753" spans="1:6">
      <c r="A753" t="str">
        <f>IFERROR(VLOOKUP(B753,[1]銷貨單品號主檔!$A:$D,4,0),"學習周邊")</f>
        <v>生活周邊</v>
      </c>
      <c r="B753" s="22" t="s">
        <v>285</v>
      </c>
      <c r="C753" s="22" t="s">
        <v>66</v>
      </c>
      <c r="D753" s="22" t="s">
        <v>54</v>
      </c>
      <c r="E753" s="25">
        <v>1</v>
      </c>
      <c r="F753" s="25">
        <v>856.19047619047615</v>
      </c>
    </row>
    <row r="754" spans="1:6">
      <c r="A754" t="str">
        <f>IFERROR(VLOOKUP(B754,[1]銷貨單品號主檔!$A:$D,4,0),"學習周邊")</f>
        <v>生活周邊</v>
      </c>
      <c r="B754" s="22" t="s">
        <v>285</v>
      </c>
      <c r="C754" s="22" t="s">
        <v>76</v>
      </c>
      <c r="D754" s="22" t="s">
        <v>54</v>
      </c>
      <c r="E754" s="25">
        <v>1</v>
      </c>
      <c r="F754" s="25">
        <v>856.19047619047615</v>
      </c>
    </row>
    <row r="755" spans="1:6">
      <c r="A755" t="str">
        <f>IFERROR(VLOOKUP(B755,[1]銷貨單品號主檔!$A:$D,4,0),"學習周邊")</f>
        <v>生活周邊</v>
      </c>
      <c r="B755" s="22" t="s">
        <v>285</v>
      </c>
      <c r="C755" s="22" t="s">
        <v>78</v>
      </c>
      <c r="D755" s="22" t="s">
        <v>54</v>
      </c>
      <c r="E755" s="25">
        <v>1</v>
      </c>
      <c r="F755" s="25">
        <v>856.19047619047615</v>
      </c>
    </row>
    <row r="756" spans="1:6">
      <c r="A756" t="str">
        <f>IFERROR(VLOOKUP(B756,[1]銷貨單品號主檔!$A:$D,4,0),"學習周邊")</f>
        <v>生活周邊</v>
      </c>
      <c r="B756" s="22" t="s">
        <v>285</v>
      </c>
      <c r="C756" s="22" t="s">
        <v>85</v>
      </c>
      <c r="D756" s="22" t="s">
        <v>54</v>
      </c>
      <c r="E756" s="25">
        <v>1</v>
      </c>
      <c r="F756" s="25">
        <v>856.19047619047615</v>
      </c>
    </row>
    <row r="757" spans="1:6">
      <c r="A757" t="str">
        <f>IFERROR(VLOOKUP(B757,[1]銷貨單品號主檔!$A:$D,4,0),"學習周邊")</f>
        <v>生活周邊</v>
      </c>
      <c r="B757" s="22" t="s">
        <v>285</v>
      </c>
      <c r="C757" s="22" t="s">
        <v>88</v>
      </c>
      <c r="D757" s="22" t="s">
        <v>54</v>
      </c>
      <c r="E757" s="25">
        <v>1</v>
      </c>
      <c r="F757" s="25">
        <v>856.19047619047615</v>
      </c>
    </row>
    <row r="758" spans="1:6">
      <c r="A758" t="str">
        <f>IFERROR(VLOOKUP(B758,[1]銷貨單品號主檔!$A:$D,4,0),"學習周邊")</f>
        <v>生活周邊</v>
      </c>
      <c r="B758" s="22" t="s">
        <v>285</v>
      </c>
      <c r="C758" s="22" t="s">
        <v>108</v>
      </c>
      <c r="D758" s="22" t="s">
        <v>54</v>
      </c>
      <c r="E758" s="25">
        <v>1</v>
      </c>
      <c r="F758" s="25">
        <v>856.19047619047615</v>
      </c>
    </row>
    <row r="759" spans="1:6">
      <c r="A759" t="str">
        <f>IFERROR(VLOOKUP(B759,[1]銷貨單品號主檔!$A:$D,4,0),"學習周邊")</f>
        <v>生活周邊</v>
      </c>
      <c r="B759" s="22" t="s">
        <v>285</v>
      </c>
      <c r="C759" s="22" t="s">
        <v>354</v>
      </c>
      <c r="D759" s="22" t="s">
        <v>54</v>
      </c>
      <c r="E759" s="25">
        <v>1</v>
      </c>
      <c r="F759" s="25">
        <v>856.19047619047615</v>
      </c>
    </row>
    <row r="760" spans="1:6">
      <c r="A760" t="str">
        <f>IFERROR(VLOOKUP(B760,[1]銷貨單品號主檔!$A:$D,4,0),"學習周邊")</f>
        <v>生活周邊</v>
      </c>
      <c r="B760" s="22" t="s">
        <v>286</v>
      </c>
      <c r="C760" s="22" t="s">
        <v>56</v>
      </c>
      <c r="D760" s="22" t="s">
        <v>54</v>
      </c>
      <c r="E760" s="25">
        <v>1</v>
      </c>
      <c r="F760" s="25">
        <v>856.19047619047615</v>
      </c>
    </row>
    <row r="761" spans="1:6">
      <c r="A761" t="str">
        <f>IFERROR(VLOOKUP(B761,[1]銷貨單品號主檔!$A:$D,4,0),"學習周邊")</f>
        <v>生活周邊</v>
      </c>
      <c r="B761" s="22" t="s">
        <v>286</v>
      </c>
      <c r="C761" s="22" t="s">
        <v>62</v>
      </c>
      <c r="D761" s="22" t="s">
        <v>54</v>
      </c>
      <c r="E761" s="25">
        <v>1</v>
      </c>
      <c r="F761" s="25">
        <v>856.19047619047615</v>
      </c>
    </row>
    <row r="762" spans="1:6">
      <c r="A762" t="str">
        <f>IFERROR(VLOOKUP(B762,[1]銷貨單品號主檔!$A:$D,4,0),"學習周邊")</f>
        <v>生活周邊</v>
      </c>
      <c r="B762" s="22" t="s">
        <v>286</v>
      </c>
      <c r="C762" s="22" t="s">
        <v>88</v>
      </c>
      <c r="D762" s="22" t="s">
        <v>54</v>
      </c>
      <c r="E762" s="25">
        <v>1</v>
      </c>
      <c r="F762" s="25">
        <v>856.19047619047615</v>
      </c>
    </row>
    <row r="763" spans="1:6">
      <c r="A763" t="str">
        <f>IFERROR(VLOOKUP(B763,[1]銷貨單品號主檔!$A:$D,4,0),"學習周邊")</f>
        <v>生活周邊</v>
      </c>
      <c r="B763" s="22" t="s">
        <v>286</v>
      </c>
      <c r="C763" s="22" t="s">
        <v>53</v>
      </c>
      <c r="D763" s="22" t="s">
        <v>54</v>
      </c>
      <c r="E763" s="25">
        <v>1</v>
      </c>
      <c r="F763" s="25">
        <v>856.19047619047615</v>
      </c>
    </row>
    <row r="764" spans="1:6">
      <c r="A764" t="str">
        <f>IFERROR(VLOOKUP(B764,[1]銷貨單品號主檔!$A:$D,4,0),"學習周邊")</f>
        <v>生活周邊</v>
      </c>
      <c r="B764" s="22" t="s">
        <v>286</v>
      </c>
      <c r="C764" s="22" t="s">
        <v>349</v>
      </c>
      <c r="D764" s="22" t="s">
        <v>54</v>
      </c>
      <c r="E764" s="25">
        <v>1</v>
      </c>
      <c r="F764" s="25">
        <v>856.19047619047615</v>
      </c>
    </row>
    <row r="765" spans="1:6">
      <c r="A765" t="str">
        <f>IFERROR(VLOOKUP(B765,[1]銷貨單品號主檔!$A:$D,4,0),"學習周邊")</f>
        <v>生活周邊</v>
      </c>
      <c r="B765" s="22" t="s">
        <v>287</v>
      </c>
      <c r="C765" s="22" t="s">
        <v>56</v>
      </c>
      <c r="D765" s="22" t="s">
        <v>54</v>
      </c>
      <c r="E765" s="25">
        <v>1</v>
      </c>
      <c r="F765" s="25">
        <v>80</v>
      </c>
    </row>
    <row r="766" spans="1:6">
      <c r="A766" t="str">
        <f>IFERROR(VLOOKUP(B766,[1]銷貨單品號主檔!$A:$D,4,0),"學習周邊")</f>
        <v>生活周邊</v>
      </c>
      <c r="B766" s="22" t="s">
        <v>287</v>
      </c>
      <c r="C766" s="22" t="s">
        <v>60</v>
      </c>
      <c r="D766" s="22" t="s">
        <v>54</v>
      </c>
      <c r="E766" s="25">
        <v>1</v>
      </c>
      <c r="F766" s="25">
        <v>80</v>
      </c>
    </row>
    <row r="767" spans="1:6">
      <c r="A767" t="str">
        <f>IFERROR(VLOOKUP(B767,[1]銷貨單品號主檔!$A:$D,4,0),"學習周邊")</f>
        <v>生活周邊</v>
      </c>
      <c r="B767" s="22" t="s">
        <v>287</v>
      </c>
      <c r="C767" s="22" t="s">
        <v>62</v>
      </c>
      <c r="D767" s="22" t="s">
        <v>54</v>
      </c>
      <c r="E767" s="25">
        <v>1</v>
      </c>
      <c r="F767" s="25">
        <v>80</v>
      </c>
    </row>
    <row r="768" spans="1:6">
      <c r="A768" t="str">
        <f>IFERROR(VLOOKUP(B768,[1]銷貨單品號主檔!$A:$D,4,0),"學習周邊")</f>
        <v>生活周邊</v>
      </c>
      <c r="B768" s="22" t="s">
        <v>287</v>
      </c>
      <c r="C768" s="22" t="s">
        <v>67</v>
      </c>
      <c r="D768" s="22" t="s">
        <v>54</v>
      </c>
      <c r="E768" s="25">
        <v>1</v>
      </c>
      <c r="F768" s="25">
        <v>80</v>
      </c>
    </row>
    <row r="769" spans="1:6">
      <c r="A769" t="str">
        <f>IFERROR(VLOOKUP(B769,[1]銷貨單品號主檔!$A:$D,4,0),"學習周邊")</f>
        <v>生活周邊</v>
      </c>
      <c r="B769" s="22" t="s">
        <v>287</v>
      </c>
      <c r="C769" s="22" t="s">
        <v>73</v>
      </c>
      <c r="D769" s="22" t="s">
        <v>54</v>
      </c>
      <c r="E769" s="25">
        <v>1</v>
      </c>
      <c r="F769" s="25">
        <v>80</v>
      </c>
    </row>
    <row r="770" spans="1:6">
      <c r="A770" t="str">
        <f>IFERROR(VLOOKUP(B770,[1]銷貨單品號主檔!$A:$D,4,0),"學習周邊")</f>
        <v>生活周邊</v>
      </c>
      <c r="B770" s="22" t="s">
        <v>287</v>
      </c>
      <c r="C770" s="22" t="s">
        <v>59</v>
      </c>
      <c r="D770" s="22" t="s">
        <v>54</v>
      </c>
      <c r="E770" s="25">
        <v>1</v>
      </c>
      <c r="F770" s="25">
        <v>80</v>
      </c>
    </row>
    <row r="771" spans="1:6">
      <c r="A771" t="str">
        <f>IFERROR(VLOOKUP(B771,[1]銷貨單品號主檔!$A:$D,4,0),"學習周邊")</f>
        <v>生活周邊</v>
      </c>
      <c r="B771" s="22" t="s">
        <v>287</v>
      </c>
      <c r="C771" s="22" t="s">
        <v>66</v>
      </c>
      <c r="D771" s="22" t="s">
        <v>54</v>
      </c>
      <c r="E771" s="25">
        <v>3</v>
      </c>
      <c r="F771" s="25">
        <v>240</v>
      </c>
    </row>
    <row r="772" spans="1:6">
      <c r="A772" t="str">
        <f>IFERROR(VLOOKUP(B772,[1]銷貨單品號主檔!$A:$D,4,0),"學習周邊")</f>
        <v>生活周邊</v>
      </c>
      <c r="B772" s="22" t="s">
        <v>287</v>
      </c>
      <c r="C772" s="22" t="s">
        <v>72</v>
      </c>
      <c r="D772" s="22" t="s">
        <v>54</v>
      </c>
      <c r="E772" s="25">
        <v>1</v>
      </c>
      <c r="F772" s="25">
        <v>80</v>
      </c>
    </row>
    <row r="773" spans="1:6">
      <c r="A773" t="str">
        <f>IFERROR(VLOOKUP(B773,[1]銷貨單品號主檔!$A:$D,4,0),"學習周邊")</f>
        <v>生活周邊</v>
      </c>
      <c r="B773" s="22" t="s">
        <v>287</v>
      </c>
      <c r="C773" s="22" t="s">
        <v>78</v>
      </c>
      <c r="D773" s="22" t="s">
        <v>54</v>
      </c>
      <c r="E773" s="25">
        <v>1</v>
      </c>
      <c r="F773" s="25">
        <v>80</v>
      </c>
    </row>
    <row r="774" spans="1:6">
      <c r="A774" t="str">
        <f>IFERROR(VLOOKUP(B774,[1]銷貨單品號主檔!$A:$D,4,0),"學習周邊")</f>
        <v>生活周邊</v>
      </c>
      <c r="B774" s="22" t="s">
        <v>287</v>
      </c>
      <c r="C774" s="22" t="s">
        <v>81</v>
      </c>
      <c r="D774" s="22" t="s">
        <v>54</v>
      </c>
      <c r="E774" s="25">
        <v>1</v>
      </c>
      <c r="F774" s="25">
        <v>80</v>
      </c>
    </row>
    <row r="775" spans="1:6">
      <c r="A775" t="str">
        <f>IFERROR(VLOOKUP(B775,[1]銷貨單品號主檔!$A:$D,4,0),"學習周邊")</f>
        <v>生活周邊</v>
      </c>
      <c r="B775" s="22" t="s">
        <v>287</v>
      </c>
      <c r="C775" s="22" t="s">
        <v>83</v>
      </c>
      <c r="D775" s="22" t="s">
        <v>54</v>
      </c>
      <c r="E775" s="25">
        <v>2</v>
      </c>
      <c r="F775" s="25">
        <v>160</v>
      </c>
    </row>
    <row r="776" spans="1:6">
      <c r="A776" t="str">
        <f>IFERROR(VLOOKUP(B776,[1]銷貨單品號主檔!$A:$D,4,0),"學習周邊")</f>
        <v>生活周邊</v>
      </c>
      <c r="B776" s="22" t="s">
        <v>287</v>
      </c>
      <c r="C776" s="22" t="s">
        <v>85</v>
      </c>
      <c r="D776" s="22" t="s">
        <v>54</v>
      </c>
      <c r="E776" s="25">
        <v>1</v>
      </c>
      <c r="F776" s="25">
        <v>80</v>
      </c>
    </row>
    <row r="777" spans="1:6">
      <c r="A777" t="str">
        <f>IFERROR(VLOOKUP(B777,[1]銷貨單品號主檔!$A:$D,4,0),"學習周邊")</f>
        <v>生活周邊</v>
      </c>
      <c r="B777" s="22" t="s">
        <v>287</v>
      </c>
      <c r="C777" s="22" t="s">
        <v>87</v>
      </c>
      <c r="D777" s="22" t="s">
        <v>54</v>
      </c>
      <c r="E777" s="25">
        <v>1</v>
      </c>
      <c r="F777" s="25">
        <v>80</v>
      </c>
    </row>
    <row r="778" spans="1:6">
      <c r="A778" t="str">
        <f>IFERROR(VLOOKUP(B778,[1]銷貨單品號主檔!$A:$D,4,0),"學習周邊")</f>
        <v>生活周邊</v>
      </c>
      <c r="B778" s="22" t="s">
        <v>287</v>
      </c>
      <c r="C778" s="22" t="s">
        <v>88</v>
      </c>
      <c r="D778" s="22" t="s">
        <v>54</v>
      </c>
      <c r="E778" s="25">
        <v>2</v>
      </c>
      <c r="F778" s="25">
        <v>160</v>
      </c>
    </row>
    <row r="779" spans="1:6">
      <c r="A779" t="str">
        <f>IFERROR(VLOOKUP(B779,[1]銷貨單品號主檔!$A:$D,4,0),"學習周邊")</f>
        <v>生活周邊</v>
      </c>
      <c r="B779" s="22" t="s">
        <v>287</v>
      </c>
      <c r="C779" s="22" t="s">
        <v>108</v>
      </c>
      <c r="D779" s="22" t="s">
        <v>54</v>
      </c>
      <c r="E779" s="25">
        <v>1</v>
      </c>
      <c r="F779" s="25">
        <v>80</v>
      </c>
    </row>
    <row r="780" spans="1:6">
      <c r="A780" t="str">
        <f>IFERROR(VLOOKUP(B780,[1]銷貨單品號主檔!$A:$D,4,0),"學習周邊")</f>
        <v>生活周邊</v>
      </c>
      <c r="B780" s="22" t="s">
        <v>287</v>
      </c>
      <c r="C780" s="22" t="s">
        <v>92</v>
      </c>
      <c r="D780" s="22" t="s">
        <v>54</v>
      </c>
      <c r="E780" s="25">
        <v>1</v>
      </c>
      <c r="F780" s="25">
        <v>80</v>
      </c>
    </row>
    <row r="781" spans="1:6">
      <c r="A781" t="str">
        <f>IFERROR(VLOOKUP(B781,[1]銷貨單品號主檔!$A:$D,4,0),"學習周邊")</f>
        <v>生活周邊</v>
      </c>
      <c r="B781" s="22" t="s">
        <v>287</v>
      </c>
      <c r="C781" s="22" t="s">
        <v>328</v>
      </c>
      <c r="D781" s="22" t="s">
        <v>54</v>
      </c>
      <c r="E781" s="25">
        <v>2</v>
      </c>
      <c r="F781" s="25">
        <v>160</v>
      </c>
    </row>
    <row r="782" spans="1:6">
      <c r="A782" t="str">
        <f>IFERROR(VLOOKUP(B782,[1]銷貨單品號主檔!$A:$D,4,0),"學習周邊")</f>
        <v>生活周邊</v>
      </c>
      <c r="B782" s="22" t="s">
        <v>287</v>
      </c>
      <c r="C782" s="22" t="s">
        <v>329</v>
      </c>
      <c r="D782" s="22" t="s">
        <v>54</v>
      </c>
      <c r="E782" s="25">
        <v>2</v>
      </c>
      <c r="F782" s="25">
        <v>160</v>
      </c>
    </row>
    <row r="783" spans="1:6">
      <c r="A783" t="str">
        <f>IFERROR(VLOOKUP(B783,[1]銷貨單品號主檔!$A:$D,4,0),"學習周邊")</f>
        <v>生活周邊</v>
      </c>
      <c r="B783" s="22" t="s">
        <v>287</v>
      </c>
      <c r="C783" s="22" t="s">
        <v>330</v>
      </c>
      <c r="D783" s="22" t="s">
        <v>54</v>
      </c>
      <c r="E783" s="25">
        <v>1</v>
      </c>
      <c r="F783" s="25">
        <v>80</v>
      </c>
    </row>
    <row r="784" spans="1:6">
      <c r="A784" t="str">
        <f>IFERROR(VLOOKUP(B784,[1]銷貨單品號主檔!$A:$D,4,0),"學習周邊")</f>
        <v>生活周邊</v>
      </c>
      <c r="B784" s="22" t="s">
        <v>287</v>
      </c>
      <c r="C784" s="22" t="s">
        <v>331</v>
      </c>
      <c r="D784" s="22" t="s">
        <v>54</v>
      </c>
      <c r="E784" s="25">
        <v>3</v>
      </c>
      <c r="F784" s="25">
        <v>240</v>
      </c>
    </row>
    <row r="785" spans="1:6">
      <c r="A785" t="str">
        <f>IFERROR(VLOOKUP(B785,[1]銷貨單品號主檔!$A:$D,4,0),"學習周邊")</f>
        <v>生活周邊</v>
      </c>
      <c r="B785" s="22" t="s">
        <v>287</v>
      </c>
      <c r="C785" s="22" t="s">
        <v>349</v>
      </c>
      <c r="D785" s="22" t="s">
        <v>54</v>
      </c>
      <c r="E785" s="25">
        <v>1</v>
      </c>
      <c r="F785" s="25">
        <v>80</v>
      </c>
    </row>
    <row r="786" spans="1:6">
      <c r="A786" t="str">
        <f>IFERROR(VLOOKUP(B786,[1]銷貨單品號主檔!$A:$D,4,0),"學習周邊")</f>
        <v>生活周邊</v>
      </c>
      <c r="B786" s="22" t="s">
        <v>287</v>
      </c>
      <c r="C786" s="22" t="s">
        <v>353</v>
      </c>
      <c r="D786" s="22" t="s">
        <v>54</v>
      </c>
      <c r="E786" s="25">
        <v>1</v>
      </c>
      <c r="F786" s="25">
        <v>80</v>
      </c>
    </row>
    <row r="787" spans="1:6">
      <c r="A787" t="str">
        <f>IFERROR(VLOOKUP(B787,[1]銷貨單品號主檔!$A:$D,4,0),"學習周邊")</f>
        <v>生活周邊</v>
      </c>
      <c r="B787" s="22" t="s">
        <v>288</v>
      </c>
      <c r="C787" s="22" t="s">
        <v>67</v>
      </c>
      <c r="D787" s="22" t="s">
        <v>54</v>
      </c>
      <c r="E787" s="25">
        <v>1</v>
      </c>
      <c r="F787" s="25">
        <v>80</v>
      </c>
    </row>
    <row r="788" spans="1:6">
      <c r="A788" t="str">
        <f>IFERROR(VLOOKUP(B788,[1]銷貨單品號主檔!$A:$D,4,0),"學習周邊")</f>
        <v>生活周邊</v>
      </c>
      <c r="B788" s="22" t="s">
        <v>288</v>
      </c>
      <c r="C788" s="22" t="s">
        <v>66</v>
      </c>
      <c r="D788" s="22" t="s">
        <v>54</v>
      </c>
      <c r="E788" s="25">
        <v>1</v>
      </c>
      <c r="F788" s="25">
        <v>80</v>
      </c>
    </row>
    <row r="789" spans="1:6">
      <c r="A789" t="str">
        <f>IFERROR(VLOOKUP(B789,[1]銷貨單品號主檔!$A:$D,4,0),"學習周邊")</f>
        <v>生活周邊</v>
      </c>
      <c r="B789" s="22" t="s">
        <v>288</v>
      </c>
      <c r="C789" s="22" t="s">
        <v>72</v>
      </c>
      <c r="D789" s="22" t="s">
        <v>54</v>
      </c>
      <c r="E789" s="25">
        <v>1</v>
      </c>
      <c r="F789" s="25">
        <v>80</v>
      </c>
    </row>
    <row r="790" spans="1:6">
      <c r="A790" t="str">
        <f>IFERROR(VLOOKUP(B790,[1]銷貨單品號主檔!$A:$D,4,0),"學習周邊")</f>
        <v>生活周邊</v>
      </c>
      <c r="B790" s="22" t="s">
        <v>288</v>
      </c>
      <c r="C790" s="22" t="s">
        <v>78</v>
      </c>
      <c r="D790" s="22" t="s">
        <v>54</v>
      </c>
      <c r="E790" s="25">
        <v>1</v>
      </c>
      <c r="F790" s="25">
        <v>80</v>
      </c>
    </row>
    <row r="791" spans="1:6">
      <c r="A791" t="str">
        <f>IFERROR(VLOOKUP(B791,[1]銷貨單品號主檔!$A:$D,4,0),"學習周邊")</f>
        <v>生活周邊</v>
      </c>
      <c r="B791" s="22" t="s">
        <v>288</v>
      </c>
      <c r="C791" s="22" t="s">
        <v>83</v>
      </c>
      <c r="D791" s="22" t="s">
        <v>54</v>
      </c>
      <c r="E791" s="25">
        <v>1</v>
      </c>
      <c r="F791" s="25">
        <v>80</v>
      </c>
    </row>
    <row r="792" spans="1:6">
      <c r="A792" t="str">
        <f>IFERROR(VLOOKUP(B792,[1]銷貨單品號主檔!$A:$D,4,0),"學習周邊")</f>
        <v>生活周邊</v>
      </c>
      <c r="B792" s="22" t="s">
        <v>288</v>
      </c>
      <c r="C792" s="22" t="s">
        <v>85</v>
      </c>
      <c r="D792" s="22" t="s">
        <v>54</v>
      </c>
      <c r="E792" s="25">
        <v>1</v>
      </c>
      <c r="F792" s="25">
        <v>80</v>
      </c>
    </row>
    <row r="793" spans="1:6">
      <c r="A793" t="str">
        <f>IFERROR(VLOOKUP(B793,[1]銷貨單品號主檔!$A:$D,4,0),"學習周邊")</f>
        <v>生活周邊</v>
      </c>
      <c r="B793" s="22" t="s">
        <v>288</v>
      </c>
      <c r="C793" s="22" t="s">
        <v>88</v>
      </c>
      <c r="D793" s="22" t="s">
        <v>54</v>
      </c>
      <c r="E793" s="25">
        <v>2</v>
      </c>
      <c r="F793" s="25">
        <v>160</v>
      </c>
    </row>
    <row r="794" spans="1:6">
      <c r="A794" t="str">
        <f>IFERROR(VLOOKUP(B794,[1]銷貨單品號主檔!$A:$D,4,0),"學習周邊")</f>
        <v>生活周邊</v>
      </c>
      <c r="B794" s="22" t="s">
        <v>288</v>
      </c>
      <c r="C794" s="22" t="s">
        <v>108</v>
      </c>
      <c r="D794" s="22" t="s">
        <v>54</v>
      </c>
      <c r="E794" s="25">
        <v>1</v>
      </c>
      <c r="F794" s="25">
        <v>80</v>
      </c>
    </row>
    <row r="795" spans="1:6">
      <c r="A795" t="str">
        <f>IFERROR(VLOOKUP(B795,[1]銷貨單品號主檔!$A:$D,4,0),"學習周邊")</f>
        <v>生活周邊</v>
      </c>
      <c r="B795" s="22" t="s">
        <v>288</v>
      </c>
      <c r="C795" s="22" t="s">
        <v>53</v>
      </c>
      <c r="D795" s="22" t="s">
        <v>54</v>
      </c>
      <c r="E795" s="25">
        <v>2</v>
      </c>
      <c r="F795" s="25">
        <v>160</v>
      </c>
    </row>
    <row r="796" spans="1:6">
      <c r="A796" t="str">
        <f>IFERROR(VLOOKUP(B796,[1]銷貨單品號主檔!$A:$D,4,0),"學習周邊")</f>
        <v>生活周邊</v>
      </c>
      <c r="B796" s="22" t="s">
        <v>288</v>
      </c>
      <c r="C796" s="22" t="s">
        <v>331</v>
      </c>
      <c r="D796" s="22" t="s">
        <v>54</v>
      </c>
      <c r="E796" s="25">
        <v>2</v>
      </c>
      <c r="F796" s="25">
        <v>160</v>
      </c>
    </row>
    <row r="797" spans="1:6">
      <c r="A797" t="str">
        <f>IFERROR(VLOOKUP(B797,[1]銷貨單品號主檔!$A:$D,4,0),"學習周邊")</f>
        <v>生活周邊</v>
      </c>
      <c r="B797" s="22" t="s">
        <v>289</v>
      </c>
      <c r="C797" s="22" t="s">
        <v>66</v>
      </c>
      <c r="D797" s="22" t="s">
        <v>54</v>
      </c>
      <c r="E797" s="25">
        <v>1</v>
      </c>
      <c r="F797" s="25">
        <v>80</v>
      </c>
    </row>
    <row r="798" spans="1:6">
      <c r="A798" t="str">
        <f>IFERROR(VLOOKUP(B798,[1]銷貨單品號主檔!$A:$D,4,0),"學習周邊")</f>
        <v>生活周邊</v>
      </c>
      <c r="B798" s="22" t="s">
        <v>289</v>
      </c>
      <c r="C798" s="22" t="s">
        <v>78</v>
      </c>
      <c r="D798" s="22" t="s">
        <v>54</v>
      </c>
      <c r="E798" s="25">
        <v>1</v>
      </c>
      <c r="F798" s="25">
        <v>80</v>
      </c>
    </row>
    <row r="799" spans="1:6">
      <c r="A799" t="str">
        <f>IFERROR(VLOOKUP(B799,[1]銷貨單品號主檔!$A:$D,4,0),"學習周邊")</f>
        <v>生活周邊</v>
      </c>
      <c r="B799" s="22" t="s">
        <v>289</v>
      </c>
      <c r="C799" s="22" t="s">
        <v>83</v>
      </c>
      <c r="D799" s="22" t="s">
        <v>54</v>
      </c>
      <c r="E799" s="25">
        <v>1</v>
      </c>
      <c r="F799" s="25">
        <v>80</v>
      </c>
    </row>
    <row r="800" spans="1:6">
      <c r="A800" t="str">
        <f>IFERROR(VLOOKUP(B800,[1]銷貨單品號主檔!$A:$D,4,0),"學習周邊")</f>
        <v>生活周邊</v>
      </c>
      <c r="B800" s="22" t="s">
        <v>289</v>
      </c>
      <c r="C800" s="22" t="s">
        <v>85</v>
      </c>
      <c r="D800" s="22" t="s">
        <v>54</v>
      </c>
      <c r="E800" s="25">
        <v>2</v>
      </c>
      <c r="F800" s="25">
        <v>160</v>
      </c>
    </row>
    <row r="801" spans="1:6">
      <c r="A801" t="str">
        <f>IFERROR(VLOOKUP(B801,[1]銷貨單品號主檔!$A:$D,4,0),"學習周邊")</f>
        <v>生活周邊</v>
      </c>
      <c r="B801" s="22" t="s">
        <v>289</v>
      </c>
      <c r="C801" s="22" t="s">
        <v>108</v>
      </c>
      <c r="D801" s="22" t="s">
        <v>54</v>
      </c>
      <c r="E801" s="25">
        <v>1</v>
      </c>
      <c r="F801" s="25">
        <v>80</v>
      </c>
    </row>
    <row r="802" spans="1:6">
      <c r="A802" t="str">
        <f>IFERROR(VLOOKUP(B802,[1]銷貨單品號主檔!$A:$D,4,0),"學習周邊")</f>
        <v>生活周邊</v>
      </c>
      <c r="B802" s="22" t="s">
        <v>289</v>
      </c>
      <c r="C802" s="22" t="s">
        <v>331</v>
      </c>
      <c r="D802" s="22" t="s">
        <v>54</v>
      </c>
      <c r="E802" s="25">
        <v>2</v>
      </c>
      <c r="F802" s="25">
        <v>160</v>
      </c>
    </row>
    <row r="803" spans="1:6">
      <c r="A803" t="str">
        <f>IFERROR(VLOOKUP(B803,[1]銷貨單品號主檔!$A:$D,4,0),"學習周邊")</f>
        <v>生活周邊</v>
      </c>
      <c r="B803" s="22" t="s">
        <v>290</v>
      </c>
      <c r="C803" s="22" t="s">
        <v>90</v>
      </c>
      <c r="D803" s="22" t="s">
        <v>54</v>
      </c>
      <c r="E803" s="25">
        <v>1</v>
      </c>
      <c r="F803" s="25">
        <v>2466.6666666666665</v>
      </c>
    </row>
    <row r="804" spans="1:6">
      <c r="A804" t="str">
        <f>IFERROR(VLOOKUP(B804,[1]銷貨單品號主檔!$A:$D,4,0),"學習周邊")</f>
        <v>學習</v>
      </c>
      <c r="B804" s="22" t="s">
        <v>118</v>
      </c>
      <c r="C804" s="22" t="s">
        <v>60</v>
      </c>
      <c r="D804" s="22" t="s">
        <v>54</v>
      </c>
      <c r="E804" s="25">
        <v>6</v>
      </c>
      <c r="F804" s="25">
        <v>12565.714285714284</v>
      </c>
    </row>
    <row r="805" spans="1:6">
      <c r="A805" t="str">
        <f>IFERROR(VLOOKUP(B805,[1]銷貨單品號主檔!$A:$D,4,0),"學習周邊")</f>
        <v>學習</v>
      </c>
      <c r="B805" s="22" t="s">
        <v>118</v>
      </c>
      <c r="C805" s="22" t="s">
        <v>62</v>
      </c>
      <c r="D805" s="22" t="s">
        <v>54</v>
      </c>
      <c r="E805" s="25">
        <v>1</v>
      </c>
      <c r="F805" s="25">
        <v>2094.2857142857142</v>
      </c>
    </row>
    <row r="806" spans="1:6">
      <c r="A806" t="str">
        <f>IFERROR(VLOOKUP(B806,[1]銷貨單品號主檔!$A:$D,4,0),"學習周邊")</f>
        <v>學習</v>
      </c>
      <c r="B806" s="22" t="s">
        <v>118</v>
      </c>
      <c r="C806" s="22" t="s">
        <v>65</v>
      </c>
      <c r="D806" s="22" t="s">
        <v>54</v>
      </c>
      <c r="E806" s="25">
        <v>1</v>
      </c>
      <c r="F806" s="25">
        <v>2094.2857142857142</v>
      </c>
    </row>
    <row r="807" spans="1:6">
      <c r="A807" t="str">
        <f>IFERROR(VLOOKUP(B807,[1]銷貨單品號主檔!$A:$D,4,0),"學習周邊")</f>
        <v>學習</v>
      </c>
      <c r="B807" s="22" t="s">
        <v>118</v>
      </c>
      <c r="C807" s="22" t="s">
        <v>67</v>
      </c>
      <c r="D807" s="22" t="s">
        <v>54</v>
      </c>
      <c r="E807" s="25">
        <v>1</v>
      </c>
      <c r="F807" s="25">
        <v>2094.2857142857142</v>
      </c>
    </row>
    <row r="808" spans="1:6">
      <c r="A808" t="str">
        <f>IFERROR(VLOOKUP(B808,[1]銷貨單品號主檔!$A:$D,4,0),"學習周邊")</f>
        <v>學習</v>
      </c>
      <c r="B808" s="22" t="s">
        <v>118</v>
      </c>
      <c r="C808" s="22" t="s">
        <v>59</v>
      </c>
      <c r="D808" s="22" t="s">
        <v>54</v>
      </c>
      <c r="E808" s="25">
        <v>4</v>
      </c>
      <c r="F808" s="25">
        <v>8377.1428571428569</v>
      </c>
    </row>
    <row r="809" spans="1:6">
      <c r="A809" t="str">
        <f>IFERROR(VLOOKUP(B809,[1]銷貨單品號主檔!$A:$D,4,0),"學習周邊")</f>
        <v>學習</v>
      </c>
      <c r="B809" s="22" t="s">
        <v>118</v>
      </c>
      <c r="C809" s="22" t="s">
        <v>66</v>
      </c>
      <c r="D809" s="22" t="s">
        <v>54</v>
      </c>
      <c r="E809" s="25">
        <v>1</v>
      </c>
      <c r="F809" s="25">
        <v>2094.2857142857142</v>
      </c>
    </row>
    <row r="810" spans="1:6">
      <c r="A810" t="str">
        <f>IFERROR(VLOOKUP(B810,[1]銷貨單品號主檔!$A:$D,4,0),"學習周邊")</f>
        <v>學習</v>
      </c>
      <c r="B810" s="22" t="s">
        <v>118</v>
      </c>
      <c r="C810" s="22" t="s">
        <v>66</v>
      </c>
      <c r="D810" s="22" t="s">
        <v>174</v>
      </c>
      <c r="E810" s="25">
        <v>6</v>
      </c>
      <c r="F810" s="25">
        <v>12565.714285714284</v>
      </c>
    </row>
    <row r="811" spans="1:6">
      <c r="A811" t="str">
        <f>IFERROR(VLOOKUP(B811,[1]銷貨單品號主檔!$A:$D,4,0),"學習周邊")</f>
        <v>學習</v>
      </c>
      <c r="B811" s="22" t="s">
        <v>118</v>
      </c>
      <c r="C811" s="22" t="s">
        <v>107</v>
      </c>
      <c r="D811" s="22" t="s">
        <v>174</v>
      </c>
      <c r="E811" s="25">
        <v>4</v>
      </c>
      <c r="F811" s="25">
        <v>8377.1428571428569</v>
      </c>
    </row>
    <row r="812" spans="1:6">
      <c r="A812" t="str">
        <f>IFERROR(VLOOKUP(B812,[1]銷貨單品號主檔!$A:$D,4,0),"學習周邊")</f>
        <v>學習</v>
      </c>
      <c r="B812" s="22" t="s">
        <v>118</v>
      </c>
      <c r="C812" s="22" t="s">
        <v>72</v>
      </c>
      <c r="D812" s="22" t="s">
        <v>54</v>
      </c>
      <c r="E812" s="25">
        <v>1</v>
      </c>
      <c r="F812" s="25">
        <v>2094.2857142857142</v>
      </c>
    </row>
    <row r="813" spans="1:6">
      <c r="A813" t="str">
        <f>IFERROR(VLOOKUP(B813,[1]銷貨單品號主檔!$A:$D,4,0),"學習周邊")</f>
        <v>學習</v>
      </c>
      <c r="B813" s="22" t="s">
        <v>118</v>
      </c>
      <c r="C813" s="22" t="s">
        <v>72</v>
      </c>
      <c r="D813" s="22" t="s">
        <v>174</v>
      </c>
      <c r="E813" s="25">
        <v>4</v>
      </c>
      <c r="F813" s="25">
        <v>8377.1428571428569</v>
      </c>
    </row>
    <row r="814" spans="1:6">
      <c r="A814" t="str">
        <f>IFERROR(VLOOKUP(B814,[1]銷貨單品號主檔!$A:$D,4,0),"學習周邊")</f>
        <v>學習</v>
      </c>
      <c r="B814" s="22" t="s">
        <v>118</v>
      </c>
      <c r="C814" s="22" t="s">
        <v>76</v>
      </c>
      <c r="D814" s="22" t="s">
        <v>54</v>
      </c>
      <c r="E814" s="25">
        <v>3</v>
      </c>
      <c r="F814" s="25">
        <v>6282.8571428571422</v>
      </c>
    </row>
    <row r="815" spans="1:6">
      <c r="A815" t="str">
        <f>IFERROR(VLOOKUP(B815,[1]銷貨單品號主檔!$A:$D,4,0),"學習周邊")</f>
        <v>學習</v>
      </c>
      <c r="B815" s="22" t="s">
        <v>118</v>
      </c>
      <c r="C815" s="22" t="s">
        <v>76</v>
      </c>
      <c r="D815" s="22" t="s">
        <v>174</v>
      </c>
      <c r="E815" s="25">
        <v>1</v>
      </c>
      <c r="F815" s="25">
        <v>2094.2857142857142</v>
      </c>
    </row>
    <row r="816" spans="1:6">
      <c r="A816" t="str">
        <f>IFERROR(VLOOKUP(B816,[1]銷貨單品號主檔!$A:$D,4,0),"學習周邊")</f>
        <v>學習</v>
      </c>
      <c r="B816" s="22" t="s">
        <v>118</v>
      </c>
      <c r="C816" s="22" t="s">
        <v>78</v>
      </c>
      <c r="D816" s="22" t="s">
        <v>174</v>
      </c>
      <c r="E816" s="25">
        <v>3</v>
      </c>
      <c r="F816" s="25">
        <v>6282.8571428571422</v>
      </c>
    </row>
    <row r="817" spans="1:6">
      <c r="A817" t="str">
        <f>IFERROR(VLOOKUP(B817,[1]銷貨單品號主檔!$A:$D,4,0),"學習周邊")</f>
        <v>學習</v>
      </c>
      <c r="B817" s="22" t="s">
        <v>118</v>
      </c>
      <c r="C817" s="22" t="s">
        <v>83</v>
      </c>
      <c r="D817" s="22" t="s">
        <v>54</v>
      </c>
      <c r="E817" s="25">
        <v>2</v>
      </c>
      <c r="F817" s="25">
        <v>4188.5714285714284</v>
      </c>
    </row>
    <row r="818" spans="1:6">
      <c r="A818" t="str">
        <f>IFERROR(VLOOKUP(B818,[1]銷貨單品號主檔!$A:$D,4,0),"學習周邊")</f>
        <v>學習</v>
      </c>
      <c r="B818" s="22" t="s">
        <v>118</v>
      </c>
      <c r="C818" s="22" t="s">
        <v>83</v>
      </c>
      <c r="D818" s="22" t="s">
        <v>174</v>
      </c>
      <c r="E818" s="25">
        <v>3</v>
      </c>
      <c r="F818" s="25">
        <v>6282.8571428571422</v>
      </c>
    </row>
    <row r="819" spans="1:6">
      <c r="A819" t="str">
        <f>IFERROR(VLOOKUP(B819,[1]銷貨單品號主檔!$A:$D,4,0),"學習周邊")</f>
        <v>學習</v>
      </c>
      <c r="B819" s="22" t="s">
        <v>118</v>
      </c>
      <c r="C819" s="22" t="s">
        <v>85</v>
      </c>
      <c r="D819" s="22" t="s">
        <v>54</v>
      </c>
      <c r="E819" s="25">
        <v>1</v>
      </c>
      <c r="F819" s="25">
        <v>2094.2857142857142</v>
      </c>
    </row>
    <row r="820" spans="1:6">
      <c r="A820" t="str">
        <f>IFERROR(VLOOKUP(B820,[1]銷貨單品號主檔!$A:$D,4,0),"學習周邊")</f>
        <v>學習</v>
      </c>
      <c r="B820" s="22" t="s">
        <v>118</v>
      </c>
      <c r="C820" s="22" t="s">
        <v>85</v>
      </c>
      <c r="D820" s="22" t="s">
        <v>174</v>
      </c>
      <c r="E820" s="25">
        <v>3</v>
      </c>
      <c r="F820" s="25">
        <v>6282.8571428571422</v>
      </c>
    </row>
    <row r="821" spans="1:6">
      <c r="A821" t="str">
        <f>IFERROR(VLOOKUP(B821,[1]銷貨單品號主檔!$A:$D,4,0),"學習周邊")</f>
        <v>學習</v>
      </c>
      <c r="B821" s="22" t="s">
        <v>118</v>
      </c>
      <c r="C821" s="22" t="s">
        <v>87</v>
      </c>
      <c r="D821" s="22" t="s">
        <v>54</v>
      </c>
      <c r="E821" s="25">
        <v>3</v>
      </c>
      <c r="F821" s="25">
        <v>6282.8571428571422</v>
      </c>
    </row>
    <row r="822" spans="1:6">
      <c r="A822" t="str">
        <f>IFERROR(VLOOKUP(B822,[1]銷貨單品號主檔!$A:$D,4,0),"學習周邊")</f>
        <v>學習</v>
      </c>
      <c r="B822" s="22" t="s">
        <v>118</v>
      </c>
      <c r="C822" s="22" t="s">
        <v>87</v>
      </c>
      <c r="D822" s="22" t="s">
        <v>174</v>
      </c>
      <c r="E822" s="25">
        <v>12</v>
      </c>
      <c r="F822" s="25">
        <v>25131.428571428569</v>
      </c>
    </row>
    <row r="823" spans="1:6">
      <c r="A823" t="str">
        <f>IFERROR(VLOOKUP(B823,[1]銷貨單品號主檔!$A:$D,4,0),"學習周邊")</f>
        <v>學習</v>
      </c>
      <c r="B823" s="22" t="s">
        <v>118</v>
      </c>
      <c r="C823" s="22" t="s">
        <v>90</v>
      </c>
      <c r="D823" s="22" t="s">
        <v>54</v>
      </c>
      <c r="E823" s="25">
        <v>3</v>
      </c>
      <c r="F823" s="25">
        <v>6282.8571428571422</v>
      </c>
    </row>
    <row r="824" spans="1:6">
      <c r="A824" t="str">
        <f>IFERROR(VLOOKUP(B824,[1]銷貨單品號主檔!$A:$D,4,0),"學習周邊")</f>
        <v>學習</v>
      </c>
      <c r="B824" s="22" t="s">
        <v>118</v>
      </c>
      <c r="C824" s="22" t="s">
        <v>53</v>
      </c>
      <c r="D824" s="22" t="s">
        <v>54</v>
      </c>
      <c r="E824" s="25">
        <v>2</v>
      </c>
      <c r="F824" s="25">
        <v>4188.5714285714284</v>
      </c>
    </row>
    <row r="825" spans="1:6">
      <c r="A825" t="str">
        <f>IFERROR(VLOOKUP(B825,[1]銷貨單品號主檔!$A:$D,4,0),"學習周邊")</f>
        <v>學習</v>
      </c>
      <c r="B825" s="22" t="s">
        <v>118</v>
      </c>
      <c r="C825" s="22" t="s">
        <v>92</v>
      </c>
      <c r="D825" s="22" t="s">
        <v>174</v>
      </c>
      <c r="E825" s="25">
        <v>8</v>
      </c>
      <c r="F825" s="25">
        <v>16754.285714285714</v>
      </c>
    </row>
    <row r="826" spans="1:6">
      <c r="A826" t="str">
        <f>IFERROR(VLOOKUP(B826,[1]銷貨單品號主檔!$A:$D,4,0),"學習周邊")</f>
        <v>學習</v>
      </c>
      <c r="B826" s="22" t="s">
        <v>118</v>
      </c>
      <c r="C826" s="22" t="s">
        <v>326</v>
      </c>
      <c r="D826" s="22" t="s">
        <v>174</v>
      </c>
      <c r="E826" s="25">
        <v>6</v>
      </c>
      <c r="F826" s="25">
        <v>12565.714285714284</v>
      </c>
    </row>
    <row r="827" spans="1:6">
      <c r="A827" t="str">
        <f>IFERROR(VLOOKUP(B827,[1]銷貨單品號主檔!$A:$D,4,0),"學習周邊")</f>
        <v>學習</v>
      </c>
      <c r="B827" s="22" t="s">
        <v>118</v>
      </c>
      <c r="C827" s="22" t="s">
        <v>328</v>
      </c>
      <c r="D827" s="22" t="s">
        <v>54</v>
      </c>
      <c r="E827" s="25">
        <v>2</v>
      </c>
      <c r="F827" s="25">
        <v>4188.5714285714284</v>
      </c>
    </row>
    <row r="828" spans="1:6">
      <c r="A828" t="str">
        <f>IFERROR(VLOOKUP(B828,[1]銷貨單品號主檔!$A:$D,4,0),"學習周邊")</f>
        <v>學習</v>
      </c>
      <c r="B828" s="22" t="s">
        <v>118</v>
      </c>
      <c r="C828" s="22" t="s">
        <v>328</v>
      </c>
      <c r="D828" s="22" t="s">
        <v>174</v>
      </c>
      <c r="E828" s="25">
        <v>14</v>
      </c>
      <c r="F828" s="25">
        <v>29320</v>
      </c>
    </row>
    <row r="829" spans="1:6">
      <c r="A829" t="str">
        <f>IFERROR(VLOOKUP(B829,[1]銷貨單品號主檔!$A:$D,4,0),"學習周邊")</f>
        <v>學習</v>
      </c>
      <c r="B829" s="22" t="s">
        <v>118</v>
      </c>
      <c r="C829" s="22" t="s">
        <v>329</v>
      </c>
      <c r="D829" s="22" t="s">
        <v>54</v>
      </c>
      <c r="E829" s="25">
        <v>2</v>
      </c>
      <c r="F829" s="25">
        <v>4188.5714285714284</v>
      </c>
    </row>
    <row r="830" spans="1:6">
      <c r="A830" t="str">
        <f>IFERROR(VLOOKUP(B830,[1]銷貨單品號主檔!$A:$D,4,0),"學習周邊")</f>
        <v>學習</v>
      </c>
      <c r="B830" s="22" t="s">
        <v>118</v>
      </c>
      <c r="C830" s="22" t="s">
        <v>329</v>
      </c>
      <c r="D830" s="22" t="s">
        <v>174</v>
      </c>
      <c r="E830" s="25">
        <v>3</v>
      </c>
      <c r="F830" s="25">
        <v>6282.8571428571422</v>
      </c>
    </row>
    <row r="831" spans="1:6">
      <c r="A831" t="str">
        <f>IFERROR(VLOOKUP(B831,[1]銷貨單品號主檔!$A:$D,4,0),"學習周邊")</f>
        <v>學習</v>
      </c>
      <c r="B831" s="22" t="s">
        <v>118</v>
      </c>
      <c r="C831" s="22" t="s">
        <v>332</v>
      </c>
      <c r="D831" s="22" t="s">
        <v>54</v>
      </c>
      <c r="E831" s="25">
        <v>2</v>
      </c>
      <c r="F831" s="25">
        <v>4188.5714285714284</v>
      </c>
    </row>
    <row r="832" spans="1:6">
      <c r="A832" t="str">
        <f>IFERROR(VLOOKUP(B832,[1]銷貨單品號主檔!$A:$D,4,0),"學習周邊")</f>
        <v>學習</v>
      </c>
      <c r="B832" s="22" t="s">
        <v>118</v>
      </c>
      <c r="C832" s="22" t="s">
        <v>332</v>
      </c>
      <c r="D832" s="22" t="s">
        <v>174</v>
      </c>
      <c r="E832" s="25">
        <v>6</v>
      </c>
      <c r="F832" s="25">
        <v>12565.714285714284</v>
      </c>
    </row>
    <row r="833" spans="1:6">
      <c r="A833" t="str">
        <f>IFERROR(VLOOKUP(B833,[1]銷貨單品號主檔!$A:$D,4,0),"學習周邊")</f>
        <v>學習</v>
      </c>
      <c r="B833" s="22" t="s">
        <v>118</v>
      </c>
      <c r="C833" s="22" t="s">
        <v>330</v>
      </c>
      <c r="D833" s="22" t="s">
        <v>54</v>
      </c>
      <c r="E833" s="25">
        <v>3</v>
      </c>
      <c r="F833" s="25">
        <v>6282.8571428571422</v>
      </c>
    </row>
    <row r="834" spans="1:6">
      <c r="A834" t="str">
        <f>IFERROR(VLOOKUP(B834,[1]銷貨單品號主檔!$A:$D,4,0),"學習周邊")</f>
        <v>學習</v>
      </c>
      <c r="B834" s="22" t="s">
        <v>118</v>
      </c>
      <c r="C834" s="22" t="s">
        <v>330</v>
      </c>
      <c r="D834" s="22" t="s">
        <v>174</v>
      </c>
      <c r="E834" s="25">
        <v>2</v>
      </c>
      <c r="F834" s="25">
        <v>4188.5714285714284</v>
      </c>
    </row>
    <row r="835" spans="1:6">
      <c r="A835" t="str">
        <f>IFERROR(VLOOKUP(B835,[1]銷貨單品號主檔!$A:$D,4,0),"學習周邊")</f>
        <v>學習</v>
      </c>
      <c r="B835" s="22" t="s">
        <v>118</v>
      </c>
      <c r="C835" s="22" t="s">
        <v>331</v>
      </c>
      <c r="D835" s="22" t="s">
        <v>174</v>
      </c>
      <c r="E835" s="25">
        <v>6</v>
      </c>
      <c r="F835" s="25">
        <v>12565.714285714284</v>
      </c>
    </row>
    <row r="836" spans="1:6">
      <c r="A836" t="str">
        <f>IFERROR(VLOOKUP(B836,[1]銷貨單品號主檔!$A:$D,4,0),"學習周邊")</f>
        <v>學習</v>
      </c>
      <c r="B836" s="22" t="s">
        <v>118</v>
      </c>
      <c r="C836" s="22" t="s">
        <v>349</v>
      </c>
      <c r="D836" s="22" t="s">
        <v>54</v>
      </c>
      <c r="E836" s="25">
        <v>1</v>
      </c>
      <c r="F836" s="25">
        <v>2094.2857142857142</v>
      </c>
    </row>
    <row r="837" spans="1:6">
      <c r="A837" t="str">
        <f>IFERROR(VLOOKUP(B837,[1]銷貨單品號主檔!$A:$D,4,0),"學習周邊")</f>
        <v>學習</v>
      </c>
      <c r="B837" s="22" t="s">
        <v>118</v>
      </c>
      <c r="C837" s="22" t="s">
        <v>349</v>
      </c>
      <c r="D837" s="22" t="s">
        <v>174</v>
      </c>
      <c r="E837" s="25">
        <v>5</v>
      </c>
      <c r="F837" s="25">
        <v>10471.428571428571</v>
      </c>
    </row>
    <row r="838" spans="1:6">
      <c r="A838" t="str">
        <f>IFERROR(VLOOKUP(B838,[1]銷貨單品號主檔!$A:$D,4,0),"學習周邊")</f>
        <v>學習</v>
      </c>
      <c r="B838" s="22" t="s">
        <v>118</v>
      </c>
      <c r="C838" s="22" t="s">
        <v>354</v>
      </c>
      <c r="D838" s="22" t="s">
        <v>54</v>
      </c>
      <c r="E838" s="25">
        <v>4</v>
      </c>
      <c r="F838" s="25">
        <v>8377.1428571428569</v>
      </c>
    </row>
    <row r="839" spans="1:6">
      <c r="A839" t="str">
        <f>IFERROR(VLOOKUP(B839,[1]銷貨單品號主檔!$A:$D,4,0),"學習周邊")</f>
        <v>學習</v>
      </c>
      <c r="B839" s="22" t="s">
        <v>118</v>
      </c>
      <c r="C839" s="22" t="s">
        <v>354</v>
      </c>
      <c r="D839" s="22" t="s">
        <v>174</v>
      </c>
      <c r="E839" s="25">
        <v>19</v>
      </c>
      <c r="F839" s="25">
        <v>39791.428571428572</v>
      </c>
    </row>
    <row r="840" spans="1:6">
      <c r="A840" t="str">
        <f>IFERROR(VLOOKUP(B840,[1]銷貨單品號主檔!$A:$D,4,0),"學習周邊")</f>
        <v>學習</v>
      </c>
      <c r="B840" s="22" t="s">
        <v>118</v>
      </c>
      <c r="C840" s="22" t="s">
        <v>353</v>
      </c>
      <c r="D840" s="22" t="s">
        <v>54</v>
      </c>
      <c r="E840" s="25">
        <v>2</v>
      </c>
      <c r="F840" s="25">
        <v>4188.5714285714284</v>
      </c>
    </row>
    <row r="841" spans="1:6">
      <c r="A841" t="str">
        <f>IFERROR(VLOOKUP(B841,[1]銷貨單品號主檔!$A:$D,4,0),"學習周邊")</f>
        <v>學習</v>
      </c>
      <c r="B841" s="22" t="s">
        <v>211</v>
      </c>
      <c r="C841" s="22" t="s">
        <v>331</v>
      </c>
      <c r="D841" s="22" t="s">
        <v>54</v>
      </c>
      <c r="E841" s="25">
        <v>1</v>
      </c>
      <c r="F841" s="25">
        <v>951.42857142857144</v>
      </c>
    </row>
    <row r="842" spans="1:6">
      <c r="A842" t="str">
        <f>IFERROR(VLOOKUP(B842,[1]銷貨單品號主檔!$A:$D,4,0),"學習周邊")</f>
        <v>學習</v>
      </c>
      <c r="B842" s="22" t="s">
        <v>327</v>
      </c>
      <c r="C842" s="22" t="s">
        <v>326</v>
      </c>
      <c r="D842" s="22" t="s">
        <v>174</v>
      </c>
      <c r="E842" s="25">
        <v>1</v>
      </c>
      <c r="F842" s="25">
        <v>951.42857142857144</v>
      </c>
    </row>
    <row r="843" spans="1:6">
      <c r="A843" t="str">
        <f>IFERROR(VLOOKUP(B843,[1]銷貨單品號主檔!$A:$D,4,0),"學習周邊")</f>
        <v>學習</v>
      </c>
      <c r="B843" s="22" t="s">
        <v>291</v>
      </c>
      <c r="C843" s="22" t="s">
        <v>65</v>
      </c>
      <c r="D843" s="22" t="s">
        <v>54</v>
      </c>
      <c r="E843" s="25">
        <v>1</v>
      </c>
      <c r="F843" s="25">
        <v>1190.4761904761904</v>
      </c>
    </row>
    <row r="844" spans="1:6">
      <c r="A844" t="str">
        <f>IFERROR(VLOOKUP(B844,[1]銷貨單品號主檔!$A:$D,4,0),"學習周邊")</f>
        <v>學習</v>
      </c>
      <c r="B844" s="22" t="s">
        <v>355</v>
      </c>
      <c r="C844" s="22" t="s">
        <v>354</v>
      </c>
      <c r="D844" s="22" t="s">
        <v>174</v>
      </c>
      <c r="E844" s="25">
        <v>1</v>
      </c>
      <c r="F844" s="25">
        <v>1190.4761904761904</v>
      </c>
    </row>
    <row r="845" spans="1:6">
      <c r="A845" t="str">
        <f>IFERROR(VLOOKUP(B845,[1]銷貨單品號主檔!$A:$D,4,0),"學習周邊")</f>
        <v>學習</v>
      </c>
      <c r="B845" s="22" t="s">
        <v>292</v>
      </c>
      <c r="C845" s="22" t="s">
        <v>85</v>
      </c>
      <c r="D845" s="22" t="s">
        <v>54</v>
      </c>
      <c r="E845" s="25">
        <v>1</v>
      </c>
      <c r="F845" s="25">
        <v>1190.4761904761904</v>
      </c>
    </row>
    <row r="846" spans="1:6">
      <c r="A846" t="str">
        <f>IFERROR(VLOOKUP(B846,[1]銷貨單品號主檔!$A:$D,4,0),"學習周邊")</f>
        <v>學習</v>
      </c>
      <c r="B846" s="22" t="s">
        <v>141</v>
      </c>
      <c r="C846" s="22" t="s">
        <v>56</v>
      </c>
      <c r="D846" s="22" t="s">
        <v>54</v>
      </c>
      <c r="E846" s="25">
        <v>1</v>
      </c>
      <c r="F846" s="25">
        <v>4666.6666666666661</v>
      </c>
    </row>
    <row r="847" spans="1:6">
      <c r="A847" t="str">
        <f>IFERROR(VLOOKUP(B847,[1]銷貨單品號主檔!$A:$D,4,0),"學習周邊")</f>
        <v>學習</v>
      </c>
      <c r="B847" s="22" t="s">
        <v>141</v>
      </c>
      <c r="C847" s="22" t="s">
        <v>62</v>
      </c>
      <c r="D847" s="22" t="s">
        <v>54</v>
      </c>
      <c r="E847" s="25">
        <v>1</v>
      </c>
      <c r="F847" s="25">
        <v>4666.6666666666661</v>
      </c>
    </row>
    <row r="848" spans="1:6">
      <c r="A848" t="str">
        <f>IFERROR(VLOOKUP(B848,[1]銷貨單品號主檔!$A:$D,4,0),"學習周邊")</f>
        <v>學習</v>
      </c>
      <c r="B848" s="22" t="s">
        <v>141</v>
      </c>
      <c r="C848" s="22" t="s">
        <v>65</v>
      </c>
      <c r="D848" s="22" t="s">
        <v>54</v>
      </c>
      <c r="E848" s="25">
        <v>1</v>
      </c>
      <c r="F848" s="25">
        <v>4666.6666666666661</v>
      </c>
    </row>
    <row r="849" spans="1:6">
      <c r="A849" t="str">
        <f>IFERROR(VLOOKUP(B849,[1]銷貨單品號主檔!$A:$D,4,0),"學習周邊")</f>
        <v>學習</v>
      </c>
      <c r="B849" s="22" t="s">
        <v>141</v>
      </c>
      <c r="C849" s="22" t="s">
        <v>67</v>
      </c>
      <c r="D849" s="22" t="s">
        <v>54</v>
      </c>
      <c r="E849" s="25">
        <v>1</v>
      </c>
      <c r="F849" s="25">
        <v>4666.6666666666661</v>
      </c>
    </row>
    <row r="850" spans="1:6">
      <c r="A850" t="str">
        <f>IFERROR(VLOOKUP(B850,[1]銷貨單品號主檔!$A:$D,4,0),"學習周邊")</f>
        <v>學習</v>
      </c>
      <c r="B850" s="22" t="s">
        <v>141</v>
      </c>
      <c r="C850" s="22" t="s">
        <v>73</v>
      </c>
      <c r="D850" s="22" t="s">
        <v>54</v>
      </c>
      <c r="E850" s="25">
        <v>1</v>
      </c>
      <c r="F850" s="25">
        <v>4666.6666666666661</v>
      </c>
    </row>
    <row r="851" spans="1:6">
      <c r="A851" t="str">
        <f>IFERROR(VLOOKUP(B851,[1]銷貨單品號主檔!$A:$D,4,0),"學習周邊")</f>
        <v>學習</v>
      </c>
      <c r="B851" s="22" t="s">
        <v>141</v>
      </c>
      <c r="C851" s="22" t="s">
        <v>59</v>
      </c>
      <c r="D851" s="22" t="s">
        <v>54</v>
      </c>
      <c r="E851" s="25">
        <v>2</v>
      </c>
      <c r="F851" s="25">
        <v>9333.3333333333321</v>
      </c>
    </row>
    <row r="852" spans="1:6">
      <c r="A852" t="str">
        <f>IFERROR(VLOOKUP(B852,[1]銷貨單品號主檔!$A:$D,4,0),"學習周邊")</f>
        <v>學習</v>
      </c>
      <c r="B852" s="22" t="s">
        <v>141</v>
      </c>
      <c r="C852" s="22" t="s">
        <v>66</v>
      </c>
      <c r="D852" s="22" t="s">
        <v>54</v>
      </c>
      <c r="E852" s="25">
        <v>1</v>
      </c>
      <c r="F852" s="25">
        <v>4666.6666666666661</v>
      </c>
    </row>
    <row r="853" spans="1:6">
      <c r="A853" t="str">
        <f>IFERROR(VLOOKUP(B853,[1]銷貨單品號主檔!$A:$D,4,0),"學習周邊")</f>
        <v>學習</v>
      </c>
      <c r="B853" s="22" t="s">
        <v>141</v>
      </c>
      <c r="C853" s="22" t="s">
        <v>66</v>
      </c>
      <c r="D853" s="22" t="s">
        <v>174</v>
      </c>
      <c r="E853" s="25">
        <v>10</v>
      </c>
      <c r="F853" s="25">
        <v>46666.666666666664</v>
      </c>
    </row>
    <row r="854" spans="1:6">
      <c r="A854" t="str">
        <f>IFERROR(VLOOKUP(B854,[1]銷貨單品號主檔!$A:$D,4,0),"學習周邊")</f>
        <v>學習</v>
      </c>
      <c r="B854" s="22" t="s">
        <v>141</v>
      </c>
      <c r="C854" s="22" t="s">
        <v>107</v>
      </c>
      <c r="D854" s="22" t="s">
        <v>54</v>
      </c>
      <c r="E854" s="25">
        <v>3</v>
      </c>
      <c r="F854" s="25">
        <v>14000</v>
      </c>
    </row>
    <row r="855" spans="1:6">
      <c r="A855" t="str">
        <f>IFERROR(VLOOKUP(B855,[1]銷貨單品號主檔!$A:$D,4,0),"學習周邊")</f>
        <v>學習</v>
      </c>
      <c r="B855" s="22" t="s">
        <v>141</v>
      </c>
      <c r="C855" s="22" t="s">
        <v>107</v>
      </c>
      <c r="D855" s="22" t="s">
        <v>174</v>
      </c>
      <c r="E855" s="25">
        <v>1</v>
      </c>
      <c r="F855" s="25">
        <v>4666.6666666666661</v>
      </c>
    </row>
    <row r="856" spans="1:6">
      <c r="A856" t="str">
        <f>IFERROR(VLOOKUP(B856,[1]銷貨單品號主檔!$A:$D,4,0),"學習周邊")</f>
        <v>學習</v>
      </c>
      <c r="B856" s="22" t="s">
        <v>141</v>
      </c>
      <c r="C856" s="22" t="s">
        <v>72</v>
      </c>
      <c r="D856" s="22" t="s">
        <v>54</v>
      </c>
      <c r="E856" s="25">
        <v>2</v>
      </c>
      <c r="F856" s="25">
        <v>9333.3333333333321</v>
      </c>
    </row>
    <row r="857" spans="1:6">
      <c r="A857" t="str">
        <f>IFERROR(VLOOKUP(B857,[1]銷貨單品號主檔!$A:$D,4,0),"學習周邊")</f>
        <v>學習</v>
      </c>
      <c r="B857" s="22" t="s">
        <v>141</v>
      </c>
      <c r="C857" s="22" t="s">
        <v>72</v>
      </c>
      <c r="D857" s="22" t="s">
        <v>174</v>
      </c>
      <c r="E857" s="25">
        <v>2</v>
      </c>
      <c r="F857" s="25">
        <v>9333.3333333333321</v>
      </c>
    </row>
    <row r="858" spans="1:6">
      <c r="A858" t="str">
        <f>IFERROR(VLOOKUP(B858,[1]銷貨單品號主檔!$A:$D,4,0),"學習周邊")</f>
        <v>學習</v>
      </c>
      <c r="B858" s="22" t="s">
        <v>141</v>
      </c>
      <c r="C858" s="22" t="s">
        <v>76</v>
      </c>
      <c r="D858" s="22" t="s">
        <v>54</v>
      </c>
      <c r="E858" s="25">
        <v>2</v>
      </c>
      <c r="F858" s="25">
        <v>9333.3333333333321</v>
      </c>
    </row>
    <row r="859" spans="1:6">
      <c r="A859" t="str">
        <f>IFERROR(VLOOKUP(B859,[1]銷貨單品號主檔!$A:$D,4,0),"學習周邊")</f>
        <v>學習</v>
      </c>
      <c r="B859" s="22" t="s">
        <v>141</v>
      </c>
      <c r="C859" s="22" t="s">
        <v>76</v>
      </c>
      <c r="D859" s="22" t="s">
        <v>174</v>
      </c>
      <c r="E859" s="25">
        <v>2</v>
      </c>
      <c r="F859" s="25">
        <v>9333.3333333333321</v>
      </c>
    </row>
    <row r="860" spans="1:6">
      <c r="A860" t="str">
        <f>IFERROR(VLOOKUP(B860,[1]銷貨單品號主檔!$A:$D,4,0),"學習周邊")</f>
        <v>學習</v>
      </c>
      <c r="B860" s="22" t="s">
        <v>141</v>
      </c>
      <c r="C860" s="22" t="s">
        <v>78</v>
      </c>
      <c r="D860" s="22" t="s">
        <v>54</v>
      </c>
      <c r="E860" s="25">
        <v>2</v>
      </c>
      <c r="F860" s="25">
        <v>9333.3333333333321</v>
      </c>
    </row>
    <row r="861" spans="1:6">
      <c r="A861" t="str">
        <f>IFERROR(VLOOKUP(B861,[1]銷貨單品號主檔!$A:$D,4,0),"學習周邊")</f>
        <v>學習</v>
      </c>
      <c r="B861" s="22" t="s">
        <v>141</v>
      </c>
      <c r="C861" s="22" t="s">
        <v>78</v>
      </c>
      <c r="D861" s="22" t="s">
        <v>174</v>
      </c>
      <c r="E861" s="25">
        <v>2</v>
      </c>
      <c r="F861" s="25">
        <v>9333.3333333333321</v>
      </c>
    </row>
    <row r="862" spans="1:6">
      <c r="A862" t="str">
        <f>IFERROR(VLOOKUP(B862,[1]銷貨單品號主檔!$A:$D,4,0),"學習周邊")</f>
        <v>學習</v>
      </c>
      <c r="B862" s="22" t="s">
        <v>141</v>
      </c>
      <c r="C862" s="22" t="s">
        <v>81</v>
      </c>
      <c r="D862" s="22" t="s">
        <v>54</v>
      </c>
      <c r="E862" s="25">
        <v>1</v>
      </c>
      <c r="F862" s="25">
        <v>4666.6666666666661</v>
      </c>
    </row>
    <row r="863" spans="1:6">
      <c r="A863" t="str">
        <f>IFERROR(VLOOKUP(B863,[1]銷貨單品號主檔!$A:$D,4,0),"學習周邊")</f>
        <v>學習</v>
      </c>
      <c r="B863" s="22" t="s">
        <v>141</v>
      </c>
      <c r="C863" s="22" t="s">
        <v>81</v>
      </c>
      <c r="D863" s="22" t="s">
        <v>174</v>
      </c>
      <c r="E863" s="25">
        <v>1</v>
      </c>
      <c r="F863" s="25">
        <v>4666.6666666666661</v>
      </c>
    </row>
    <row r="864" spans="1:6">
      <c r="A864" t="str">
        <f>IFERROR(VLOOKUP(B864,[1]銷貨單品號主檔!$A:$D,4,0),"學習周邊")</f>
        <v>學習</v>
      </c>
      <c r="B864" s="22" t="s">
        <v>141</v>
      </c>
      <c r="C864" s="22" t="s">
        <v>83</v>
      </c>
      <c r="D864" s="22" t="s">
        <v>174</v>
      </c>
      <c r="E864" s="25">
        <v>3</v>
      </c>
      <c r="F864" s="25">
        <v>14000</v>
      </c>
    </row>
    <row r="865" spans="1:6">
      <c r="A865" t="str">
        <f>IFERROR(VLOOKUP(B865,[1]銷貨單品號主檔!$A:$D,4,0),"學習周邊")</f>
        <v>學習</v>
      </c>
      <c r="B865" s="22" t="s">
        <v>141</v>
      </c>
      <c r="C865" s="22" t="s">
        <v>85</v>
      </c>
      <c r="D865" s="22" t="s">
        <v>174</v>
      </c>
      <c r="E865" s="25">
        <v>4</v>
      </c>
      <c r="F865" s="25">
        <v>18666.666666666664</v>
      </c>
    </row>
    <row r="866" spans="1:6">
      <c r="A866" t="str">
        <f>IFERROR(VLOOKUP(B866,[1]銷貨單品號主檔!$A:$D,4,0),"學習周邊")</f>
        <v>學習</v>
      </c>
      <c r="B866" s="22" t="s">
        <v>141</v>
      </c>
      <c r="C866" s="22" t="s">
        <v>87</v>
      </c>
      <c r="D866" s="22" t="s">
        <v>54</v>
      </c>
      <c r="E866" s="25">
        <v>1</v>
      </c>
      <c r="F866" s="25">
        <v>4666.6666666666661</v>
      </c>
    </row>
    <row r="867" spans="1:6">
      <c r="A867" t="str">
        <f>IFERROR(VLOOKUP(B867,[1]銷貨單品號主檔!$A:$D,4,0),"學習周邊")</f>
        <v>學習</v>
      </c>
      <c r="B867" s="22" t="s">
        <v>141</v>
      </c>
      <c r="C867" s="22" t="s">
        <v>87</v>
      </c>
      <c r="D867" s="22" t="s">
        <v>174</v>
      </c>
      <c r="E867" s="25">
        <v>14</v>
      </c>
      <c r="F867" s="25">
        <v>65333.333333333328</v>
      </c>
    </row>
    <row r="868" spans="1:6">
      <c r="A868" t="str">
        <f>IFERROR(VLOOKUP(B868,[1]銷貨單品號主檔!$A:$D,4,0),"學習周邊")</f>
        <v>學習</v>
      </c>
      <c r="B868" s="22" t="s">
        <v>141</v>
      </c>
      <c r="C868" s="22" t="s">
        <v>90</v>
      </c>
      <c r="D868" s="22" t="s">
        <v>54</v>
      </c>
      <c r="E868" s="25">
        <v>1</v>
      </c>
      <c r="F868" s="25">
        <v>4666.6666666666661</v>
      </c>
    </row>
    <row r="869" spans="1:6">
      <c r="A869" t="str">
        <f>IFERROR(VLOOKUP(B869,[1]銷貨單品號主檔!$A:$D,4,0),"學習周邊")</f>
        <v>學習</v>
      </c>
      <c r="B869" s="22" t="s">
        <v>141</v>
      </c>
      <c r="C869" s="22" t="s">
        <v>88</v>
      </c>
      <c r="D869" s="22" t="s">
        <v>54</v>
      </c>
      <c r="E869" s="25">
        <v>1</v>
      </c>
      <c r="F869" s="25">
        <v>4666.6666666666661</v>
      </c>
    </row>
    <row r="870" spans="1:6">
      <c r="A870" t="str">
        <f>IFERROR(VLOOKUP(B870,[1]銷貨單品號主檔!$A:$D,4,0),"學習周邊")</f>
        <v>學習</v>
      </c>
      <c r="B870" s="22" t="s">
        <v>141</v>
      </c>
      <c r="C870" s="22" t="s">
        <v>53</v>
      </c>
      <c r="D870" s="22" t="s">
        <v>54</v>
      </c>
      <c r="E870" s="25">
        <v>1</v>
      </c>
      <c r="F870" s="25">
        <v>4666.6666666666661</v>
      </c>
    </row>
    <row r="871" spans="1:6">
      <c r="A871" t="str">
        <f>IFERROR(VLOOKUP(B871,[1]銷貨單品號主檔!$A:$D,4,0),"學習周邊")</f>
        <v>學習</v>
      </c>
      <c r="B871" s="22" t="s">
        <v>141</v>
      </c>
      <c r="C871" s="22" t="s">
        <v>92</v>
      </c>
      <c r="D871" s="22" t="s">
        <v>174</v>
      </c>
      <c r="E871" s="25">
        <v>2</v>
      </c>
      <c r="F871" s="25">
        <v>9333.3333333333321</v>
      </c>
    </row>
    <row r="872" spans="1:6">
      <c r="A872" t="str">
        <f>IFERROR(VLOOKUP(B872,[1]銷貨單品號主檔!$A:$D,4,0),"學習周邊")</f>
        <v>學習</v>
      </c>
      <c r="B872" s="22" t="s">
        <v>141</v>
      </c>
      <c r="C872" s="22" t="s">
        <v>326</v>
      </c>
      <c r="D872" s="22" t="s">
        <v>54</v>
      </c>
      <c r="E872" s="25">
        <v>2</v>
      </c>
      <c r="F872" s="25">
        <v>9333.3333333333321</v>
      </c>
    </row>
    <row r="873" spans="1:6">
      <c r="A873" t="str">
        <f>IFERROR(VLOOKUP(B873,[1]銷貨單品號主檔!$A:$D,4,0),"學習周邊")</f>
        <v>學習</v>
      </c>
      <c r="B873" s="22" t="s">
        <v>141</v>
      </c>
      <c r="C873" s="22" t="s">
        <v>328</v>
      </c>
      <c r="D873" s="22" t="s">
        <v>54</v>
      </c>
      <c r="E873" s="25">
        <v>1</v>
      </c>
      <c r="F873" s="25">
        <v>4666.6666666666661</v>
      </c>
    </row>
    <row r="874" spans="1:6">
      <c r="A874" t="str">
        <f>IFERROR(VLOOKUP(B874,[1]銷貨單品號主檔!$A:$D,4,0),"學習周邊")</f>
        <v>學習</v>
      </c>
      <c r="B874" s="22" t="s">
        <v>141</v>
      </c>
      <c r="C874" s="22" t="s">
        <v>329</v>
      </c>
      <c r="D874" s="22" t="s">
        <v>54</v>
      </c>
      <c r="E874" s="25">
        <v>1</v>
      </c>
      <c r="F874" s="25">
        <v>4666.6666666666661</v>
      </c>
    </row>
    <row r="875" spans="1:6">
      <c r="A875" t="str">
        <f>IFERROR(VLOOKUP(B875,[1]銷貨單品號主檔!$A:$D,4,0),"學習周邊")</f>
        <v>學習</v>
      </c>
      <c r="B875" s="22" t="s">
        <v>141</v>
      </c>
      <c r="C875" s="22" t="s">
        <v>332</v>
      </c>
      <c r="D875" s="22" t="s">
        <v>174</v>
      </c>
      <c r="E875" s="25">
        <v>1</v>
      </c>
      <c r="F875" s="25">
        <v>4666.6666666666661</v>
      </c>
    </row>
    <row r="876" spans="1:6">
      <c r="A876" t="str">
        <f>IFERROR(VLOOKUP(B876,[1]銷貨單品號主檔!$A:$D,4,0),"學習周邊")</f>
        <v>學習</v>
      </c>
      <c r="B876" s="22" t="s">
        <v>141</v>
      </c>
      <c r="C876" s="22" t="s">
        <v>330</v>
      </c>
      <c r="D876" s="22" t="s">
        <v>54</v>
      </c>
      <c r="E876" s="25">
        <v>3</v>
      </c>
      <c r="F876" s="25">
        <v>14000</v>
      </c>
    </row>
    <row r="877" spans="1:6">
      <c r="A877" t="str">
        <f>IFERROR(VLOOKUP(B877,[1]銷貨單品號主檔!$A:$D,4,0),"學習周邊")</f>
        <v>學習</v>
      </c>
      <c r="B877" s="22" t="s">
        <v>141</v>
      </c>
      <c r="C877" s="22" t="s">
        <v>331</v>
      </c>
      <c r="D877" s="22" t="s">
        <v>54</v>
      </c>
      <c r="E877" s="25">
        <v>1</v>
      </c>
      <c r="F877" s="25">
        <v>4666.6666666666661</v>
      </c>
    </row>
    <row r="878" spans="1:6">
      <c r="A878" t="str">
        <f>IFERROR(VLOOKUP(B878,[1]銷貨單品號主檔!$A:$D,4,0),"學習周邊")</f>
        <v>學習</v>
      </c>
      <c r="B878" s="22" t="s">
        <v>141</v>
      </c>
      <c r="C878" s="22" t="s">
        <v>331</v>
      </c>
      <c r="D878" s="22" t="s">
        <v>174</v>
      </c>
      <c r="E878" s="25">
        <v>2</v>
      </c>
      <c r="F878" s="25">
        <v>9333.3333333333321</v>
      </c>
    </row>
    <row r="879" spans="1:6">
      <c r="A879" t="str">
        <f>IFERROR(VLOOKUP(B879,[1]銷貨單品號主檔!$A:$D,4,0),"學習周邊")</f>
        <v>學習</v>
      </c>
      <c r="B879" s="22" t="s">
        <v>141</v>
      </c>
      <c r="C879" s="22" t="s">
        <v>349</v>
      </c>
      <c r="D879" s="22" t="s">
        <v>54</v>
      </c>
      <c r="E879" s="25">
        <v>1</v>
      </c>
      <c r="F879" s="25">
        <v>4666.6666666666661</v>
      </c>
    </row>
    <row r="880" spans="1:6">
      <c r="A880" t="str">
        <f>IFERROR(VLOOKUP(B880,[1]銷貨單品號主檔!$A:$D,4,0),"學習周邊")</f>
        <v>學習</v>
      </c>
      <c r="B880" s="22" t="s">
        <v>141</v>
      </c>
      <c r="C880" s="22" t="s">
        <v>349</v>
      </c>
      <c r="D880" s="22" t="s">
        <v>174</v>
      </c>
      <c r="E880" s="25">
        <v>2</v>
      </c>
      <c r="F880" s="25">
        <v>9333.3333333333321</v>
      </c>
    </row>
    <row r="881" spans="1:6">
      <c r="A881" t="str">
        <f>IFERROR(VLOOKUP(B881,[1]銷貨單品號主檔!$A:$D,4,0),"學習周邊")</f>
        <v>學習</v>
      </c>
      <c r="B881" s="22" t="s">
        <v>141</v>
      </c>
      <c r="C881" s="22" t="s">
        <v>354</v>
      </c>
      <c r="D881" s="22" t="s">
        <v>174</v>
      </c>
      <c r="E881" s="25">
        <v>2</v>
      </c>
      <c r="F881" s="25">
        <v>9333.3333333333321</v>
      </c>
    </row>
    <row r="882" spans="1:6">
      <c r="A882" t="str">
        <f>IFERROR(VLOOKUP(B882,[1]銷貨單品號主檔!$A:$D,4,0),"學習周邊")</f>
        <v>學習</v>
      </c>
      <c r="B882" s="22" t="s">
        <v>141</v>
      </c>
      <c r="C882" s="22" t="s">
        <v>353</v>
      </c>
      <c r="D882" s="22" t="s">
        <v>54</v>
      </c>
      <c r="E882" s="25">
        <v>3</v>
      </c>
      <c r="F882" s="25">
        <v>14000</v>
      </c>
    </row>
    <row r="883" spans="1:6">
      <c r="A883" t="str">
        <f>IFERROR(VLOOKUP(B883,[1]銷貨單品號主檔!$A:$D,4,0),"學習周邊")</f>
        <v>學習周邊</v>
      </c>
      <c r="B883" s="22" t="s">
        <v>293</v>
      </c>
      <c r="C883" s="22" t="s">
        <v>72</v>
      </c>
      <c r="D883" s="22" t="s">
        <v>54</v>
      </c>
      <c r="E883" s="25">
        <v>1</v>
      </c>
      <c r="F883" s="25">
        <v>284.76190476190476</v>
      </c>
    </row>
    <row r="884" spans="1:6">
      <c r="A884" t="str">
        <f>IFERROR(VLOOKUP(B884,[1]銷貨單品號主檔!$A:$D,4,0),"學習周邊")</f>
        <v>學習周邊</v>
      </c>
      <c r="B884" s="22" t="s">
        <v>293</v>
      </c>
      <c r="C884" s="22" t="s">
        <v>87</v>
      </c>
      <c r="D884" s="22" t="s">
        <v>54</v>
      </c>
      <c r="E884" s="25">
        <v>3</v>
      </c>
      <c r="F884" s="25">
        <v>854.28571428571422</v>
      </c>
    </row>
    <row r="885" spans="1:6">
      <c r="A885" t="str">
        <f>IFERROR(VLOOKUP(B885,[1]銷貨單品號主檔!$A:$D,4,0),"學習周邊")</f>
        <v>學習周邊</v>
      </c>
      <c r="B885" s="22" t="s">
        <v>293</v>
      </c>
      <c r="C885" s="22" t="s">
        <v>326</v>
      </c>
      <c r="D885" s="22" t="s">
        <v>54</v>
      </c>
      <c r="E885" s="25">
        <v>1</v>
      </c>
      <c r="F885" s="25">
        <v>284.76190476190476</v>
      </c>
    </row>
    <row r="886" spans="1:6">
      <c r="A886" t="str">
        <f>IFERROR(VLOOKUP(B886,[1]銷貨單品號主檔!$A:$D,4,0),"學習周邊")</f>
        <v>學習周邊</v>
      </c>
      <c r="B886" s="22" t="s">
        <v>293</v>
      </c>
      <c r="C886" s="22" t="s">
        <v>331</v>
      </c>
      <c r="D886" s="22" t="s">
        <v>54</v>
      </c>
      <c r="E886" s="25">
        <v>1</v>
      </c>
      <c r="F886" s="25">
        <v>284.76190476190476</v>
      </c>
    </row>
    <row r="887" spans="1:6">
      <c r="A887" t="str">
        <f>IFERROR(VLOOKUP(B887,[1]銷貨單品號主檔!$A:$D,4,0),"學習周邊")</f>
        <v>學習</v>
      </c>
      <c r="B887" s="22" t="s">
        <v>158</v>
      </c>
      <c r="C887" s="22" t="s">
        <v>56</v>
      </c>
      <c r="D887" s="22" t="s">
        <v>54</v>
      </c>
      <c r="E887" s="25">
        <v>5</v>
      </c>
      <c r="F887" s="25">
        <v>11423.809523809523</v>
      </c>
    </row>
    <row r="888" spans="1:6">
      <c r="A888" t="str">
        <f>IFERROR(VLOOKUP(B888,[1]銷貨單品號主檔!$A:$D,4,0),"學習周邊")</f>
        <v>學習</v>
      </c>
      <c r="B888" s="22" t="s">
        <v>158</v>
      </c>
      <c r="C888" s="22" t="s">
        <v>60</v>
      </c>
      <c r="D888" s="22" t="s">
        <v>54</v>
      </c>
      <c r="E888" s="25">
        <v>3</v>
      </c>
      <c r="F888" s="25">
        <v>6854.2857142857138</v>
      </c>
    </row>
    <row r="889" spans="1:6">
      <c r="A889" t="str">
        <f>IFERROR(VLOOKUP(B889,[1]銷貨單品號主檔!$A:$D,4,0),"學習周邊")</f>
        <v>學習</v>
      </c>
      <c r="B889" s="22" t="s">
        <v>158</v>
      </c>
      <c r="C889" s="22" t="s">
        <v>67</v>
      </c>
      <c r="D889" s="22" t="s">
        <v>54</v>
      </c>
      <c r="E889" s="25">
        <v>1</v>
      </c>
      <c r="F889" s="25">
        <v>2284.7619047619046</v>
      </c>
    </row>
    <row r="890" spans="1:6">
      <c r="A890" t="str">
        <f>IFERROR(VLOOKUP(B890,[1]銷貨單品號主檔!$A:$D,4,0),"學習周邊")</f>
        <v>學習</v>
      </c>
      <c r="B890" s="22" t="s">
        <v>158</v>
      </c>
      <c r="C890" s="22" t="s">
        <v>73</v>
      </c>
      <c r="D890" s="22" t="s">
        <v>54</v>
      </c>
      <c r="E890" s="25">
        <v>2</v>
      </c>
      <c r="F890" s="25">
        <v>4569.5238095238092</v>
      </c>
    </row>
    <row r="891" spans="1:6">
      <c r="A891" t="str">
        <f>IFERROR(VLOOKUP(B891,[1]銷貨單品號主檔!$A:$D,4,0),"學習周邊")</f>
        <v>學習</v>
      </c>
      <c r="B891" s="22" t="s">
        <v>158</v>
      </c>
      <c r="C891" s="22" t="s">
        <v>59</v>
      </c>
      <c r="D891" s="22" t="s">
        <v>54</v>
      </c>
      <c r="E891" s="25">
        <v>12</v>
      </c>
      <c r="F891" s="25">
        <v>27417.142857142855</v>
      </c>
    </row>
    <row r="892" spans="1:6">
      <c r="A892" t="str">
        <f>IFERROR(VLOOKUP(B892,[1]銷貨單品號主檔!$A:$D,4,0),"學習周邊")</f>
        <v>學習</v>
      </c>
      <c r="B892" s="22" t="s">
        <v>158</v>
      </c>
      <c r="C892" s="22" t="s">
        <v>66</v>
      </c>
      <c r="D892" s="22" t="s">
        <v>54</v>
      </c>
      <c r="E892" s="25">
        <v>7</v>
      </c>
      <c r="F892" s="25">
        <v>15993.333333333332</v>
      </c>
    </row>
    <row r="893" spans="1:6">
      <c r="A893" t="str">
        <f>IFERROR(VLOOKUP(B893,[1]銷貨單品號主檔!$A:$D,4,0),"學習周邊")</f>
        <v>學習</v>
      </c>
      <c r="B893" s="22" t="s">
        <v>158</v>
      </c>
      <c r="C893" s="22" t="s">
        <v>66</v>
      </c>
      <c r="D893" s="22" t="s">
        <v>174</v>
      </c>
      <c r="E893" s="25">
        <v>13</v>
      </c>
      <c r="F893" s="25">
        <v>29701.90476190476</v>
      </c>
    </row>
    <row r="894" spans="1:6">
      <c r="A894" t="str">
        <f>IFERROR(VLOOKUP(B894,[1]銷貨單品號主檔!$A:$D,4,0),"學習周邊")</f>
        <v>學習</v>
      </c>
      <c r="B894" s="22" t="s">
        <v>158</v>
      </c>
      <c r="C894" s="22" t="s">
        <v>107</v>
      </c>
      <c r="D894" s="22" t="s">
        <v>54</v>
      </c>
      <c r="E894" s="25">
        <v>8</v>
      </c>
      <c r="F894" s="25">
        <v>18278.095238095237</v>
      </c>
    </row>
    <row r="895" spans="1:6">
      <c r="A895" t="str">
        <f>IFERROR(VLOOKUP(B895,[1]銷貨單品號主檔!$A:$D,4,0),"學習周邊")</f>
        <v>學習</v>
      </c>
      <c r="B895" s="22" t="s">
        <v>158</v>
      </c>
      <c r="C895" s="22" t="s">
        <v>107</v>
      </c>
      <c r="D895" s="22" t="s">
        <v>174</v>
      </c>
      <c r="E895" s="25">
        <v>4</v>
      </c>
      <c r="F895" s="25">
        <v>9139.0476190476184</v>
      </c>
    </row>
    <row r="896" spans="1:6">
      <c r="A896" t="str">
        <f>IFERROR(VLOOKUP(B896,[1]銷貨單品號主檔!$A:$D,4,0),"學習周邊")</f>
        <v>學習</v>
      </c>
      <c r="B896" s="22" t="s">
        <v>158</v>
      </c>
      <c r="C896" s="22" t="s">
        <v>72</v>
      </c>
      <c r="D896" s="22" t="s">
        <v>54</v>
      </c>
      <c r="E896" s="25">
        <v>4</v>
      </c>
      <c r="F896" s="25">
        <v>9139.0476190476184</v>
      </c>
    </row>
    <row r="897" spans="1:6">
      <c r="A897" t="str">
        <f>IFERROR(VLOOKUP(B897,[1]銷貨單品號主檔!$A:$D,4,0),"學習周邊")</f>
        <v>學習</v>
      </c>
      <c r="B897" s="22" t="s">
        <v>158</v>
      </c>
      <c r="C897" s="22" t="s">
        <v>72</v>
      </c>
      <c r="D897" s="22" t="s">
        <v>174</v>
      </c>
      <c r="E897" s="25">
        <v>4</v>
      </c>
      <c r="F897" s="25">
        <v>9139.0476190476184</v>
      </c>
    </row>
    <row r="898" spans="1:6">
      <c r="A898" t="str">
        <f>IFERROR(VLOOKUP(B898,[1]銷貨單品號主檔!$A:$D,4,0),"學習周邊")</f>
        <v>學習</v>
      </c>
      <c r="B898" s="22" t="s">
        <v>158</v>
      </c>
      <c r="C898" s="22" t="s">
        <v>76</v>
      </c>
      <c r="D898" s="22" t="s">
        <v>54</v>
      </c>
      <c r="E898" s="25">
        <v>12</v>
      </c>
      <c r="F898" s="25">
        <v>27417.142857142855</v>
      </c>
    </row>
    <row r="899" spans="1:6">
      <c r="A899" t="str">
        <f>IFERROR(VLOOKUP(B899,[1]銷貨單品號主檔!$A:$D,4,0),"學習周邊")</f>
        <v>學習</v>
      </c>
      <c r="B899" s="22" t="s">
        <v>158</v>
      </c>
      <c r="C899" s="22" t="s">
        <v>76</v>
      </c>
      <c r="D899" s="22" t="s">
        <v>174</v>
      </c>
      <c r="E899" s="25">
        <v>3</v>
      </c>
      <c r="F899" s="25">
        <v>6854.2857142857138</v>
      </c>
    </row>
    <row r="900" spans="1:6">
      <c r="A900" t="str">
        <f>IFERROR(VLOOKUP(B900,[1]銷貨單品號主檔!$A:$D,4,0),"學習周邊")</f>
        <v>學習</v>
      </c>
      <c r="B900" s="22" t="s">
        <v>158</v>
      </c>
      <c r="C900" s="22" t="s">
        <v>78</v>
      </c>
      <c r="D900" s="22" t="s">
        <v>54</v>
      </c>
      <c r="E900" s="25">
        <v>5</v>
      </c>
      <c r="F900" s="25">
        <v>11423.809523809523</v>
      </c>
    </row>
    <row r="901" spans="1:6">
      <c r="A901" t="str">
        <f>IFERROR(VLOOKUP(B901,[1]銷貨單品號主檔!$A:$D,4,0),"學習周邊")</f>
        <v>學習</v>
      </c>
      <c r="B901" s="22" t="s">
        <v>158</v>
      </c>
      <c r="C901" s="22" t="s">
        <v>78</v>
      </c>
      <c r="D901" s="22" t="s">
        <v>174</v>
      </c>
      <c r="E901" s="25">
        <v>4</v>
      </c>
      <c r="F901" s="25">
        <v>9139.0476190476184</v>
      </c>
    </row>
    <row r="902" spans="1:6">
      <c r="A902" t="str">
        <f>IFERROR(VLOOKUP(B902,[1]銷貨單品號主檔!$A:$D,4,0),"學習周邊")</f>
        <v>學習</v>
      </c>
      <c r="B902" s="22" t="s">
        <v>158</v>
      </c>
      <c r="C902" s="22" t="s">
        <v>81</v>
      </c>
      <c r="D902" s="22" t="s">
        <v>54</v>
      </c>
      <c r="E902" s="25">
        <v>4</v>
      </c>
      <c r="F902" s="25">
        <v>9139.0476190476184</v>
      </c>
    </row>
    <row r="903" spans="1:6">
      <c r="A903" t="str">
        <f>IFERROR(VLOOKUP(B903,[1]銷貨單品號主檔!$A:$D,4,0),"學習周邊")</f>
        <v>學習</v>
      </c>
      <c r="B903" s="22" t="s">
        <v>158</v>
      </c>
      <c r="C903" s="22" t="s">
        <v>81</v>
      </c>
      <c r="D903" s="22" t="s">
        <v>174</v>
      </c>
      <c r="E903" s="25">
        <v>2</v>
      </c>
      <c r="F903" s="25">
        <v>4569.5238095238092</v>
      </c>
    </row>
    <row r="904" spans="1:6">
      <c r="A904" t="str">
        <f>IFERROR(VLOOKUP(B904,[1]銷貨單品號主檔!$A:$D,4,0),"學習周邊")</f>
        <v>學習</v>
      </c>
      <c r="B904" s="22" t="s">
        <v>158</v>
      </c>
      <c r="C904" s="22" t="s">
        <v>83</v>
      </c>
      <c r="D904" s="22" t="s">
        <v>54</v>
      </c>
      <c r="E904" s="25">
        <v>5</v>
      </c>
      <c r="F904" s="25">
        <v>11423.809523809523</v>
      </c>
    </row>
    <row r="905" spans="1:6">
      <c r="A905" t="str">
        <f>IFERROR(VLOOKUP(B905,[1]銷貨單品號主檔!$A:$D,4,0),"學習周邊")</f>
        <v>學習</v>
      </c>
      <c r="B905" s="22" t="s">
        <v>158</v>
      </c>
      <c r="C905" s="22" t="s">
        <v>83</v>
      </c>
      <c r="D905" s="22" t="s">
        <v>174</v>
      </c>
      <c r="E905" s="25">
        <v>10</v>
      </c>
      <c r="F905" s="25">
        <v>22847.619047619046</v>
      </c>
    </row>
    <row r="906" spans="1:6">
      <c r="A906" t="str">
        <f>IFERROR(VLOOKUP(B906,[1]銷貨單品號主檔!$A:$D,4,0),"學習周邊")</f>
        <v>學習</v>
      </c>
      <c r="B906" s="22" t="s">
        <v>158</v>
      </c>
      <c r="C906" s="22" t="s">
        <v>85</v>
      </c>
      <c r="D906" s="22" t="s">
        <v>54</v>
      </c>
      <c r="E906" s="25">
        <v>5</v>
      </c>
      <c r="F906" s="25">
        <v>11423.809523809523</v>
      </c>
    </row>
    <row r="907" spans="1:6">
      <c r="A907" t="str">
        <f>IFERROR(VLOOKUP(B907,[1]銷貨單品號主檔!$A:$D,4,0),"學習周邊")</f>
        <v>學習</v>
      </c>
      <c r="B907" s="22" t="s">
        <v>158</v>
      </c>
      <c r="C907" s="22" t="s">
        <v>85</v>
      </c>
      <c r="D907" s="22" t="s">
        <v>174</v>
      </c>
      <c r="E907" s="25">
        <v>4</v>
      </c>
      <c r="F907" s="25">
        <v>9139.0476190476184</v>
      </c>
    </row>
    <row r="908" spans="1:6">
      <c r="A908" t="str">
        <f>IFERROR(VLOOKUP(B908,[1]銷貨單品號主檔!$A:$D,4,0),"學習周邊")</f>
        <v>學習</v>
      </c>
      <c r="B908" s="22" t="s">
        <v>158</v>
      </c>
      <c r="C908" s="22" t="s">
        <v>87</v>
      </c>
      <c r="D908" s="22" t="s">
        <v>54</v>
      </c>
      <c r="E908" s="25">
        <v>4</v>
      </c>
      <c r="F908" s="25">
        <v>9139.0476190476184</v>
      </c>
    </row>
    <row r="909" spans="1:6">
      <c r="A909" t="str">
        <f>IFERROR(VLOOKUP(B909,[1]銷貨單品號主檔!$A:$D,4,0),"學習周邊")</f>
        <v>學習</v>
      </c>
      <c r="B909" s="22" t="s">
        <v>158</v>
      </c>
      <c r="C909" s="22" t="s">
        <v>87</v>
      </c>
      <c r="D909" s="22" t="s">
        <v>174</v>
      </c>
      <c r="E909" s="25">
        <v>13</v>
      </c>
      <c r="F909" s="25">
        <v>29701.90476190476</v>
      </c>
    </row>
    <row r="910" spans="1:6">
      <c r="A910" t="str">
        <f>IFERROR(VLOOKUP(B910,[1]銷貨單品號主檔!$A:$D,4,0),"學習周邊")</f>
        <v>學習</v>
      </c>
      <c r="B910" s="22" t="s">
        <v>158</v>
      </c>
      <c r="C910" s="22" t="s">
        <v>90</v>
      </c>
      <c r="D910" s="22" t="s">
        <v>54</v>
      </c>
      <c r="E910" s="25">
        <v>8</v>
      </c>
      <c r="F910" s="25">
        <v>18278.095238095237</v>
      </c>
    </row>
    <row r="911" spans="1:6">
      <c r="A911" t="str">
        <f>IFERROR(VLOOKUP(B911,[1]銷貨單品號主檔!$A:$D,4,0),"學習周邊")</f>
        <v>學習</v>
      </c>
      <c r="B911" s="22" t="s">
        <v>158</v>
      </c>
      <c r="C911" s="22" t="s">
        <v>88</v>
      </c>
      <c r="D911" s="22" t="s">
        <v>54</v>
      </c>
      <c r="E911" s="25">
        <v>8</v>
      </c>
      <c r="F911" s="25">
        <v>18278.095238095237</v>
      </c>
    </row>
    <row r="912" spans="1:6">
      <c r="A912" t="str">
        <f>IFERROR(VLOOKUP(B912,[1]銷貨單品號主檔!$A:$D,4,0),"學習周邊")</f>
        <v>學習</v>
      </c>
      <c r="B912" s="22" t="s">
        <v>158</v>
      </c>
      <c r="C912" s="22" t="s">
        <v>108</v>
      </c>
      <c r="D912" s="22" t="s">
        <v>54</v>
      </c>
      <c r="E912" s="25">
        <v>4</v>
      </c>
      <c r="F912" s="25">
        <v>9139.0476190476184</v>
      </c>
    </row>
    <row r="913" spans="1:6">
      <c r="A913" t="str">
        <f>IFERROR(VLOOKUP(B913,[1]銷貨單品號主檔!$A:$D,4,0),"學習周邊")</f>
        <v>學習</v>
      </c>
      <c r="B913" s="22" t="s">
        <v>158</v>
      </c>
      <c r="C913" s="22" t="s">
        <v>53</v>
      </c>
      <c r="D913" s="22" t="s">
        <v>54</v>
      </c>
      <c r="E913" s="25">
        <v>5</v>
      </c>
      <c r="F913" s="25">
        <v>11423.809523809523</v>
      </c>
    </row>
    <row r="914" spans="1:6">
      <c r="A914" t="str">
        <f>IFERROR(VLOOKUP(B914,[1]銷貨單品號主檔!$A:$D,4,0),"學習周邊")</f>
        <v>學習</v>
      </c>
      <c r="B914" s="22" t="s">
        <v>158</v>
      </c>
      <c r="C914" s="22" t="s">
        <v>92</v>
      </c>
      <c r="D914" s="22" t="s">
        <v>54</v>
      </c>
      <c r="E914" s="25">
        <v>8</v>
      </c>
      <c r="F914" s="25">
        <v>18278.095238095237</v>
      </c>
    </row>
    <row r="915" spans="1:6">
      <c r="A915" t="str">
        <f>IFERROR(VLOOKUP(B915,[1]銷貨單品號主檔!$A:$D,4,0),"學習周邊")</f>
        <v>學習</v>
      </c>
      <c r="B915" s="22" t="s">
        <v>158</v>
      </c>
      <c r="C915" s="22" t="s">
        <v>92</v>
      </c>
      <c r="D915" s="22" t="s">
        <v>174</v>
      </c>
      <c r="E915" s="25">
        <v>4</v>
      </c>
      <c r="F915" s="25">
        <v>9139.0476190476184</v>
      </c>
    </row>
    <row r="916" spans="1:6">
      <c r="A916" t="str">
        <f>IFERROR(VLOOKUP(B916,[1]銷貨單品號主檔!$A:$D,4,0),"學習周邊")</f>
        <v>學習</v>
      </c>
      <c r="B916" s="22" t="s">
        <v>158</v>
      </c>
      <c r="C916" s="22" t="s">
        <v>326</v>
      </c>
      <c r="D916" s="22" t="s">
        <v>54</v>
      </c>
      <c r="E916" s="25">
        <v>5</v>
      </c>
      <c r="F916" s="25">
        <v>11423.809523809523</v>
      </c>
    </row>
    <row r="917" spans="1:6">
      <c r="A917" t="str">
        <f>IFERROR(VLOOKUP(B917,[1]銷貨單品號主檔!$A:$D,4,0),"學習周邊")</f>
        <v>學習</v>
      </c>
      <c r="B917" s="22" t="s">
        <v>158</v>
      </c>
      <c r="C917" s="22" t="s">
        <v>326</v>
      </c>
      <c r="D917" s="22" t="s">
        <v>174</v>
      </c>
      <c r="E917" s="25">
        <v>14</v>
      </c>
      <c r="F917" s="25">
        <v>31986.666666666664</v>
      </c>
    </row>
    <row r="918" spans="1:6">
      <c r="A918" t="str">
        <f>IFERROR(VLOOKUP(B918,[1]銷貨單品號主檔!$A:$D,4,0),"學習周邊")</f>
        <v>學習</v>
      </c>
      <c r="B918" s="22" t="s">
        <v>158</v>
      </c>
      <c r="C918" s="22" t="s">
        <v>328</v>
      </c>
      <c r="D918" s="22" t="s">
        <v>54</v>
      </c>
      <c r="E918" s="25">
        <v>9</v>
      </c>
      <c r="F918" s="25">
        <v>20562.857142857141</v>
      </c>
    </row>
    <row r="919" spans="1:6">
      <c r="A919" t="str">
        <f>IFERROR(VLOOKUP(B919,[1]銷貨單品號主檔!$A:$D,4,0),"學習周邊")</f>
        <v>學習</v>
      </c>
      <c r="B919" s="22" t="s">
        <v>158</v>
      </c>
      <c r="C919" s="22" t="s">
        <v>328</v>
      </c>
      <c r="D919" s="22" t="s">
        <v>174</v>
      </c>
      <c r="E919" s="25">
        <v>3</v>
      </c>
      <c r="F919" s="25">
        <v>6854.2857142857138</v>
      </c>
    </row>
    <row r="920" spans="1:6">
      <c r="A920" t="str">
        <f>IFERROR(VLOOKUP(B920,[1]銷貨單品號主檔!$A:$D,4,0),"學習周邊")</f>
        <v>學習</v>
      </c>
      <c r="B920" s="22" t="s">
        <v>158</v>
      </c>
      <c r="C920" s="22" t="s">
        <v>329</v>
      </c>
      <c r="D920" s="22" t="s">
        <v>54</v>
      </c>
      <c r="E920" s="25">
        <v>5</v>
      </c>
      <c r="F920" s="25">
        <v>11423.809523809523</v>
      </c>
    </row>
    <row r="921" spans="1:6">
      <c r="A921" t="str">
        <f>IFERROR(VLOOKUP(B921,[1]銷貨單品號主檔!$A:$D,4,0),"學習周邊")</f>
        <v>學習</v>
      </c>
      <c r="B921" s="22" t="s">
        <v>158</v>
      </c>
      <c r="C921" s="22" t="s">
        <v>329</v>
      </c>
      <c r="D921" s="22" t="s">
        <v>174</v>
      </c>
      <c r="E921" s="25">
        <v>4</v>
      </c>
      <c r="F921" s="25">
        <v>9139.0476190476184</v>
      </c>
    </row>
    <row r="922" spans="1:6">
      <c r="A922" t="str">
        <f>IFERROR(VLOOKUP(B922,[1]銷貨單品號主檔!$A:$D,4,0),"學習周邊")</f>
        <v>學習</v>
      </c>
      <c r="B922" s="22" t="s">
        <v>158</v>
      </c>
      <c r="C922" s="22" t="s">
        <v>332</v>
      </c>
      <c r="D922" s="22" t="s">
        <v>54</v>
      </c>
      <c r="E922" s="25">
        <v>7</v>
      </c>
      <c r="F922" s="25">
        <v>15993.333333333332</v>
      </c>
    </row>
    <row r="923" spans="1:6">
      <c r="A923" t="str">
        <f>IFERROR(VLOOKUP(B923,[1]銷貨單品號主檔!$A:$D,4,0),"學習周邊")</f>
        <v>學習</v>
      </c>
      <c r="B923" s="22" t="s">
        <v>158</v>
      </c>
      <c r="C923" s="22" t="s">
        <v>332</v>
      </c>
      <c r="D923" s="22" t="s">
        <v>174</v>
      </c>
      <c r="E923" s="25">
        <v>6</v>
      </c>
      <c r="F923" s="25">
        <v>13708.571428571428</v>
      </c>
    </row>
    <row r="924" spans="1:6">
      <c r="A924" t="str">
        <f>IFERROR(VLOOKUP(B924,[1]銷貨單品號主檔!$A:$D,4,0),"學習周邊")</f>
        <v>學習</v>
      </c>
      <c r="B924" s="22" t="s">
        <v>158</v>
      </c>
      <c r="C924" s="22" t="s">
        <v>330</v>
      </c>
      <c r="D924" s="22" t="s">
        <v>54</v>
      </c>
      <c r="E924" s="25">
        <v>4</v>
      </c>
      <c r="F924" s="25">
        <v>9139.0476190476184</v>
      </c>
    </row>
    <row r="925" spans="1:6">
      <c r="A925" t="str">
        <f>IFERROR(VLOOKUP(B925,[1]銷貨單品號主檔!$A:$D,4,0),"學習周邊")</f>
        <v>學習</v>
      </c>
      <c r="B925" s="22" t="s">
        <v>158</v>
      </c>
      <c r="C925" s="22" t="s">
        <v>330</v>
      </c>
      <c r="D925" s="22" t="s">
        <v>174</v>
      </c>
      <c r="E925" s="25">
        <v>2</v>
      </c>
      <c r="F925" s="25">
        <v>4569.5238095238092</v>
      </c>
    </row>
    <row r="926" spans="1:6">
      <c r="A926" t="str">
        <f>IFERROR(VLOOKUP(B926,[1]銷貨單品號主檔!$A:$D,4,0),"學習周邊")</f>
        <v>學習</v>
      </c>
      <c r="B926" s="22" t="s">
        <v>158</v>
      </c>
      <c r="C926" s="22" t="s">
        <v>331</v>
      </c>
      <c r="D926" s="22" t="s">
        <v>54</v>
      </c>
      <c r="E926" s="25">
        <v>10</v>
      </c>
      <c r="F926" s="25">
        <v>22847.619047619046</v>
      </c>
    </row>
    <row r="927" spans="1:6">
      <c r="A927" t="str">
        <f>IFERROR(VLOOKUP(B927,[1]銷貨單品號主檔!$A:$D,4,0),"學習周邊")</f>
        <v>學習</v>
      </c>
      <c r="B927" s="22" t="s">
        <v>158</v>
      </c>
      <c r="C927" s="22" t="s">
        <v>331</v>
      </c>
      <c r="D927" s="22" t="s">
        <v>174</v>
      </c>
      <c r="E927" s="25">
        <v>4</v>
      </c>
      <c r="F927" s="25">
        <v>9139.0476190476184</v>
      </c>
    </row>
    <row r="928" spans="1:6">
      <c r="A928" t="str">
        <f>IFERROR(VLOOKUP(B928,[1]銷貨單品號主檔!$A:$D,4,0),"學習周邊")</f>
        <v>學習</v>
      </c>
      <c r="B928" s="22" t="s">
        <v>158</v>
      </c>
      <c r="C928" s="22" t="s">
        <v>349</v>
      </c>
      <c r="D928" s="22" t="s">
        <v>54</v>
      </c>
      <c r="E928" s="25">
        <v>6</v>
      </c>
      <c r="F928" s="25">
        <v>13708.571428571428</v>
      </c>
    </row>
    <row r="929" spans="1:6">
      <c r="A929" t="str">
        <f>IFERROR(VLOOKUP(B929,[1]銷貨單品號主檔!$A:$D,4,0),"學習周邊")</f>
        <v>學習</v>
      </c>
      <c r="B929" s="22" t="s">
        <v>158</v>
      </c>
      <c r="C929" s="22" t="s">
        <v>349</v>
      </c>
      <c r="D929" s="22" t="s">
        <v>174</v>
      </c>
      <c r="E929" s="25">
        <v>4</v>
      </c>
      <c r="F929" s="25">
        <v>9139.0476190476184</v>
      </c>
    </row>
    <row r="930" spans="1:6">
      <c r="A930" t="str">
        <f>IFERROR(VLOOKUP(B930,[1]銷貨單品號主檔!$A:$D,4,0),"學習周邊")</f>
        <v>學習</v>
      </c>
      <c r="B930" s="22" t="s">
        <v>158</v>
      </c>
      <c r="C930" s="22" t="s">
        <v>354</v>
      </c>
      <c r="D930" s="22" t="s">
        <v>54</v>
      </c>
      <c r="E930" s="25">
        <v>8</v>
      </c>
      <c r="F930" s="25">
        <v>18278.095238095237</v>
      </c>
    </row>
    <row r="931" spans="1:6">
      <c r="A931" t="str">
        <f>IFERROR(VLOOKUP(B931,[1]銷貨單品號主檔!$A:$D,4,0),"學習周邊")</f>
        <v>學習</v>
      </c>
      <c r="B931" s="22" t="s">
        <v>158</v>
      </c>
      <c r="C931" s="22" t="s">
        <v>354</v>
      </c>
      <c r="D931" s="22" t="s">
        <v>174</v>
      </c>
      <c r="E931" s="25">
        <v>11</v>
      </c>
      <c r="F931" s="25">
        <v>25132.38095238095</v>
      </c>
    </row>
    <row r="932" spans="1:6">
      <c r="A932" t="str">
        <f>IFERROR(VLOOKUP(B932,[1]銷貨單品號主檔!$A:$D,4,0),"學習周邊")</f>
        <v>學習</v>
      </c>
      <c r="B932" s="22" t="s">
        <v>158</v>
      </c>
      <c r="C932" s="22" t="s">
        <v>353</v>
      </c>
      <c r="D932" s="22" t="s">
        <v>54</v>
      </c>
      <c r="E932" s="25">
        <v>4</v>
      </c>
      <c r="F932" s="25">
        <v>9139.0476190476184</v>
      </c>
    </row>
    <row r="933" spans="1:6">
      <c r="A933" t="str">
        <f>IFERROR(VLOOKUP(B933,[1]銷貨單品號主檔!$A:$D,4,0),"學習周邊")</f>
        <v>學習</v>
      </c>
      <c r="B933" s="22" t="s">
        <v>214</v>
      </c>
      <c r="C933" s="22" t="s">
        <v>56</v>
      </c>
      <c r="D933" s="22" t="s">
        <v>54</v>
      </c>
      <c r="E933" s="25">
        <v>4</v>
      </c>
      <c r="F933" s="25">
        <v>11424.761904761905</v>
      </c>
    </row>
    <row r="934" spans="1:6">
      <c r="A934" t="str">
        <f>IFERROR(VLOOKUP(B934,[1]銷貨單品號主檔!$A:$D,4,0),"學習周邊")</f>
        <v>學習</v>
      </c>
      <c r="B934" s="22" t="s">
        <v>214</v>
      </c>
      <c r="C934" s="22" t="s">
        <v>60</v>
      </c>
      <c r="D934" s="22" t="s">
        <v>54</v>
      </c>
      <c r="E934" s="25">
        <v>2</v>
      </c>
      <c r="F934" s="25">
        <v>5712.3809523809523</v>
      </c>
    </row>
    <row r="935" spans="1:6">
      <c r="A935" t="str">
        <f>IFERROR(VLOOKUP(B935,[1]銷貨單品號主檔!$A:$D,4,0),"學習周邊")</f>
        <v>學習</v>
      </c>
      <c r="B935" s="22" t="s">
        <v>214</v>
      </c>
      <c r="C935" s="22" t="s">
        <v>62</v>
      </c>
      <c r="D935" s="22" t="s">
        <v>54</v>
      </c>
      <c r="E935" s="25">
        <v>1</v>
      </c>
      <c r="F935" s="25">
        <v>2856.1904761904761</v>
      </c>
    </row>
    <row r="936" spans="1:6">
      <c r="A936" t="str">
        <f>IFERROR(VLOOKUP(B936,[1]銷貨單品號主檔!$A:$D,4,0),"學習周邊")</f>
        <v>學習</v>
      </c>
      <c r="B936" s="22" t="s">
        <v>214</v>
      </c>
      <c r="C936" s="22" t="s">
        <v>65</v>
      </c>
      <c r="D936" s="22" t="s">
        <v>54</v>
      </c>
      <c r="E936" s="25">
        <v>1</v>
      </c>
      <c r="F936" s="25">
        <v>2856.1904761904761</v>
      </c>
    </row>
    <row r="937" spans="1:6">
      <c r="A937" t="str">
        <f>IFERROR(VLOOKUP(B937,[1]銷貨單品號主檔!$A:$D,4,0),"學習周邊")</f>
        <v>學習</v>
      </c>
      <c r="B937" s="22" t="s">
        <v>214</v>
      </c>
      <c r="C937" s="22" t="s">
        <v>67</v>
      </c>
      <c r="D937" s="22" t="s">
        <v>54</v>
      </c>
      <c r="E937" s="25">
        <v>3</v>
      </c>
      <c r="F937" s="25">
        <v>8568.5714285714275</v>
      </c>
    </row>
    <row r="938" spans="1:6">
      <c r="A938" t="str">
        <f>IFERROR(VLOOKUP(B938,[1]銷貨單品號主檔!$A:$D,4,0),"學習周邊")</f>
        <v>學習</v>
      </c>
      <c r="B938" s="22" t="s">
        <v>214</v>
      </c>
      <c r="C938" s="22" t="s">
        <v>73</v>
      </c>
      <c r="D938" s="22" t="s">
        <v>54</v>
      </c>
      <c r="E938" s="25">
        <v>2</v>
      </c>
      <c r="F938" s="25">
        <v>5712.3809523809523</v>
      </c>
    </row>
    <row r="939" spans="1:6">
      <c r="A939" t="str">
        <f>IFERROR(VLOOKUP(B939,[1]銷貨單品號主檔!$A:$D,4,0),"學習周邊")</f>
        <v>學習</v>
      </c>
      <c r="B939" s="22" t="s">
        <v>214</v>
      </c>
      <c r="C939" s="22" t="s">
        <v>59</v>
      </c>
      <c r="D939" s="22" t="s">
        <v>54</v>
      </c>
      <c r="E939" s="25">
        <v>6</v>
      </c>
      <c r="F939" s="25">
        <v>17137.142857142855</v>
      </c>
    </row>
    <row r="940" spans="1:6">
      <c r="A940" t="str">
        <f>IFERROR(VLOOKUP(B940,[1]銷貨單品號主檔!$A:$D,4,0),"學習周邊")</f>
        <v>學習</v>
      </c>
      <c r="B940" s="22" t="s">
        <v>214</v>
      </c>
      <c r="C940" s="22" t="s">
        <v>66</v>
      </c>
      <c r="D940" s="22" t="s">
        <v>54</v>
      </c>
      <c r="E940" s="25">
        <v>1</v>
      </c>
      <c r="F940" s="25">
        <v>2856.1904761904761</v>
      </c>
    </row>
    <row r="941" spans="1:6">
      <c r="A941" t="str">
        <f>IFERROR(VLOOKUP(B941,[1]銷貨單品號主檔!$A:$D,4,0),"學習周邊")</f>
        <v>學習</v>
      </c>
      <c r="B941" s="22" t="s">
        <v>214</v>
      </c>
      <c r="C941" s="22" t="s">
        <v>66</v>
      </c>
      <c r="D941" s="22" t="s">
        <v>174</v>
      </c>
      <c r="E941" s="25">
        <v>21</v>
      </c>
      <c r="F941" s="25">
        <v>59980</v>
      </c>
    </row>
    <row r="942" spans="1:6">
      <c r="A942" t="str">
        <f>IFERROR(VLOOKUP(B942,[1]銷貨單品號主檔!$A:$D,4,0),"學習周邊")</f>
        <v>學習</v>
      </c>
      <c r="B942" s="22" t="s">
        <v>214</v>
      </c>
      <c r="C942" s="22" t="s">
        <v>107</v>
      </c>
      <c r="D942" s="22" t="s">
        <v>54</v>
      </c>
      <c r="E942" s="25">
        <v>7</v>
      </c>
      <c r="F942" s="25">
        <v>19993.333333333332</v>
      </c>
    </row>
    <row r="943" spans="1:6">
      <c r="A943" t="str">
        <f>IFERROR(VLOOKUP(B943,[1]銷貨單品號主檔!$A:$D,4,0),"學習周邊")</f>
        <v>學習</v>
      </c>
      <c r="B943" s="22" t="s">
        <v>214</v>
      </c>
      <c r="C943" s="22" t="s">
        <v>107</v>
      </c>
      <c r="D943" s="22" t="s">
        <v>174</v>
      </c>
      <c r="E943" s="25">
        <v>9</v>
      </c>
      <c r="F943" s="25">
        <v>25705.714285714286</v>
      </c>
    </row>
    <row r="944" spans="1:6">
      <c r="A944" t="str">
        <f>IFERROR(VLOOKUP(B944,[1]銷貨單品號主檔!$A:$D,4,0),"學習周邊")</f>
        <v>學習</v>
      </c>
      <c r="B944" s="22" t="s">
        <v>214</v>
      </c>
      <c r="C944" s="22" t="s">
        <v>72</v>
      </c>
      <c r="D944" s="22" t="s">
        <v>54</v>
      </c>
      <c r="E944" s="25">
        <v>2</v>
      </c>
      <c r="F944" s="25">
        <v>5712.3809523809523</v>
      </c>
    </row>
    <row r="945" spans="1:6">
      <c r="A945" t="str">
        <f>IFERROR(VLOOKUP(B945,[1]銷貨單品號主檔!$A:$D,4,0),"學習周邊")</f>
        <v>學習</v>
      </c>
      <c r="B945" s="22" t="s">
        <v>214</v>
      </c>
      <c r="C945" s="22" t="s">
        <v>72</v>
      </c>
      <c r="D945" s="22" t="s">
        <v>174</v>
      </c>
      <c r="E945" s="25">
        <v>6</v>
      </c>
      <c r="F945" s="25">
        <v>17137.142857142855</v>
      </c>
    </row>
    <row r="946" spans="1:6">
      <c r="A946" t="str">
        <f>IFERROR(VLOOKUP(B946,[1]銷貨單品號主檔!$A:$D,4,0),"學習周邊")</f>
        <v>學習</v>
      </c>
      <c r="B946" s="22" t="s">
        <v>214</v>
      </c>
      <c r="C946" s="22" t="s">
        <v>76</v>
      </c>
      <c r="D946" s="22" t="s">
        <v>54</v>
      </c>
      <c r="E946" s="25">
        <v>2</v>
      </c>
      <c r="F946" s="25">
        <v>5712.3809523809523</v>
      </c>
    </row>
    <row r="947" spans="1:6">
      <c r="A947" t="str">
        <f>IFERROR(VLOOKUP(B947,[1]銷貨單品號主檔!$A:$D,4,0),"學習周邊")</f>
        <v>學習</v>
      </c>
      <c r="B947" s="22" t="s">
        <v>214</v>
      </c>
      <c r="C947" s="22" t="s">
        <v>76</v>
      </c>
      <c r="D947" s="22" t="s">
        <v>174</v>
      </c>
      <c r="E947" s="25">
        <v>5</v>
      </c>
      <c r="F947" s="25">
        <v>14280.95238095238</v>
      </c>
    </row>
    <row r="948" spans="1:6">
      <c r="A948" t="str">
        <f>IFERROR(VLOOKUP(B948,[1]銷貨單品號主檔!$A:$D,4,0),"學習周邊")</f>
        <v>學習</v>
      </c>
      <c r="B948" s="22" t="s">
        <v>214</v>
      </c>
      <c r="C948" s="22" t="s">
        <v>78</v>
      </c>
      <c r="D948" s="22" t="s">
        <v>54</v>
      </c>
      <c r="E948" s="25">
        <v>1</v>
      </c>
      <c r="F948" s="25">
        <v>2856.1904761904761</v>
      </c>
    </row>
    <row r="949" spans="1:6">
      <c r="A949" t="str">
        <f>IFERROR(VLOOKUP(B949,[1]銷貨單品號主檔!$A:$D,4,0),"學習周邊")</f>
        <v>學習</v>
      </c>
      <c r="B949" s="22" t="s">
        <v>214</v>
      </c>
      <c r="C949" s="22" t="s">
        <v>78</v>
      </c>
      <c r="D949" s="22" t="s">
        <v>174</v>
      </c>
      <c r="E949" s="25">
        <v>1</v>
      </c>
      <c r="F949" s="25">
        <v>2856.1904761904761</v>
      </c>
    </row>
    <row r="950" spans="1:6">
      <c r="A950" t="str">
        <f>IFERROR(VLOOKUP(B950,[1]銷貨單品號主檔!$A:$D,4,0),"學習周邊")</f>
        <v>學習</v>
      </c>
      <c r="B950" s="22" t="s">
        <v>214</v>
      </c>
      <c r="C950" s="22" t="s">
        <v>81</v>
      </c>
      <c r="D950" s="22" t="s">
        <v>54</v>
      </c>
      <c r="E950" s="25">
        <v>1</v>
      </c>
      <c r="F950" s="25">
        <v>2856.1904761904761</v>
      </c>
    </row>
    <row r="951" spans="1:6">
      <c r="A951" t="str">
        <f>IFERROR(VLOOKUP(B951,[1]銷貨單品號主檔!$A:$D,4,0),"學習周邊")</f>
        <v>學習</v>
      </c>
      <c r="B951" s="22" t="s">
        <v>214</v>
      </c>
      <c r="C951" s="22" t="s">
        <v>81</v>
      </c>
      <c r="D951" s="22" t="s">
        <v>174</v>
      </c>
      <c r="E951" s="25">
        <v>2</v>
      </c>
      <c r="F951" s="25">
        <v>5712.3809523809523</v>
      </c>
    </row>
    <row r="952" spans="1:6">
      <c r="A952" t="str">
        <f>IFERROR(VLOOKUP(B952,[1]銷貨單品號主檔!$A:$D,4,0),"學習周邊")</f>
        <v>學習</v>
      </c>
      <c r="B952" s="22" t="s">
        <v>214</v>
      </c>
      <c r="C952" s="22" t="s">
        <v>83</v>
      </c>
      <c r="D952" s="22" t="s">
        <v>54</v>
      </c>
      <c r="E952" s="25">
        <v>3</v>
      </c>
      <c r="F952" s="25">
        <v>8568.5714285714275</v>
      </c>
    </row>
    <row r="953" spans="1:6">
      <c r="A953" t="str">
        <f>IFERROR(VLOOKUP(B953,[1]銷貨單品號主檔!$A:$D,4,0),"學習周邊")</f>
        <v>學習</v>
      </c>
      <c r="B953" s="22" t="s">
        <v>214</v>
      </c>
      <c r="C953" s="22" t="s">
        <v>83</v>
      </c>
      <c r="D953" s="22" t="s">
        <v>174</v>
      </c>
      <c r="E953" s="25">
        <v>3</v>
      </c>
      <c r="F953" s="25">
        <v>8568.5714285714275</v>
      </c>
    </row>
    <row r="954" spans="1:6">
      <c r="A954" t="str">
        <f>IFERROR(VLOOKUP(B954,[1]銷貨單品號主檔!$A:$D,4,0),"學習周邊")</f>
        <v>學習</v>
      </c>
      <c r="B954" s="22" t="s">
        <v>214</v>
      </c>
      <c r="C954" s="22" t="s">
        <v>85</v>
      </c>
      <c r="D954" s="22" t="s">
        <v>54</v>
      </c>
      <c r="E954" s="25">
        <v>2</v>
      </c>
      <c r="F954" s="25">
        <v>5712.3809523809523</v>
      </c>
    </row>
    <row r="955" spans="1:6">
      <c r="A955" t="str">
        <f>IFERROR(VLOOKUP(B955,[1]銷貨單品號主檔!$A:$D,4,0),"學習周邊")</f>
        <v>學習</v>
      </c>
      <c r="B955" s="22" t="s">
        <v>214</v>
      </c>
      <c r="C955" s="22" t="s">
        <v>85</v>
      </c>
      <c r="D955" s="22" t="s">
        <v>174</v>
      </c>
      <c r="E955" s="25">
        <v>4</v>
      </c>
      <c r="F955" s="25">
        <v>11424.761904761905</v>
      </c>
    </row>
    <row r="956" spans="1:6">
      <c r="A956" t="str">
        <f>IFERROR(VLOOKUP(B956,[1]銷貨單品號主檔!$A:$D,4,0),"學習周邊")</f>
        <v>學習</v>
      </c>
      <c r="B956" s="22" t="s">
        <v>214</v>
      </c>
      <c r="C956" s="22" t="s">
        <v>87</v>
      </c>
      <c r="D956" s="22" t="s">
        <v>54</v>
      </c>
      <c r="E956" s="25">
        <v>4</v>
      </c>
      <c r="F956" s="25">
        <v>11424.761904761905</v>
      </c>
    </row>
    <row r="957" spans="1:6">
      <c r="A957" t="str">
        <f>IFERROR(VLOOKUP(B957,[1]銷貨單品號主檔!$A:$D,4,0),"學習周邊")</f>
        <v>學習</v>
      </c>
      <c r="B957" s="22" t="s">
        <v>214</v>
      </c>
      <c r="C957" s="22" t="s">
        <v>87</v>
      </c>
      <c r="D957" s="22" t="s">
        <v>174</v>
      </c>
      <c r="E957" s="25">
        <v>12</v>
      </c>
      <c r="F957" s="25">
        <v>34274.28571428571</v>
      </c>
    </row>
    <row r="958" spans="1:6">
      <c r="A958" t="str">
        <f>IFERROR(VLOOKUP(B958,[1]銷貨單品號主檔!$A:$D,4,0),"學習周邊")</f>
        <v>學習</v>
      </c>
      <c r="B958" s="22" t="s">
        <v>214</v>
      </c>
      <c r="C958" s="22" t="s">
        <v>90</v>
      </c>
      <c r="D958" s="22" t="s">
        <v>54</v>
      </c>
      <c r="E958" s="25">
        <v>3</v>
      </c>
      <c r="F958" s="25">
        <v>8568.5714285714275</v>
      </c>
    </row>
    <row r="959" spans="1:6">
      <c r="A959" t="str">
        <f>IFERROR(VLOOKUP(B959,[1]銷貨單品號主檔!$A:$D,4,0),"學習周邊")</f>
        <v>學習</v>
      </c>
      <c r="B959" s="22" t="s">
        <v>214</v>
      </c>
      <c r="C959" s="22" t="s">
        <v>88</v>
      </c>
      <c r="D959" s="22" t="s">
        <v>54</v>
      </c>
      <c r="E959" s="25">
        <v>1</v>
      </c>
      <c r="F959" s="25">
        <v>2856.1904761904761</v>
      </c>
    </row>
    <row r="960" spans="1:6">
      <c r="A960" t="str">
        <f>IFERROR(VLOOKUP(B960,[1]銷貨單品號主檔!$A:$D,4,0),"學習周邊")</f>
        <v>學習</v>
      </c>
      <c r="B960" s="22" t="s">
        <v>214</v>
      </c>
      <c r="C960" s="22" t="s">
        <v>53</v>
      </c>
      <c r="D960" s="22" t="s">
        <v>54</v>
      </c>
      <c r="E960" s="25">
        <v>4</v>
      </c>
      <c r="F960" s="25">
        <v>11424.761904761905</v>
      </c>
    </row>
    <row r="961" spans="1:6">
      <c r="A961" t="str">
        <f>IFERROR(VLOOKUP(B961,[1]銷貨單品號主檔!$A:$D,4,0),"學習周邊")</f>
        <v>學習</v>
      </c>
      <c r="B961" s="22" t="s">
        <v>214</v>
      </c>
      <c r="C961" s="22" t="s">
        <v>92</v>
      </c>
      <c r="D961" s="22" t="s">
        <v>54</v>
      </c>
      <c r="E961" s="25">
        <v>3</v>
      </c>
      <c r="F961" s="25">
        <v>8568.5714285714275</v>
      </c>
    </row>
    <row r="962" spans="1:6">
      <c r="A962" t="str">
        <f>IFERROR(VLOOKUP(B962,[1]銷貨單品號主檔!$A:$D,4,0),"學習周邊")</f>
        <v>學習</v>
      </c>
      <c r="B962" s="22" t="s">
        <v>214</v>
      </c>
      <c r="C962" s="22" t="s">
        <v>92</v>
      </c>
      <c r="D962" s="22" t="s">
        <v>174</v>
      </c>
      <c r="E962" s="25">
        <v>7</v>
      </c>
      <c r="F962" s="25">
        <v>19993.333333333332</v>
      </c>
    </row>
    <row r="963" spans="1:6">
      <c r="A963" t="str">
        <f>IFERROR(VLOOKUP(B963,[1]銷貨單品號主檔!$A:$D,4,0),"學習周邊")</f>
        <v>學習</v>
      </c>
      <c r="B963" s="22" t="s">
        <v>214</v>
      </c>
      <c r="C963" s="22" t="s">
        <v>326</v>
      </c>
      <c r="D963" s="22" t="s">
        <v>54</v>
      </c>
      <c r="E963" s="25">
        <v>1</v>
      </c>
      <c r="F963" s="25">
        <v>2856.1904761904761</v>
      </c>
    </row>
    <row r="964" spans="1:6">
      <c r="A964" t="str">
        <f>IFERROR(VLOOKUP(B964,[1]銷貨單品號主檔!$A:$D,4,0),"學習周邊")</f>
        <v>學習</v>
      </c>
      <c r="B964" s="22" t="s">
        <v>214</v>
      </c>
      <c r="C964" s="22" t="s">
        <v>326</v>
      </c>
      <c r="D964" s="22" t="s">
        <v>174</v>
      </c>
      <c r="E964" s="25">
        <v>3</v>
      </c>
      <c r="F964" s="25">
        <v>8568.5714285714275</v>
      </c>
    </row>
    <row r="965" spans="1:6">
      <c r="A965" t="str">
        <f>IFERROR(VLOOKUP(B965,[1]銷貨單品號主檔!$A:$D,4,0),"學習周邊")</f>
        <v>學習</v>
      </c>
      <c r="B965" s="22" t="s">
        <v>214</v>
      </c>
      <c r="C965" s="22" t="s">
        <v>328</v>
      </c>
      <c r="D965" s="22" t="s">
        <v>54</v>
      </c>
      <c r="E965" s="25">
        <v>2</v>
      </c>
      <c r="F965" s="25">
        <v>5712.3809523809523</v>
      </c>
    </row>
    <row r="966" spans="1:6">
      <c r="A966" t="str">
        <f>IFERROR(VLOOKUP(B966,[1]銷貨單品號主檔!$A:$D,4,0),"學習周邊")</f>
        <v>學習</v>
      </c>
      <c r="B966" s="22" t="s">
        <v>214</v>
      </c>
      <c r="C966" s="22" t="s">
        <v>328</v>
      </c>
      <c r="D966" s="22" t="s">
        <v>174</v>
      </c>
      <c r="E966" s="25">
        <v>2</v>
      </c>
      <c r="F966" s="25">
        <v>5712.3809523809523</v>
      </c>
    </row>
    <row r="967" spans="1:6">
      <c r="A967" t="str">
        <f>IFERROR(VLOOKUP(B967,[1]銷貨單品號主檔!$A:$D,4,0),"學習周邊")</f>
        <v>學習</v>
      </c>
      <c r="B967" s="22" t="s">
        <v>214</v>
      </c>
      <c r="C967" s="22" t="s">
        <v>329</v>
      </c>
      <c r="D967" s="22" t="s">
        <v>174</v>
      </c>
      <c r="E967" s="25">
        <v>2</v>
      </c>
      <c r="F967" s="25">
        <v>5712.3809523809523</v>
      </c>
    </row>
    <row r="968" spans="1:6">
      <c r="A968" t="str">
        <f>IFERROR(VLOOKUP(B968,[1]銷貨單品號主檔!$A:$D,4,0),"學習周邊")</f>
        <v>學習</v>
      </c>
      <c r="B968" s="22" t="s">
        <v>214</v>
      </c>
      <c r="C968" s="22" t="s">
        <v>332</v>
      </c>
      <c r="D968" s="22" t="s">
        <v>54</v>
      </c>
      <c r="E968" s="25">
        <v>3</v>
      </c>
      <c r="F968" s="25">
        <v>8568.5714285714275</v>
      </c>
    </row>
    <row r="969" spans="1:6">
      <c r="A969" t="str">
        <f>IFERROR(VLOOKUP(B969,[1]銷貨單品號主檔!$A:$D,4,0),"學習周邊")</f>
        <v>學習</v>
      </c>
      <c r="B969" s="22" t="s">
        <v>214</v>
      </c>
      <c r="C969" s="22" t="s">
        <v>332</v>
      </c>
      <c r="D969" s="22" t="s">
        <v>174</v>
      </c>
      <c r="E969" s="25">
        <v>6</v>
      </c>
      <c r="F969" s="25">
        <v>17137.142857142855</v>
      </c>
    </row>
    <row r="970" spans="1:6">
      <c r="A970" t="str">
        <f>IFERROR(VLOOKUP(B970,[1]銷貨單品號主檔!$A:$D,4,0),"學習周邊")</f>
        <v>學習</v>
      </c>
      <c r="B970" s="22" t="s">
        <v>214</v>
      </c>
      <c r="C970" s="22" t="s">
        <v>330</v>
      </c>
      <c r="D970" s="22" t="s">
        <v>54</v>
      </c>
      <c r="E970" s="25">
        <v>2</v>
      </c>
      <c r="F970" s="25">
        <v>5712.3809523809523</v>
      </c>
    </row>
    <row r="971" spans="1:6">
      <c r="A971" t="str">
        <f>IFERROR(VLOOKUP(B971,[1]銷貨單品號主檔!$A:$D,4,0),"學習周邊")</f>
        <v>學習</v>
      </c>
      <c r="B971" s="22" t="s">
        <v>214</v>
      </c>
      <c r="C971" s="22" t="s">
        <v>330</v>
      </c>
      <c r="D971" s="22" t="s">
        <v>174</v>
      </c>
      <c r="E971" s="25">
        <v>3</v>
      </c>
      <c r="F971" s="25">
        <v>8568.5714285714275</v>
      </c>
    </row>
    <row r="972" spans="1:6">
      <c r="A972" t="str">
        <f>IFERROR(VLOOKUP(B972,[1]銷貨單品號主檔!$A:$D,4,0),"學習周邊")</f>
        <v>學習</v>
      </c>
      <c r="B972" s="22" t="s">
        <v>214</v>
      </c>
      <c r="C972" s="22" t="s">
        <v>331</v>
      </c>
      <c r="D972" s="22" t="s">
        <v>174</v>
      </c>
      <c r="E972" s="25">
        <v>2</v>
      </c>
      <c r="F972" s="25">
        <v>5712.3809523809523</v>
      </c>
    </row>
    <row r="973" spans="1:6">
      <c r="A973" t="str">
        <f>IFERROR(VLOOKUP(B973,[1]銷貨單品號主檔!$A:$D,4,0),"學習周邊")</f>
        <v>學習</v>
      </c>
      <c r="B973" s="22" t="s">
        <v>214</v>
      </c>
      <c r="C973" s="22" t="s">
        <v>349</v>
      </c>
      <c r="D973" s="22" t="s">
        <v>174</v>
      </c>
      <c r="E973" s="25">
        <v>4</v>
      </c>
      <c r="F973" s="25">
        <v>11424.761904761905</v>
      </c>
    </row>
    <row r="974" spans="1:6">
      <c r="A974" t="str">
        <f>IFERROR(VLOOKUP(B974,[1]銷貨單品號主檔!$A:$D,4,0),"學習周邊")</f>
        <v>學習</v>
      </c>
      <c r="B974" s="22" t="s">
        <v>214</v>
      </c>
      <c r="C974" s="22" t="s">
        <v>354</v>
      </c>
      <c r="D974" s="22" t="s">
        <v>54</v>
      </c>
      <c r="E974" s="25">
        <v>1</v>
      </c>
      <c r="F974" s="25">
        <v>2856.1904761904761</v>
      </c>
    </row>
    <row r="975" spans="1:6">
      <c r="A975" t="str">
        <f>IFERROR(VLOOKUP(B975,[1]銷貨單品號主檔!$A:$D,4,0),"學習周邊")</f>
        <v>學習</v>
      </c>
      <c r="B975" s="22" t="s">
        <v>214</v>
      </c>
      <c r="C975" s="22" t="s">
        <v>354</v>
      </c>
      <c r="D975" s="22" t="s">
        <v>174</v>
      </c>
      <c r="E975" s="25">
        <v>6</v>
      </c>
      <c r="F975" s="25">
        <v>17137.142857142855</v>
      </c>
    </row>
    <row r="976" spans="1:6">
      <c r="A976" t="str">
        <f>IFERROR(VLOOKUP(B976,[1]銷貨單品號主檔!$A:$D,4,0),"學習周邊")</f>
        <v>學習</v>
      </c>
      <c r="B976" s="22" t="s">
        <v>214</v>
      </c>
      <c r="C976" s="22" t="s">
        <v>353</v>
      </c>
      <c r="D976" s="22" t="s">
        <v>54</v>
      </c>
      <c r="E976" s="25">
        <v>1</v>
      </c>
      <c r="F976" s="25">
        <v>2856.1904761904761</v>
      </c>
    </row>
    <row r="977" spans="1:6">
      <c r="A977" t="str">
        <f>IFERROR(VLOOKUP(B977,[1]銷貨單品號主檔!$A:$D,4,0),"學習周邊")</f>
        <v>學習</v>
      </c>
      <c r="B977" s="22" t="s">
        <v>222</v>
      </c>
      <c r="C977" s="22" t="s">
        <v>56</v>
      </c>
      <c r="D977" s="22" t="s">
        <v>54</v>
      </c>
      <c r="E977" s="25">
        <v>4</v>
      </c>
      <c r="F977" s="25">
        <v>12190.476190476191</v>
      </c>
    </row>
    <row r="978" spans="1:6">
      <c r="A978" t="str">
        <f>IFERROR(VLOOKUP(B978,[1]銷貨單品號主檔!$A:$D,4,0),"學習周邊")</f>
        <v>學習</v>
      </c>
      <c r="B978" s="22" t="s">
        <v>222</v>
      </c>
      <c r="C978" s="22" t="s">
        <v>60</v>
      </c>
      <c r="D978" s="22" t="s">
        <v>54</v>
      </c>
      <c r="E978" s="25">
        <v>2</v>
      </c>
      <c r="F978" s="25">
        <v>6095.2380952380954</v>
      </c>
    </row>
    <row r="979" spans="1:6">
      <c r="A979" t="str">
        <f>IFERROR(VLOOKUP(B979,[1]銷貨單品號主檔!$A:$D,4,0),"學習周邊")</f>
        <v>學習</v>
      </c>
      <c r="B979" s="22" t="s">
        <v>222</v>
      </c>
      <c r="C979" s="22" t="s">
        <v>62</v>
      </c>
      <c r="D979" s="22" t="s">
        <v>54</v>
      </c>
      <c r="E979" s="25">
        <v>3</v>
      </c>
      <c r="F979" s="25">
        <v>9142.8571428571431</v>
      </c>
    </row>
    <row r="980" spans="1:6">
      <c r="A980" t="str">
        <f>IFERROR(VLOOKUP(B980,[1]銷貨單品號主檔!$A:$D,4,0),"學習周邊")</f>
        <v>學習</v>
      </c>
      <c r="B980" s="22" t="s">
        <v>222</v>
      </c>
      <c r="C980" s="22" t="s">
        <v>65</v>
      </c>
      <c r="D980" s="22" t="s">
        <v>54</v>
      </c>
      <c r="E980" s="25">
        <v>1</v>
      </c>
      <c r="F980" s="25">
        <v>3047.6190476190477</v>
      </c>
    </row>
    <row r="981" spans="1:6">
      <c r="A981" t="str">
        <f>IFERROR(VLOOKUP(B981,[1]銷貨單品號主檔!$A:$D,4,0),"學習周邊")</f>
        <v>學習</v>
      </c>
      <c r="B981" s="22" t="s">
        <v>222</v>
      </c>
      <c r="C981" s="22" t="s">
        <v>67</v>
      </c>
      <c r="D981" s="22" t="s">
        <v>54</v>
      </c>
      <c r="E981" s="25">
        <v>2</v>
      </c>
      <c r="F981" s="25">
        <v>6095.2380952380954</v>
      </c>
    </row>
    <row r="982" spans="1:6">
      <c r="A982" t="str">
        <f>IFERROR(VLOOKUP(B982,[1]銷貨單品號主檔!$A:$D,4,0),"學習周邊")</f>
        <v>學習</v>
      </c>
      <c r="B982" s="22" t="s">
        <v>222</v>
      </c>
      <c r="C982" s="22" t="s">
        <v>73</v>
      </c>
      <c r="D982" s="22" t="s">
        <v>54</v>
      </c>
      <c r="E982" s="25">
        <v>1</v>
      </c>
      <c r="F982" s="25">
        <v>3047.6190476190477</v>
      </c>
    </row>
    <row r="983" spans="1:6">
      <c r="A983" t="str">
        <f>IFERROR(VLOOKUP(B983,[1]銷貨單品號主檔!$A:$D,4,0),"學習周邊")</f>
        <v>學習</v>
      </c>
      <c r="B983" s="22" t="s">
        <v>222</v>
      </c>
      <c r="C983" s="22" t="s">
        <v>59</v>
      </c>
      <c r="D983" s="22" t="s">
        <v>54</v>
      </c>
      <c r="E983" s="25">
        <v>2</v>
      </c>
      <c r="F983" s="25">
        <v>6095.2380952380954</v>
      </c>
    </row>
    <row r="984" spans="1:6">
      <c r="A984" t="str">
        <f>IFERROR(VLOOKUP(B984,[1]銷貨單品號主檔!$A:$D,4,0),"學習周邊")</f>
        <v>學習</v>
      </c>
      <c r="B984" s="22" t="s">
        <v>222</v>
      </c>
      <c r="C984" s="22" t="s">
        <v>66</v>
      </c>
      <c r="D984" s="22" t="s">
        <v>54</v>
      </c>
      <c r="E984" s="25">
        <v>3</v>
      </c>
      <c r="F984" s="25">
        <v>9142.8571428571431</v>
      </c>
    </row>
    <row r="985" spans="1:6">
      <c r="A985" t="str">
        <f>IFERROR(VLOOKUP(B985,[1]銷貨單品號主檔!$A:$D,4,0),"學習周邊")</f>
        <v>學習</v>
      </c>
      <c r="B985" s="22" t="s">
        <v>222</v>
      </c>
      <c r="C985" s="22" t="s">
        <v>66</v>
      </c>
      <c r="D985" s="22" t="s">
        <v>174</v>
      </c>
      <c r="E985" s="25">
        <v>8</v>
      </c>
      <c r="F985" s="25">
        <v>24380.952380952382</v>
      </c>
    </row>
    <row r="986" spans="1:6">
      <c r="A986" t="str">
        <f>IFERROR(VLOOKUP(B986,[1]銷貨單品號主檔!$A:$D,4,0),"學習周邊")</f>
        <v>學習</v>
      </c>
      <c r="B986" s="22" t="s">
        <v>222</v>
      </c>
      <c r="C986" s="22" t="s">
        <v>107</v>
      </c>
      <c r="D986" s="22" t="s">
        <v>54</v>
      </c>
      <c r="E986" s="25">
        <v>3</v>
      </c>
      <c r="F986" s="25">
        <v>9142.8571428571431</v>
      </c>
    </row>
    <row r="987" spans="1:6">
      <c r="A987" t="str">
        <f>IFERROR(VLOOKUP(B987,[1]銷貨單品號主檔!$A:$D,4,0),"學習周邊")</f>
        <v>學習</v>
      </c>
      <c r="B987" s="22" t="s">
        <v>222</v>
      </c>
      <c r="C987" s="22" t="s">
        <v>107</v>
      </c>
      <c r="D987" s="22" t="s">
        <v>174</v>
      </c>
      <c r="E987" s="25">
        <v>10</v>
      </c>
      <c r="F987" s="25">
        <v>30476.190476190473</v>
      </c>
    </row>
    <row r="988" spans="1:6">
      <c r="A988" t="str">
        <f>IFERROR(VLOOKUP(B988,[1]銷貨單品號主檔!$A:$D,4,0),"學習周邊")</f>
        <v>學習</v>
      </c>
      <c r="B988" s="22" t="s">
        <v>222</v>
      </c>
      <c r="C988" s="22" t="s">
        <v>72</v>
      </c>
      <c r="D988" s="22" t="s">
        <v>54</v>
      </c>
      <c r="E988" s="25">
        <v>1</v>
      </c>
      <c r="F988" s="25">
        <v>3047.6190476190477</v>
      </c>
    </row>
    <row r="989" spans="1:6">
      <c r="A989" t="str">
        <f>IFERROR(VLOOKUP(B989,[1]銷貨單品號主檔!$A:$D,4,0),"學習周邊")</f>
        <v>學習</v>
      </c>
      <c r="B989" s="22" t="s">
        <v>222</v>
      </c>
      <c r="C989" s="22" t="s">
        <v>72</v>
      </c>
      <c r="D989" s="22" t="s">
        <v>174</v>
      </c>
      <c r="E989" s="25">
        <v>5</v>
      </c>
      <c r="F989" s="25">
        <v>15238.095238095237</v>
      </c>
    </row>
    <row r="990" spans="1:6">
      <c r="A990" t="str">
        <f>IFERROR(VLOOKUP(B990,[1]銷貨單品號主檔!$A:$D,4,0),"學習周邊")</f>
        <v>學習</v>
      </c>
      <c r="B990" s="22" t="s">
        <v>222</v>
      </c>
      <c r="C990" s="22" t="s">
        <v>76</v>
      </c>
      <c r="D990" s="22" t="s">
        <v>54</v>
      </c>
      <c r="E990" s="25">
        <v>1</v>
      </c>
      <c r="F990" s="25">
        <v>3047.6190476190477</v>
      </c>
    </row>
    <row r="991" spans="1:6">
      <c r="A991" t="str">
        <f>IFERROR(VLOOKUP(B991,[1]銷貨單品號主檔!$A:$D,4,0),"學習周邊")</f>
        <v>學習</v>
      </c>
      <c r="B991" s="22" t="s">
        <v>222</v>
      </c>
      <c r="C991" s="22" t="s">
        <v>76</v>
      </c>
      <c r="D991" s="22" t="s">
        <v>174</v>
      </c>
      <c r="E991" s="25">
        <v>9</v>
      </c>
      <c r="F991" s="25">
        <v>27428.571428571428</v>
      </c>
    </row>
    <row r="992" spans="1:6">
      <c r="A992" t="str">
        <f>IFERROR(VLOOKUP(B992,[1]銷貨單品號主檔!$A:$D,4,0),"學習周邊")</f>
        <v>學習</v>
      </c>
      <c r="B992" s="22" t="s">
        <v>222</v>
      </c>
      <c r="C992" s="22" t="s">
        <v>78</v>
      </c>
      <c r="D992" s="22" t="s">
        <v>174</v>
      </c>
      <c r="E992" s="25">
        <v>2</v>
      </c>
      <c r="F992" s="25">
        <v>6095.2380952380954</v>
      </c>
    </row>
    <row r="993" spans="1:6">
      <c r="A993" t="str">
        <f>IFERROR(VLOOKUP(B993,[1]銷貨單品號主檔!$A:$D,4,0),"學習周邊")</f>
        <v>學習</v>
      </c>
      <c r="B993" s="22" t="s">
        <v>222</v>
      </c>
      <c r="C993" s="22" t="s">
        <v>81</v>
      </c>
      <c r="D993" s="22" t="s">
        <v>174</v>
      </c>
      <c r="E993" s="25">
        <v>1</v>
      </c>
      <c r="F993" s="25">
        <v>3047.6190476190477</v>
      </c>
    </row>
    <row r="994" spans="1:6">
      <c r="A994" t="str">
        <f>IFERROR(VLOOKUP(B994,[1]銷貨單品號主檔!$A:$D,4,0),"學習周邊")</f>
        <v>學習</v>
      </c>
      <c r="B994" s="22" t="s">
        <v>222</v>
      </c>
      <c r="C994" s="22" t="s">
        <v>83</v>
      </c>
      <c r="D994" s="22" t="s">
        <v>54</v>
      </c>
      <c r="E994" s="25">
        <v>1</v>
      </c>
      <c r="F994" s="25">
        <v>3047.6190476190477</v>
      </c>
    </row>
    <row r="995" spans="1:6">
      <c r="A995" t="str">
        <f>IFERROR(VLOOKUP(B995,[1]銷貨單品號主檔!$A:$D,4,0),"學習周邊")</f>
        <v>學習</v>
      </c>
      <c r="B995" s="22" t="s">
        <v>222</v>
      </c>
      <c r="C995" s="22" t="s">
        <v>83</v>
      </c>
      <c r="D995" s="22" t="s">
        <v>174</v>
      </c>
      <c r="E995" s="25">
        <v>3</v>
      </c>
      <c r="F995" s="25">
        <v>9142.8571428571431</v>
      </c>
    </row>
    <row r="996" spans="1:6">
      <c r="A996" t="str">
        <f>IFERROR(VLOOKUP(B996,[1]銷貨單品號主檔!$A:$D,4,0),"學習周邊")</f>
        <v>學習</v>
      </c>
      <c r="B996" s="22" t="s">
        <v>222</v>
      </c>
      <c r="C996" s="22" t="s">
        <v>85</v>
      </c>
      <c r="D996" s="22" t="s">
        <v>54</v>
      </c>
      <c r="E996" s="25">
        <v>1</v>
      </c>
      <c r="F996" s="25">
        <v>3047.6190476190477</v>
      </c>
    </row>
    <row r="997" spans="1:6">
      <c r="A997" t="str">
        <f>IFERROR(VLOOKUP(B997,[1]銷貨單品號主檔!$A:$D,4,0),"學習周邊")</f>
        <v>學習</v>
      </c>
      <c r="B997" s="22" t="s">
        <v>222</v>
      </c>
      <c r="C997" s="22" t="s">
        <v>85</v>
      </c>
      <c r="D997" s="22" t="s">
        <v>174</v>
      </c>
      <c r="E997" s="25">
        <v>3</v>
      </c>
      <c r="F997" s="25">
        <v>9142.8571428571431</v>
      </c>
    </row>
    <row r="998" spans="1:6">
      <c r="A998" t="str">
        <f>IFERROR(VLOOKUP(B998,[1]銷貨單品號主檔!$A:$D,4,0),"學習周邊")</f>
        <v>學習</v>
      </c>
      <c r="B998" s="22" t="s">
        <v>222</v>
      </c>
      <c r="C998" s="22" t="s">
        <v>87</v>
      </c>
      <c r="D998" s="22" t="s">
        <v>54</v>
      </c>
      <c r="E998" s="25">
        <v>1</v>
      </c>
      <c r="F998" s="25">
        <v>3047.6190476190477</v>
      </c>
    </row>
    <row r="999" spans="1:6">
      <c r="A999" t="str">
        <f>IFERROR(VLOOKUP(B999,[1]銷貨單品號主檔!$A:$D,4,0),"學習周邊")</f>
        <v>學習</v>
      </c>
      <c r="B999" s="22" t="s">
        <v>222</v>
      </c>
      <c r="C999" s="22" t="s">
        <v>87</v>
      </c>
      <c r="D999" s="22" t="s">
        <v>174</v>
      </c>
      <c r="E999" s="25">
        <v>16</v>
      </c>
      <c r="F999" s="25">
        <v>48761.904761904763</v>
      </c>
    </row>
    <row r="1000" spans="1:6">
      <c r="A1000" t="str">
        <f>IFERROR(VLOOKUP(B1000,[1]銷貨單品號主檔!$A:$D,4,0),"學習周邊")</f>
        <v>學習</v>
      </c>
      <c r="B1000" s="22" t="s">
        <v>222</v>
      </c>
      <c r="C1000" s="22" t="s">
        <v>90</v>
      </c>
      <c r="D1000" s="22" t="s">
        <v>54</v>
      </c>
      <c r="E1000" s="25">
        <v>2</v>
      </c>
      <c r="F1000" s="25">
        <v>6095.2380952380954</v>
      </c>
    </row>
    <row r="1001" spans="1:6">
      <c r="A1001" t="str">
        <f>IFERROR(VLOOKUP(B1001,[1]銷貨單品號主檔!$A:$D,4,0),"學習周邊")</f>
        <v>學習</v>
      </c>
      <c r="B1001" s="22" t="s">
        <v>222</v>
      </c>
      <c r="C1001" s="22" t="s">
        <v>53</v>
      </c>
      <c r="D1001" s="22" t="s">
        <v>54</v>
      </c>
      <c r="E1001" s="25">
        <v>3</v>
      </c>
      <c r="F1001" s="25">
        <v>9142.8571428571431</v>
      </c>
    </row>
    <row r="1002" spans="1:6">
      <c r="A1002" t="str">
        <f>IFERROR(VLOOKUP(B1002,[1]銷貨單品號主檔!$A:$D,4,0),"學習周邊")</f>
        <v>學習</v>
      </c>
      <c r="B1002" s="22" t="s">
        <v>222</v>
      </c>
      <c r="C1002" s="22" t="s">
        <v>92</v>
      </c>
      <c r="D1002" s="22" t="s">
        <v>54</v>
      </c>
      <c r="E1002" s="25">
        <v>3</v>
      </c>
      <c r="F1002" s="25">
        <v>9142.8571428571431</v>
      </c>
    </row>
    <row r="1003" spans="1:6">
      <c r="A1003" t="str">
        <f>IFERROR(VLOOKUP(B1003,[1]銷貨單品號主檔!$A:$D,4,0),"學習周邊")</f>
        <v>學習</v>
      </c>
      <c r="B1003" s="22" t="s">
        <v>222</v>
      </c>
      <c r="C1003" s="22" t="s">
        <v>92</v>
      </c>
      <c r="D1003" s="22" t="s">
        <v>174</v>
      </c>
      <c r="E1003" s="25">
        <v>5</v>
      </c>
      <c r="F1003" s="25">
        <v>15238.095238095237</v>
      </c>
    </row>
    <row r="1004" spans="1:6">
      <c r="A1004" t="str">
        <f>IFERROR(VLOOKUP(B1004,[1]銷貨單品號主檔!$A:$D,4,0),"學習周邊")</f>
        <v>學習</v>
      </c>
      <c r="B1004" s="22" t="s">
        <v>222</v>
      </c>
      <c r="C1004" s="22" t="s">
        <v>326</v>
      </c>
      <c r="D1004" s="22" t="s">
        <v>54</v>
      </c>
      <c r="E1004" s="25">
        <v>1</v>
      </c>
      <c r="F1004" s="25">
        <v>3047.6190476190477</v>
      </c>
    </row>
    <row r="1005" spans="1:6">
      <c r="A1005" t="str">
        <f>IFERROR(VLOOKUP(B1005,[1]銷貨單品號主檔!$A:$D,4,0),"學習周邊")</f>
        <v>學習</v>
      </c>
      <c r="B1005" s="22" t="s">
        <v>222</v>
      </c>
      <c r="C1005" s="22" t="s">
        <v>326</v>
      </c>
      <c r="D1005" s="22" t="s">
        <v>174</v>
      </c>
      <c r="E1005" s="25">
        <v>4</v>
      </c>
      <c r="F1005" s="25">
        <v>12190.476190476191</v>
      </c>
    </row>
    <row r="1006" spans="1:6">
      <c r="A1006" t="str">
        <f>IFERROR(VLOOKUP(B1006,[1]銷貨單品號主檔!$A:$D,4,0),"學習周邊")</f>
        <v>學習</v>
      </c>
      <c r="B1006" s="22" t="s">
        <v>222</v>
      </c>
      <c r="C1006" s="22" t="s">
        <v>328</v>
      </c>
      <c r="D1006" s="22" t="s">
        <v>54</v>
      </c>
      <c r="E1006" s="25">
        <v>4</v>
      </c>
      <c r="F1006" s="25">
        <v>12190.476190476191</v>
      </c>
    </row>
    <row r="1007" spans="1:6">
      <c r="A1007" t="str">
        <f>IFERROR(VLOOKUP(B1007,[1]銷貨單品號主檔!$A:$D,4,0),"學習周邊")</f>
        <v>學習</v>
      </c>
      <c r="B1007" s="22" t="s">
        <v>222</v>
      </c>
      <c r="C1007" s="22" t="s">
        <v>328</v>
      </c>
      <c r="D1007" s="22" t="s">
        <v>174</v>
      </c>
      <c r="E1007" s="25">
        <v>1</v>
      </c>
      <c r="F1007" s="25">
        <v>3047.6190476190477</v>
      </c>
    </row>
    <row r="1008" spans="1:6">
      <c r="A1008" t="str">
        <f>IFERROR(VLOOKUP(B1008,[1]銷貨單品號主檔!$A:$D,4,0),"學習周邊")</f>
        <v>學習</v>
      </c>
      <c r="B1008" s="22" t="s">
        <v>222</v>
      </c>
      <c r="C1008" s="22" t="s">
        <v>329</v>
      </c>
      <c r="D1008" s="22" t="s">
        <v>174</v>
      </c>
      <c r="E1008" s="25">
        <v>1</v>
      </c>
      <c r="F1008" s="25">
        <v>3047.6190476190477</v>
      </c>
    </row>
    <row r="1009" spans="1:6">
      <c r="A1009" t="str">
        <f>IFERROR(VLOOKUP(B1009,[1]銷貨單品號主檔!$A:$D,4,0),"學習周邊")</f>
        <v>學習</v>
      </c>
      <c r="B1009" s="22" t="s">
        <v>222</v>
      </c>
      <c r="C1009" s="22" t="s">
        <v>332</v>
      </c>
      <c r="D1009" s="22" t="s">
        <v>54</v>
      </c>
      <c r="E1009" s="25">
        <v>1</v>
      </c>
      <c r="F1009" s="25">
        <v>3047.6190476190477</v>
      </c>
    </row>
    <row r="1010" spans="1:6">
      <c r="A1010" t="str">
        <f>IFERROR(VLOOKUP(B1010,[1]銷貨單品號主檔!$A:$D,4,0),"學習周邊")</f>
        <v>學習</v>
      </c>
      <c r="B1010" s="22" t="s">
        <v>222</v>
      </c>
      <c r="C1010" s="22" t="s">
        <v>332</v>
      </c>
      <c r="D1010" s="22" t="s">
        <v>174</v>
      </c>
      <c r="E1010" s="25">
        <v>2</v>
      </c>
      <c r="F1010" s="25">
        <v>6095.2380952380954</v>
      </c>
    </row>
    <row r="1011" spans="1:6">
      <c r="A1011" t="str">
        <f>IFERROR(VLOOKUP(B1011,[1]銷貨單品號主檔!$A:$D,4,0),"學習周邊")</f>
        <v>學習</v>
      </c>
      <c r="B1011" s="22" t="s">
        <v>222</v>
      </c>
      <c r="C1011" s="22" t="s">
        <v>330</v>
      </c>
      <c r="D1011" s="22" t="s">
        <v>54</v>
      </c>
      <c r="E1011" s="25">
        <v>3</v>
      </c>
      <c r="F1011" s="25">
        <v>9142.8571428571431</v>
      </c>
    </row>
    <row r="1012" spans="1:6">
      <c r="A1012" t="str">
        <f>IFERROR(VLOOKUP(B1012,[1]銷貨單品號主檔!$A:$D,4,0),"學習周邊")</f>
        <v>學習</v>
      </c>
      <c r="B1012" s="22" t="s">
        <v>222</v>
      </c>
      <c r="C1012" s="22" t="s">
        <v>330</v>
      </c>
      <c r="D1012" s="22" t="s">
        <v>174</v>
      </c>
      <c r="E1012" s="25">
        <v>4</v>
      </c>
      <c r="F1012" s="25">
        <v>12190.476190476191</v>
      </c>
    </row>
    <row r="1013" spans="1:6">
      <c r="A1013" t="str">
        <f>IFERROR(VLOOKUP(B1013,[1]銷貨單品號主檔!$A:$D,4,0),"學習周邊")</f>
        <v>學習</v>
      </c>
      <c r="B1013" s="22" t="s">
        <v>222</v>
      </c>
      <c r="C1013" s="22" t="s">
        <v>331</v>
      </c>
      <c r="D1013" s="22" t="s">
        <v>174</v>
      </c>
      <c r="E1013" s="25">
        <v>3</v>
      </c>
      <c r="F1013" s="25">
        <v>9142.8571428571431</v>
      </c>
    </row>
    <row r="1014" spans="1:6">
      <c r="A1014" t="str">
        <f>IFERROR(VLOOKUP(B1014,[1]銷貨單品號主檔!$A:$D,4,0),"學習周邊")</f>
        <v>學習</v>
      </c>
      <c r="B1014" s="22" t="s">
        <v>222</v>
      </c>
      <c r="C1014" s="22" t="s">
        <v>349</v>
      </c>
      <c r="D1014" s="22" t="s">
        <v>54</v>
      </c>
      <c r="E1014" s="25">
        <v>5</v>
      </c>
      <c r="F1014" s="25">
        <v>15238.095238095237</v>
      </c>
    </row>
    <row r="1015" spans="1:6">
      <c r="A1015" t="str">
        <f>IFERROR(VLOOKUP(B1015,[1]銷貨單品號主檔!$A:$D,4,0),"學習周邊")</f>
        <v>學習</v>
      </c>
      <c r="B1015" s="22" t="s">
        <v>222</v>
      </c>
      <c r="C1015" s="22" t="s">
        <v>349</v>
      </c>
      <c r="D1015" s="22" t="s">
        <v>174</v>
      </c>
      <c r="E1015" s="25">
        <v>7</v>
      </c>
      <c r="F1015" s="25">
        <v>21333.333333333332</v>
      </c>
    </row>
    <row r="1016" spans="1:6">
      <c r="A1016" t="str">
        <f>IFERROR(VLOOKUP(B1016,[1]銷貨單品號主檔!$A:$D,4,0),"學習周邊")</f>
        <v>學習</v>
      </c>
      <c r="B1016" s="22" t="s">
        <v>222</v>
      </c>
      <c r="C1016" s="22" t="s">
        <v>354</v>
      </c>
      <c r="D1016" s="22" t="s">
        <v>54</v>
      </c>
      <c r="E1016" s="25">
        <v>4</v>
      </c>
      <c r="F1016" s="25">
        <v>12190.476190476191</v>
      </c>
    </row>
    <row r="1017" spans="1:6">
      <c r="A1017" t="str">
        <f>IFERROR(VLOOKUP(B1017,[1]銷貨單品號主檔!$A:$D,4,0),"學習周邊")</f>
        <v>學習</v>
      </c>
      <c r="B1017" s="22" t="s">
        <v>222</v>
      </c>
      <c r="C1017" s="22" t="s">
        <v>354</v>
      </c>
      <c r="D1017" s="22" t="s">
        <v>174</v>
      </c>
      <c r="E1017" s="25">
        <v>7</v>
      </c>
      <c r="F1017" s="25">
        <v>21333.333333333332</v>
      </c>
    </row>
    <row r="1018" spans="1:6">
      <c r="A1018" t="str">
        <f>IFERROR(VLOOKUP(B1018,[1]銷貨單品號主檔!$A:$D,4,0),"學習周邊")</f>
        <v>學習</v>
      </c>
      <c r="B1018" s="22" t="s">
        <v>222</v>
      </c>
      <c r="C1018" s="22" t="s">
        <v>353</v>
      </c>
      <c r="D1018" s="22" t="s">
        <v>54</v>
      </c>
      <c r="E1018" s="25">
        <v>1</v>
      </c>
      <c r="F1018" s="25">
        <v>3047.6190476190477</v>
      </c>
    </row>
    <row r="1019" spans="1:6">
      <c r="A1019" t="str">
        <f>IFERROR(VLOOKUP(B1019,[1]銷貨單品號主檔!$A:$D,4,0),"學習周邊")</f>
        <v>學習</v>
      </c>
      <c r="B1019" s="22" t="s">
        <v>339</v>
      </c>
      <c r="C1019" s="22" t="s">
        <v>330</v>
      </c>
      <c r="D1019" s="22" t="s">
        <v>54</v>
      </c>
      <c r="E1019" s="25">
        <v>1</v>
      </c>
      <c r="F1019" s="25">
        <v>3142.8571428571427</v>
      </c>
    </row>
    <row r="1020" spans="1:6">
      <c r="A1020" t="str">
        <f>IFERROR(VLOOKUP(B1020,[1]銷貨單品號主檔!$A:$D,4,0),"學習周邊")</f>
        <v>學習</v>
      </c>
      <c r="B1020" s="22" t="s">
        <v>226</v>
      </c>
      <c r="C1020" s="22" t="s">
        <v>65</v>
      </c>
      <c r="D1020" s="22" t="s">
        <v>54</v>
      </c>
      <c r="E1020" s="25">
        <v>1</v>
      </c>
      <c r="F1020" s="25">
        <v>2285.7142857142858</v>
      </c>
    </row>
    <row r="1021" spans="1:6">
      <c r="A1021" t="str">
        <f>IFERROR(VLOOKUP(B1021,[1]銷貨單品號主檔!$A:$D,4,0),"學習周邊")</f>
        <v>學習</v>
      </c>
      <c r="B1021" s="22" t="s">
        <v>226</v>
      </c>
      <c r="C1021" s="22" t="s">
        <v>92</v>
      </c>
      <c r="D1021" s="22" t="s">
        <v>54</v>
      </c>
      <c r="E1021" s="25">
        <v>1</v>
      </c>
      <c r="F1021" s="25">
        <v>2285.7142857142858</v>
      </c>
    </row>
    <row r="1022" spans="1:6">
      <c r="A1022" t="str">
        <f>IFERROR(VLOOKUP(B1022,[1]銷貨單品號主檔!$A:$D,4,0),"學習周邊")</f>
        <v>學習</v>
      </c>
      <c r="B1022" s="22" t="s">
        <v>356</v>
      </c>
      <c r="C1022" s="22" t="s">
        <v>354</v>
      </c>
      <c r="D1022" s="22" t="s">
        <v>174</v>
      </c>
      <c r="E1022" s="25">
        <v>1</v>
      </c>
      <c r="F1022" s="25">
        <v>951.42857142857144</v>
      </c>
    </row>
    <row r="1023" spans="1:6">
      <c r="A1023" t="str">
        <f>IFERROR(VLOOKUP(B1023,[1]銷貨單品號主檔!$A:$D,4,0),"學習周邊")</f>
        <v>學習周邊</v>
      </c>
      <c r="B1023" s="22" t="s">
        <v>55</v>
      </c>
      <c r="C1023" s="22" t="s">
        <v>56</v>
      </c>
      <c r="D1023" s="22" t="s">
        <v>54</v>
      </c>
      <c r="E1023" s="25">
        <v>1</v>
      </c>
      <c r="F1023" s="25">
        <v>189.52380952380952</v>
      </c>
    </row>
    <row r="1024" spans="1:6">
      <c r="A1024" t="str">
        <f>IFERROR(VLOOKUP(B1024,[1]銷貨單品號主檔!$A:$D,4,0),"學習周邊")</f>
        <v>學習周邊</v>
      </c>
      <c r="B1024" s="22" t="s">
        <v>55</v>
      </c>
      <c r="C1024" s="22" t="s">
        <v>62</v>
      </c>
      <c r="D1024" s="22" t="s">
        <v>54</v>
      </c>
      <c r="E1024" s="25">
        <v>2</v>
      </c>
      <c r="F1024" s="25">
        <v>474.28571428571428</v>
      </c>
    </row>
    <row r="1025" spans="1:6">
      <c r="A1025" t="str">
        <f>IFERROR(VLOOKUP(B1025,[1]銷貨單品號主檔!$A:$D,4,0),"學習周邊")</f>
        <v>學習周邊</v>
      </c>
      <c r="B1025" s="22" t="s">
        <v>55</v>
      </c>
      <c r="C1025" s="22" t="s">
        <v>65</v>
      </c>
      <c r="D1025" s="22" t="s">
        <v>54</v>
      </c>
      <c r="E1025" s="25">
        <v>2</v>
      </c>
      <c r="F1025" s="25">
        <v>474.28571428571428</v>
      </c>
    </row>
    <row r="1026" spans="1:6">
      <c r="A1026" t="str">
        <f>IFERROR(VLOOKUP(B1026,[1]銷貨單品號主檔!$A:$D,4,0),"學習周邊")</f>
        <v>學習周邊</v>
      </c>
      <c r="B1026" s="22" t="s">
        <v>55</v>
      </c>
      <c r="C1026" s="22" t="s">
        <v>67</v>
      </c>
      <c r="D1026" s="22" t="s">
        <v>54</v>
      </c>
      <c r="E1026" s="25">
        <v>5</v>
      </c>
      <c r="F1026" s="25">
        <v>1233.3333333333333</v>
      </c>
    </row>
    <row r="1027" spans="1:6">
      <c r="A1027" t="str">
        <f>IFERROR(VLOOKUP(B1027,[1]銷貨單品號主檔!$A:$D,4,0),"學習周邊")</f>
        <v>學習周邊</v>
      </c>
      <c r="B1027" s="22" t="s">
        <v>55</v>
      </c>
      <c r="C1027" s="22" t="s">
        <v>59</v>
      </c>
      <c r="D1027" s="22" t="s">
        <v>54</v>
      </c>
      <c r="E1027" s="25">
        <v>5</v>
      </c>
      <c r="F1027" s="25">
        <v>1138.0952380952381</v>
      </c>
    </row>
    <row r="1028" spans="1:6">
      <c r="A1028" t="str">
        <f>IFERROR(VLOOKUP(B1028,[1]銷貨單品號主檔!$A:$D,4,0),"學習周邊")</f>
        <v>學習周邊</v>
      </c>
      <c r="B1028" s="22" t="s">
        <v>55</v>
      </c>
      <c r="C1028" s="22" t="s">
        <v>66</v>
      </c>
      <c r="D1028" s="22" t="s">
        <v>54</v>
      </c>
      <c r="E1028" s="25">
        <v>13</v>
      </c>
      <c r="F1028" s="25">
        <v>2749.5238095238096</v>
      </c>
    </row>
    <row r="1029" spans="1:6">
      <c r="A1029" t="str">
        <f>IFERROR(VLOOKUP(B1029,[1]銷貨單品號主檔!$A:$D,4,0),"學習周邊")</f>
        <v>學習周邊</v>
      </c>
      <c r="B1029" s="22" t="s">
        <v>55</v>
      </c>
      <c r="C1029" s="22" t="s">
        <v>107</v>
      </c>
      <c r="D1029" s="22" t="s">
        <v>54</v>
      </c>
      <c r="E1029" s="25">
        <v>8</v>
      </c>
      <c r="F1029" s="25">
        <v>1706.6666666666665</v>
      </c>
    </row>
    <row r="1030" spans="1:6">
      <c r="A1030" t="str">
        <f>IFERROR(VLOOKUP(B1030,[1]銷貨單品號主檔!$A:$D,4,0),"學習周邊")</f>
        <v>學習周邊</v>
      </c>
      <c r="B1030" s="22" t="s">
        <v>55</v>
      </c>
      <c r="C1030" s="22" t="s">
        <v>72</v>
      </c>
      <c r="D1030" s="22" t="s">
        <v>54</v>
      </c>
      <c r="E1030" s="25">
        <v>6</v>
      </c>
      <c r="F1030" s="25">
        <v>1137.1428571428571</v>
      </c>
    </row>
    <row r="1031" spans="1:6">
      <c r="A1031" t="str">
        <f>IFERROR(VLOOKUP(B1031,[1]銷貨單品號主檔!$A:$D,4,0),"學習周邊")</f>
        <v>學習周邊</v>
      </c>
      <c r="B1031" s="22" t="s">
        <v>55</v>
      </c>
      <c r="C1031" s="22" t="s">
        <v>76</v>
      </c>
      <c r="D1031" s="22" t="s">
        <v>54</v>
      </c>
      <c r="E1031" s="25">
        <v>6</v>
      </c>
      <c r="F1031" s="25">
        <v>1232.3809523809523</v>
      </c>
    </row>
    <row r="1032" spans="1:6">
      <c r="A1032" t="str">
        <f>IFERROR(VLOOKUP(B1032,[1]銷貨單品號主檔!$A:$D,4,0),"學習周邊")</f>
        <v>學習周邊</v>
      </c>
      <c r="B1032" s="22" t="s">
        <v>55</v>
      </c>
      <c r="C1032" s="22" t="s">
        <v>78</v>
      </c>
      <c r="D1032" s="22" t="s">
        <v>54</v>
      </c>
      <c r="E1032" s="25">
        <v>6</v>
      </c>
      <c r="F1032" s="25">
        <v>1137.1428571428571</v>
      </c>
    </row>
    <row r="1033" spans="1:6">
      <c r="A1033" t="str">
        <f>IFERROR(VLOOKUP(B1033,[1]銷貨單品號主檔!$A:$D,4,0),"學習周邊")</f>
        <v>學習周邊</v>
      </c>
      <c r="B1033" s="22" t="s">
        <v>55</v>
      </c>
      <c r="C1033" s="22" t="s">
        <v>81</v>
      </c>
      <c r="D1033" s="22" t="s">
        <v>54</v>
      </c>
      <c r="E1033" s="25">
        <v>2</v>
      </c>
      <c r="F1033" s="25">
        <v>474.28571428571428</v>
      </c>
    </row>
    <row r="1034" spans="1:6">
      <c r="A1034" t="str">
        <f>IFERROR(VLOOKUP(B1034,[1]銷貨單品號主檔!$A:$D,4,0),"學習周邊")</f>
        <v>學習周邊</v>
      </c>
      <c r="B1034" s="22" t="s">
        <v>55</v>
      </c>
      <c r="C1034" s="22" t="s">
        <v>83</v>
      </c>
      <c r="D1034" s="22" t="s">
        <v>54</v>
      </c>
      <c r="E1034" s="25">
        <v>4</v>
      </c>
      <c r="F1034" s="25">
        <v>758.09523809523807</v>
      </c>
    </row>
    <row r="1035" spans="1:6">
      <c r="A1035" t="str">
        <f>IFERROR(VLOOKUP(B1035,[1]銷貨單品號主檔!$A:$D,4,0),"學習周邊")</f>
        <v>學習周邊</v>
      </c>
      <c r="B1035" s="22" t="s">
        <v>55</v>
      </c>
      <c r="C1035" s="22" t="s">
        <v>85</v>
      </c>
      <c r="D1035" s="22" t="s">
        <v>54</v>
      </c>
      <c r="E1035" s="25">
        <v>6</v>
      </c>
      <c r="F1035" s="25">
        <v>1327.6190476190475</v>
      </c>
    </row>
    <row r="1036" spans="1:6">
      <c r="A1036" t="str">
        <f>IFERROR(VLOOKUP(B1036,[1]銷貨單品號主檔!$A:$D,4,0),"學習周邊")</f>
        <v>學習周邊</v>
      </c>
      <c r="B1036" s="22" t="s">
        <v>55</v>
      </c>
      <c r="C1036" s="22" t="s">
        <v>87</v>
      </c>
      <c r="D1036" s="22" t="s">
        <v>54</v>
      </c>
      <c r="E1036" s="25">
        <v>14</v>
      </c>
      <c r="F1036" s="25">
        <v>2843.8095238095239</v>
      </c>
    </row>
    <row r="1037" spans="1:6">
      <c r="A1037" t="str">
        <f>IFERROR(VLOOKUP(B1037,[1]銷貨單品號主檔!$A:$D,4,0),"學習周邊")</f>
        <v>學習周邊</v>
      </c>
      <c r="B1037" s="22" t="s">
        <v>55</v>
      </c>
      <c r="C1037" s="22" t="s">
        <v>90</v>
      </c>
      <c r="D1037" s="22" t="s">
        <v>54</v>
      </c>
      <c r="E1037" s="25">
        <v>4</v>
      </c>
      <c r="F1037" s="25">
        <v>1043.8095238095239</v>
      </c>
    </row>
    <row r="1038" spans="1:6">
      <c r="A1038" t="str">
        <f>IFERROR(VLOOKUP(B1038,[1]銷貨單品號主檔!$A:$D,4,0),"學習周邊")</f>
        <v>學習周邊</v>
      </c>
      <c r="B1038" s="22" t="s">
        <v>55</v>
      </c>
      <c r="C1038" s="22" t="s">
        <v>88</v>
      </c>
      <c r="D1038" s="22" t="s">
        <v>54</v>
      </c>
      <c r="E1038" s="25">
        <v>3</v>
      </c>
      <c r="F1038" s="25">
        <v>854.28571428571422</v>
      </c>
    </row>
    <row r="1039" spans="1:6">
      <c r="A1039" t="str">
        <f>IFERROR(VLOOKUP(B1039,[1]銷貨單品號主檔!$A:$D,4,0),"學習周邊")</f>
        <v>學習周邊</v>
      </c>
      <c r="B1039" s="22" t="s">
        <v>55</v>
      </c>
      <c r="C1039" s="22" t="s">
        <v>108</v>
      </c>
      <c r="D1039" s="22" t="s">
        <v>54</v>
      </c>
      <c r="E1039" s="25">
        <v>4</v>
      </c>
      <c r="F1039" s="25">
        <v>758.09523809523807</v>
      </c>
    </row>
    <row r="1040" spans="1:6">
      <c r="A1040" t="str">
        <f>IFERROR(VLOOKUP(B1040,[1]銷貨單品號主檔!$A:$D,4,0),"學習周邊")</f>
        <v>學習周邊</v>
      </c>
      <c r="B1040" s="22" t="s">
        <v>55</v>
      </c>
      <c r="C1040" s="22" t="s">
        <v>53</v>
      </c>
      <c r="D1040" s="22" t="s">
        <v>54</v>
      </c>
      <c r="E1040" s="25">
        <v>6</v>
      </c>
      <c r="F1040" s="25">
        <v>1232.3809523809523</v>
      </c>
    </row>
    <row r="1041" spans="1:6">
      <c r="A1041" t="str">
        <f>IFERROR(VLOOKUP(B1041,[1]銷貨單品號主檔!$A:$D,4,0),"學習周邊")</f>
        <v>學習周邊</v>
      </c>
      <c r="B1041" s="22" t="s">
        <v>55</v>
      </c>
      <c r="C1041" s="22" t="s">
        <v>92</v>
      </c>
      <c r="D1041" s="22" t="s">
        <v>54</v>
      </c>
      <c r="E1041" s="25">
        <v>5</v>
      </c>
      <c r="F1041" s="25">
        <v>947.61904761904759</v>
      </c>
    </row>
    <row r="1042" spans="1:6">
      <c r="A1042" t="str">
        <f>IFERROR(VLOOKUP(B1042,[1]銷貨單品號主檔!$A:$D,4,0),"學習周邊")</f>
        <v>學習周邊</v>
      </c>
      <c r="B1042" s="22" t="s">
        <v>55</v>
      </c>
      <c r="C1042" s="22" t="s">
        <v>326</v>
      </c>
      <c r="D1042" s="22" t="s">
        <v>54</v>
      </c>
      <c r="E1042" s="25">
        <v>4</v>
      </c>
      <c r="F1042" s="25">
        <v>758.09523809523807</v>
      </c>
    </row>
    <row r="1043" spans="1:6">
      <c r="A1043" t="str">
        <f>IFERROR(VLOOKUP(B1043,[1]銷貨單品號主檔!$A:$D,4,0),"學習周邊")</f>
        <v>學習周邊</v>
      </c>
      <c r="B1043" s="22" t="s">
        <v>55</v>
      </c>
      <c r="C1043" s="22" t="s">
        <v>328</v>
      </c>
      <c r="D1043" s="22" t="s">
        <v>54</v>
      </c>
      <c r="E1043" s="25">
        <v>5</v>
      </c>
      <c r="F1043" s="25">
        <v>1138.0952380952381</v>
      </c>
    </row>
    <row r="1044" spans="1:6">
      <c r="A1044" t="str">
        <f>IFERROR(VLOOKUP(B1044,[1]銷貨單品號主檔!$A:$D,4,0),"學習周邊")</f>
        <v>學習周邊</v>
      </c>
      <c r="B1044" s="22" t="s">
        <v>55</v>
      </c>
      <c r="C1044" s="22" t="s">
        <v>329</v>
      </c>
      <c r="D1044" s="22" t="s">
        <v>54</v>
      </c>
      <c r="E1044" s="25">
        <v>4</v>
      </c>
      <c r="F1044" s="25">
        <v>948.57142857142856</v>
      </c>
    </row>
    <row r="1045" spans="1:6">
      <c r="A1045" t="str">
        <f>IFERROR(VLOOKUP(B1045,[1]銷貨單品號主檔!$A:$D,4,0),"學習周邊")</f>
        <v>學習周邊</v>
      </c>
      <c r="B1045" s="22" t="s">
        <v>55</v>
      </c>
      <c r="C1045" s="22" t="s">
        <v>332</v>
      </c>
      <c r="D1045" s="22" t="s">
        <v>54</v>
      </c>
      <c r="E1045" s="25">
        <v>1</v>
      </c>
      <c r="F1045" s="25">
        <v>189.52380952380952</v>
      </c>
    </row>
    <row r="1046" spans="1:6">
      <c r="A1046" t="str">
        <f>IFERROR(VLOOKUP(B1046,[1]銷貨單品號主檔!$A:$D,4,0),"學習周邊")</f>
        <v>學習周邊</v>
      </c>
      <c r="B1046" s="22" t="s">
        <v>55</v>
      </c>
      <c r="C1046" s="22" t="s">
        <v>330</v>
      </c>
      <c r="D1046" s="22" t="s">
        <v>54</v>
      </c>
      <c r="E1046" s="25">
        <v>5</v>
      </c>
      <c r="F1046" s="25">
        <v>1233.3333333333333</v>
      </c>
    </row>
    <row r="1047" spans="1:6">
      <c r="A1047" t="str">
        <f>IFERROR(VLOOKUP(B1047,[1]銷貨單品號主檔!$A:$D,4,0),"學習周邊")</f>
        <v>學習周邊</v>
      </c>
      <c r="B1047" s="22" t="s">
        <v>55</v>
      </c>
      <c r="C1047" s="22" t="s">
        <v>331</v>
      </c>
      <c r="D1047" s="22" t="s">
        <v>54</v>
      </c>
      <c r="E1047" s="25">
        <v>6</v>
      </c>
      <c r="F1047" s="25">
        <v>1232.3809523809523</v>
      </c>
    </row>
    <row r="1048" spans="1:6">
      <c r="A1048" t="str">
        <f>IFERROR(VLOOKUP(B1048,[1]銷貨單品號主檔!$A:$D,4,0),"學習周邊")</f>
        <v>學習周邊</v>
      </c>
      <c r="B1048" s="22" t="s">
        <v>55</v>
      </c>
      <c r="C1048" s="22" t="s">
        <v>349</v>
      </c>
      <c r="D1048" s="22" t="s">
        <v>54</v>
      </c>
      <c r="E1048" s="25">
        <v>4</v>
      </c>
      <c r="F1048" s="25">
        <v>758.09523809523807</v>
      </c>
    </row>
    <row r="1049" spans="1:6">
      <c r="A1049" t="str">
        <f>IFERROR(VLOOKUP(B1049,[1]銷貨單品號主檔!$A:$D,4,0),"學習周邊")</f>
        <v>學習周邊</v>
      </c>
      <c r="B1049" s="22" t="s">
        <v>55</v>
      </c>
      <c r="C1049" s="22" t="s">
        <v>354</v>
      </c>
      <c r="D1049" s="22" t="s">
        <v>54</v>
      </c>
      <c r="E1049" s="25">
        <v>4</v>
      </c>
      <c r="F1049" s="25">
        <v>758.09523809523807</v>
      </c>
    </row>
    <row r="1050" spans="1:6">
      <c r="A1050" t="str">
        <f>IFERROR(VLOOKUP(B1050,[1]銷貨單品號主檔!$A:$D,4,0),"學習周邊")</f>
        <v>學習周邊</v>
      </c>
      <c r="B1050" s="22" t="s">
        <v>55</v>
      </c>
      <c r="C1050" s="22" t="s">
        <v>353</v>
      </c>
      <c r="D1050" s="22" t="s">
        <v>54</v>
      </c>
      <c r="E1050" s="25">
        <v>3</v>
      </c>
      <c r="F1050" s="25">
        <v>663.80952380952374</v>
      </c>
    </row>
    <row r="1051" spans="1:6">
      <c r="A1051" t="str">
        <f>IFERROR(VLOOKUP(B1051,[1]銷貨單品號主檔!$A:$D,4,0),"學習周邊")</f>
        <v>學習周邊</v>
      </c>
      <c r="B1051" s="22" t="s">
        <v>228</v>
      </c>
      <c r="C1051" s="22" t="s">
        <v>56</v>
      </c>
      <c r="D1051" s="22" t="s">
        <v>54</v>
      </c>
      <c r="E1051" s="25">
        <v>1</v>
      </c>
      <c r="F1051" s="25">
        <v>4951.4285714285716</v>
      </c>
    </row>
    <row r="1052" spans="1:6">
      <c r="A1052" t="str">
        <f>IFERROR(VLOOKUP(B1052,[1]銷貨單品號主檔!$A:$D,4,0),"學習周邊")</f>
        <v>學習周邊</v>
      </c>
      <c r="B1052" s="22" t="s">
        <v>228</v>
      </c>
      <c r="C1052" s="22" t="s">
        <v>59</v>
      </c>
      <c r="D1052" s="22" t="s">
        <v>54</v>
      </c>
      <c r="E1052" s="25">
        <v>1</v>
      </c>
      <c r="F1052" s="25">
        <v>4951.4285714285716</v>
      </c>
    </row>
    <row r="1053" spans="1:6">
      <c r="A1053" t="str">
        <f>IFERROR(VLOOKUP(B1053,[1]銷貨單品號主檔!$A:$D,4,0),"學習周邊")</f>
        <v>學習周邊</v>
      </c>
      <c r="B1053" s="22" t="s">
        <v>228</v>
      </c>
      <c r="C1053" s="22" t="s">
        <v>78</v>
      </c>
      <c r="D1053" s="22" t="s">
        <v>54</v>
      </c>
      <c r="E1053" s="25">
        <v>1</v>
      </c>
      <c r="F1053" s="25">
        <v>4951.4285714285716</v>
      </c>
    </row>
    <row r="1054" spans="1:6">
      <c r="A1054" t="str">
        <f>IFERROR(VLOOKUP(B1054,[1]銷貨單品號主檔!$A:$D,4,0),"學習周邊")</f>
        <v>學習周邊</v>
      </c>
      <c r="B1054" s="22" t="s">
        <v>228</v>
      </c>
      <c r="C1054" s="22" t="s">
        <v>87</v>
      </c>
      <c r="D1054" s="22" t="s">
        <v>174</v>
      </c>
      <c r="E1054" s="25">
        <v>1</v>
      </c>
      <c r="F1054" s="25">
        <v>4951.4285714285716</v>
      </c>
    </row>
    <row r="1055" spans="1:6">
      <c r="A1055" t="str">
        <f>IFERROR(VLOOKUP(B1055,[1]銷貨單品號主檔!$A:$D,4,0),"學習周邊")</f>
        <v>學習周邊</v>
      </c>
      <c r="B1055" s="22" t="s">
        <v>228</v>
      </c>
      <c r="C1055" s="22" t="s">
        <v>330</v>
      </c>
      <c r="D1055" s="22" t="s">
        <v>54</v>
      </c>
      <c r="E1055" s="25">
        <v>1</v>
      </c>
      <c r="F1055" s="25">
        <v>4951.4285714285716</v>
      </c>
    </row>
    <row r="1056" spans="1:6">
      <c r="A1056" t="str">
        <f>IFERROR(VLOOKUP(B1056,[1]銷貨單品號主檔!$A:$D,4,0),"學習周邊")</f>
        <v>生活周邊</v>
      </c>
      <c r="B1056" s="22" t="s">
        <v>234</v>
      </c>
      <c r="C1056" s="22" t="s">
        <v>66</v>
      </c>
      <c r="D1056" s="22" t="s">
        <v>54</v>
      </c>
      <c r="E1056" s="25">
        <v>3</v>
      </c>
      <c r="F1056" s="25">
        <v>3140</v>
      </c>
    </row>
    <row r="1057" spans="1:6">
      <c r="A1057" t="str">
        <f>IFERROR(VLOOKUP(B1057,[1]銷貨單品號主檔!$A:$D,4,0),"學習周邊")</f>
        <v>生活周邊</v>
      </c>
      <c r="B1057" s="22" t="s">
        <v>234</v>
      </c>
      <c r="C1057" s="22" t="s">
        <v>81</v>
      </c>
      <c r="D1057" s="22" t="s">
        <v>54</v>
      </c>
      <c r="E1057" s="25">
        <v>1</v>
      </c>
      <c r="F1057" s="25">
        <v>1046.6666666666665</v>
      </c>
    </row>
    <row r="1058" spans="1:6">
      <c r="A1058" t="str">
        <f>IFERROR(VLOOKUP(B1058,[1]銷貨單品號主檔!$A:$D,4,0),"學習周邊")</f>
        <v>生活周邊</v>
      </c>
      <c r="B1058" s="22" t="s">
        <v>232</v>
      </c>
      <c r="C1058" s="22" t="s">
        <v>56</v>
      </c>
      <c r="D1058" s="22" t="s">
        <v>54</v>
      </c>
      <c r="E1058" s="25">
        <v>1</v>
      </c>
      <c r="F1058" s="25">
        <v>856.19047619047615</v>
      </c>
    </row>
    <row r="1059" spans="1:6">
      <c r="A1059" t="str">
        <f>IFERROR(VLOOKUP(B1059,[1]銷貨單品號主檔!$A:$D,4,0),"學習周邊")</f>
        <v>生活周邊</v>
      </c>
      <c r="B1059" s="22" t="s">
        <v>232</v>
      </c>
      <c r="C1059" s="22" t="s">
        <v>59</v>
      </c>
      <c r="D1059" s="22" t="s">
        <v>54</v>
      </c>
      <c r="E1059" s="25">
        <v>1</v>
      </c>
      <c r="F1059" s="25">
        <v>856.19047619047615</v>
      </c>
    </row>
    <row r="1060" spans="1:6">
      <c r="A1060" t="str">
        <f>IFERROR(VLOOKUP(B1060,[1]銷貨單品號主檔!$A:$D,4,0),"學習周邊")</f>
        <v>生活周邊</v>
      </c>
      <c r="B1060" s="22" t="s">
        <v>232</v>
      </c>
      <c r="C1060" s="22" t="s">
        <v>76</v>
      </c>
      <c r="D1060" s="22" t="s">
        <v>54</v>
      </c>
      <c r="E1060" s="25">
        <v>2</v>
      </c>
      <c r="F1060" s="25">
        <v>1712.3809523809523</v>
      </c>
    </row>
    <row r="1061" spans="1:6">
      <c r="A1061" t="str">
        <f>IFERROR(VLOOKUP(B1061,[1]銷貨單品號主檔!$A:$D,4,0),"學習周邊")</f>
        <v>生活周邊</v>
      </c>
      <c r="B1061" s="22" t="s">
        <v>232</v>
      </c>
      <c r="C1061" s="22" t="s">
        <v>81</v>
      </c>
      <c r="D1061" s="22" t="s">
        <v>54</v>
      </c>
      <c r="E1061" s="25">
        <v>1</v>
      </c>
      <c r="F1061" s="25">
        <v>856.19047619047615</v>
      </c>
    </row>
    <row r="1062" spans="1:6">
      <c r="A1062" t="str">
        <f>IFERROR(VLOOKUP(B1062,[1]銷貨單品號主檔!$A:$D,4,0),"學習周邊")</f>
        <v>生活周邊</v>
      </c>
      <c r="B1062" s="22" t="s">
        <v>232</v>
      </c>
      <c r="C1062" s="22" t="s">
        <v>85</v>
      </c>
      <c r="D1062" s="22" t="s">
        <v>54</v>
      </c>
      <c r="E1062" s="25">
        <v>1</v>
      </c>
      <c r="F1062" s="25">
        <v>856.19047619047615</v>
      </c>
    </row>
    <row r="1063" spans="1:6">
      <c r="A1063" t="str">
        <f>IFERROR(VLOOKUP(B1063,[1]銷貨單品號主檔!$A:$D,4,0),"學習周邊")</f>
        <v>生活周邊</v>
      </c>
      <c r="B1063" s="22" t="s">
        <v>232</v>
      </c>
      <c r="C1063" s="22" t="s">
        <v>92</v>
      </c>
      <c r="D1063" s="22" t="s">
        <v>54</v>
      </c>
      <c r="E1063" s="25">
        <v>1</v>
      </c>
      <c r="F1063" s="25">
        <v>856.19047619047615</v>
      </c>
    </row>
    <row r="1064" spans="1:6">
      <c r="A1064" t="str">
        <f>IFERROR(VLOOKUP(B1064,[1]銷貨單品號主檔!$A:$D,4,0),"學習周邊")</f>
        <v>生活周邊</v>
      </c>
      <c r="B1064" s="22" t="s">
        <v>232</v>
      </c>
      <c r="C1064" s="22" t="s">
        <v>326</v>
      </c>
      <c r="D1064" s="22" t="s">
        <v>54</v>
      </c>
      <c r="E1064" s="25">
        <v>1</v>
      </c>
      <c r="F1064" s="25">
        <v>856.19047619047615</v>
      </c>
    </row>
    <row r="1065" spans="1:6">
      <c r="A1065" t="str">
        <f>IFERROR(VLOOKUP(B1065,[1]銷貨單品號主檔!$A:$D,4,0),"學習周邊")</f>
        <v>生活周邊</v>
      </c>
      <c r="B1065" s="22" t="s">
        <v>232</v>
      </c>
      <c r="C1065" s="22" t="s">
        <v>328</v>
      </c>
      <c r="D1065" s="22" t="s">
        <v>54</v>
      </c>
      <c r="E1065" s="25">
        <v>1</v>
      </c>
      <c r="F1065" s="25">
        <v>856.19047619047615</v>
      </c>
    </row>
    <row r="1066" spans="1:6">
      <c r="A1066" t="str">
        <f>IFERROR(VLOOKUP(B1066,[1]銷貨單品號主檔!$A:$D,4,0),"學習周邊")</f>
        <v>生活周邊</v>
      </c>
      <c r="B1066" s="22" t="s">
        <v>294</v>
      </c>
      <c r="C1066" s="22" t="s">
        <v>56</v>
      </c>
      <c r="D1066" s="22" t="s">
        <v>54</v>
      </c>
      <c r="E1066" s="25">
        <v>1</v>
      </c>
      <c r="F1066" s="25">
        <v>1428.5714285714284</v>
      </c>
    </row>
    <row r="1067" spans="1:6">
      <c r="A1067" t="str">
        <f>IFERROR(VLOOKUP(B1067,[1]銷貨單品號主檔!$A:$D,4,0),"學習周邊")</f>
        <v>生活周邊</v>
      </c>
      <c r="B1067" s="22" t="s">
        <v>294</v>
      </c>
      <c r="C1067" s="22" t="s">
        <v>62</v>
      </c>
      <c r="D1067" s="22" t="s">
        <v>54</v>
      </c>
      <c r="E1067" s="25">
        <v>1</v>
      </c>
      <c r="F1067" s="25">
        <v>1428.5714285714284</v>
      </c>
    </row>
    <row r="1068" spans="1:6">
      <c r="A1068" t="str">
        <f>IFERROR(VLOOKUP(B1068,[1]銷貨單品號主檔!$A:$D,4,0),"學習周邊")</f>
        <v>生活周邊</v>
      </c>
      <c r="B1068" s="22" t="s">
        <v>294</v>
      </c>
      <c r="C1068" s="22" t="s">
        <v>59</v>
      </c>
      <c r="D1068" s="22" t="s">
        <v>54</v>
      </c>
      <c r="E1068" s="25">
        <v>1</v>
      </c>
      <c r="F1068" s="25">
        <v>1428.5714285714284</v>
      </c>
    </row>
    <row r="1069" spans="1:6">
      <c r="A1069" t="str">
        <f>IFERROR(VLOOKUP(B1069,[1]銷貨單品號主檔!$A:$D,4,0),"學習周邊")</f>
        <v>生活周邊</v>
      </c>
      <c r="B1069" s="22" t="s">
        <v>294</v>
      </c>
      <c r="C1069" s="22" t="s">
        <v>107</v>
      </c>
      <c r="D1069" s="22" t="s">
        <v>54</v>
      </c>
      <c r="E1069" s="25">
        <v>1</v>
      </c>
      <c r="F1069" s="25">
        <v>1428.5714285714284</v>
      </c>
    </row>
    <row r="1070" spans="1:6">
      <c r="A1070" t="str">
        <f>IFERROR(VLOOKUP(B1070,[1]銷貨單品號主檔!$A:$D,4,0),"學習周邊")</f>
        <v>生活周邊</v>
      </c>
      <c r="B1070" s="22" t="s">
        <v>294</v>
      </c>
      <c r="C1070" s="22" t="s">
        <v>72</v>
      </c>
      <c r="D1070" s="22" t="s">
        <v>54</v>
      </c>
      <c r="E1070" s="25">
        <v>1</v>
      </c>
      <c r="F1070" s="25">
        <v>1428.5714285714284</v>
      </c>
    </row>
    <row r="1071" spans="1:6">
      <c r="A1071" t="str">
        <f>IFERROR(VLOOKUP(B1071,[1]銷貨單品號主檔!$A:$D,4,0),"學習周邊")</f>
        <v>生活周邊</v>
      </c>
      <c r="B1071" s="22" t="s">
        <v>294</v>
      </c>
      <c r="C1071" s="22" t="s">
        <v>83</v>
      </c>
      <c r="D1071" s="22" t="s">
        <v>54</v>
      </c>
      <c r="E1071" s="25">
        <v>1</v>
      </c>
      <c r="F1071" s="25">
        <v>1428.5714285714284</v>
      </c>
    </row>
    <row r="1072" spans="1:6">
      <c r="A1072" t="str">
        <f>IFERROR(VLOOKUP(B1072,[1]銷貨單品號主檔!$A:$D,4,0),"學習周邊")</f>
        <v>生活周邊</v>
      </c>
      <c r="B1072" s="22" t="s">
        <v>294</v>
      </c>
      <c r="C1072" s="22" t="s">
        <v>92</v>
      </c>
      <c r="D1072" s="22" t="s">
        <v>54</v>
      </c>
      <c r="E1072" s="25">
        <v>2</v>
      </c>
      <c r="F1072" s="25">
        <v>2857.1428571428569</v>
      </c>
    </row>
    <row r="1073" spans="1:6">
      <c r="A1073" t="str">
        <f>IFERROR(VLOOKUP(B1073,[1]銷貨單品號主檔!$A:$D,4,0),"學習周邊")</f>
        <v>生活周邊</v>
      </c>
      <c r="B1073" s="22" t="s">
        <v>294</v>
      </c>
      <c r="C1073" s="22" t="s">
        <v>330</v>
      </c>
      <c r="D1073" s="22" t="s">
        <v>54</v>
      </c>
      <c r="E1073" s="25">
        <v>1</v>
      </c>
      <c r="F1073" s="25">
        <v>1428.5714285714284</v>
      </c>
    </row>
    <row r="1074" spans="1:6">
      <c r="A1074" t="str">
        <f>IFERROR(VLOOKUP(B1074,[1]銷貨單品號主檔!$A:$D,4,0),"學習周邊")</f>
        <v>生活周邊</v>
      </c>
      <c r="B1074" s="22" t="s">
        <v>294</v>
      </c>
      <c r="C1074" s="22" t="s">
        <v>331</v>
      </c>
      <c r="D1074" s="22" t="s">
        <v>54</v>
      </c>
      <c r="E1074" s="25">
        <v>1</v>
      </c>
      <c r="F1074" s="25">
        <v>1428.5714285714284</v>
      </c>
    </row>
    <row r="1075" spans="1:6">
      <c r="A1075" t="str">
        <f>IFERROR(VLOOKUP(B1075,[1]銷貨單品號主檔!$A:$D,4,0),"學習周邊")</f>
        <v>生活周邊</v>
      </c>
      <c r="B1075" s="22" t="s">
        <v>295</v>
      </c>
      <c r="C1075" s="22" t="s">
        <v>56</v>
      </c>
      <c r="D1075" s="22" t="s">
        <v>54</v>
      </c>
      <c r="E1075" s="25">
        <v>2</v>
      </c>
      <c r="F1075" s="25">
        <v>2664.7619047619046</v>
      </c>
    </row>
    <row r="1076" spans="1:6">
      <c r="A1076" t="str">
        <f>IFERROR(VLOOKUP(B1076,[1]銷貨單品號主檔!$A:$D,4,0),"學習周邊")</f>
        <v>生活周邊</v>
      </c>
      <c r="B1076" s="22" t="s">
        <v>295</v>
      </c>
      <c r="C1076" s="22" t="s">
        <v>60</v>
      </c>
      <c r="D1076" s="22" t="s">
        <v>54</v>
      </c>
      <c r="E1076" s="25">
        <v>1</v>
      </c>
      <c r="F1076" s="25">
        <v>1332.3809523809523</v>
      </c>
    </row>
    <row r="1077" spans="1:6">
      <c r="A1077" t="str">
        <f>IFERROR(VLOOKUP(B1077,[1]銷貨單品號主檔!$A:$D,4,0),"學習周邊")</f>
        <v>生活周邊</v>
      </c>
      <c r="B1077" s="22" t="s">
        <v>295</v>
      </c>
      <c r="C1077" s="22" t="s">
        <v>65</v>
      </c>
      <c r="D1077" s="22" t="s">
        <v>54</v>
      </c>
      <c r="E1077" s="25">
        <v>1</v>
      </c>
      <c r="F1077" s="25">
        <v>1332.3809523809523</v>
      </c>
    </row>
    <row r="1078" spans="1:6">
      <c r="A1078" t="str">
        <f>IFERROR(VLOOKUP(B1078,[1]銷貨單品號主檔!$A:$D,4,0),"學習周邊")</f>
        <v>生活周邊</v>
      </c>
      <c r="B1078" s="22" t="s">
        <v>295</v>
      </c>
      <c r="C1078" s="22" t="s">
        <v>107</v>
      </c>
      <c r="D1078" s="22" t="s">
        <v>54</v>
      </c>
      <c r="E1078" s="25">
        <v>1</v>
      </c>
      <c r="F1078" s="25">
        <v>1332.3809523809523</v>
      </c>
    </row>
    <row r="1079" spans="1:6">
      <c r="A1079" t="str">
        <f>IFERROR(VLOOKUP(B1079,[1]銷貨單品號主檔!$A:$D,4,0),"學習周邊")</f>
        <v>生活周邊</v>
      </c>
      <c r="B1079" s="22" t="s">
        <v>295</v>
      </c>
      <c r="C1079" s="22" t="s">
        <v>72</v>
      </c>
      <c r="D1079" s="22" t="s">
        <v>54</v>
      </c>
      <c r="E1079" s="25">
        <v>1</v>
      </c>
      <c r="F1079" s="25">
        <v>1332.3809523809523</v>
      </c>
    </row>
    <row r="1080" spans="1:6">
      <c r="A1080" t="str">
        <f>IFERROR(VLOOKUP(B1080,[1]銷貨單品號主檔!$A:$D,4,0),"學習周邊")</f>
        <v>生活周邊</v>
      </c>
      <c r="B1080" s="22" t="s">
        <v>295</v>
      </c>
      <c r="C1080" s="22" t="s">
        <v>108</v>
      </c>
      <c r="D1080" s="22" t="s">
        <v>54</v>
      </c>
      <c r="E1080" s="25">
        <v>1</v>
      </c>
      <c r="F1080" s="25">
        <v>1332.3809523809523</v>
      </c>
    </row>
    <row r="1081" spans="1:6">
      <c r="A1081" t="str">
        <f>IFERROR(VLOOKUP(B1081,[1]銷貨單品號主檔!$A:$D,4,0),"學習周邊")</f>
        <v>生活周邊</v>
      </c>
      <c r="B1081" s="22" t="s">
        <v>295</v>
      </c>
      <c r="C1081" s="22" t="s">
        <v>53</v>
      </c>
      <c r="D1081" s="22" t="s">
        <v>54</v>
      </c>
      <c r="E1081" s="25">
        <v>1</v>
      </c>
      <c r="F1081" s="25">
        <v>1332.3809523809523</v>
      </c>
    </row>
    <row r="1082" spans="1:6">
      <c r="A1082" t="str">
        <f>IFERROR(VLOOKUP(B1082,[1]銷貨單品號主檔!$A:$D,4,0),"學習周邊")</f>
        <v>生活周邊</v>
      </c>
      <c r="B1082" s="22" t="s">
        <v>295</v>
      </c>
      <c r="C1082" s="22" t="s">
        <v>326</v>
      </c>
      <c r="D1082" s="22" t="s">
        <v>54</v>
      </c>
      <c r="E1082" s="25">
        <v>1</v>
      </c>
      <c r="F1082" s="25">
        <v>1332.3809523809523</v>
      </c>
    </row>
    <row r="1083" spans="1:6">
      <c r="A1083" t="str">
        <f>IFERROR(VLOOKUP(B1083,[1]銷貨單品號主檔!$A:$D,4,0),"學習周邊")</f>
        <v>生活周邊</v>
      </c>
      <c r="B1083" s="22" t="s">
        <v>295</v>
      </c>
      <c r="C1083" s="22" t="s">
        <v>330</v>
      </c>
      <c r="D1083" s="22" t="s">
        <v>54</v>
      </c>
      <c r="E1083" s="25">
        <v>1</v>
      </c>
      <c r="F1083" s="25">
        <v>1332.3809523809523</v>
      </c>
    </row>
    <row r="1084" spans="1:6">
      <c r="A1084" t="str">
        <f>IFERROR(VLOOKUP(B1084,[1]銷貨單品號主檔!$A:$D,4,0),"學習周邊")</f>
        <v>生活周邊</v>
      </c>
      <c r="B1084" s="22" t="s">
        <v>295</v>
      </c>
      <c r="C1084" s="22" t="s">
        <v>349</v>
      </c>
      <c r="D1084" s="22" t="s">
        <v>54</v>
      </c>
      <c r="E1084" s="25">
        <v>1</v>
      </c>
      <c r="F1084" s="25">
        <v>1332.3809523809523</v>
      </c>
    </row>
    <row r="1085" spans="1:6">
      <c r="A1085" t="str">
        <f>IFERROR(VLOOKUP(B1085,[1]銷貨單品號主檔!$A:$D,4,0),"學習周邊")</f>
        <v>生活周邊</v>
      </c>
      <c r="B1085" s="22" t="s">
        <v>296</v>
      </c>
      <c r="C1085" s="22" t="s">
        <v>72</v>
      </c>
      <c r="D1085" s="22" t="s">
        <v>54</v>
      </c>
      <c r="E1085" s="25">
        <v>1</v>
      </c>
      <c r="F1085" s="25">
        <v>475.23809523809524</v>
      </c>
    </row>
    <row r="1086" spans="1:6">
      <c r="A1086" t="str">
        <f>IFERROR(VLOOKUP(B1086,[1]銷貨單品號主檔!$A:$D,4,0),"學習周邊")</f>
        <v>生活周邊</v>
      </c>
      <c r="B1086" s="22" t="s">
        <v>296</v>
      </c>
      <c r="C1086" s="22" t="s">
        <v>108</v>
      </c>
      <c r="D1086" s="22" t="s">
        <v>54</v>
      </c>
      <c r="E1086" s="25">
        <v>1</v>
      </c>
      <c r="F1086" s="25">
        <v>475.23809523809524</v>
      </c>
    </row>
    <row r="1087" spans="1:6">
      <c r="A1087" t="str">
        <f>IFERROR(VLOOKUP(B1087,[1]銷貨單品號主檔!$A:$D,4,0),"學習周邊")</f>
        <v>生活周邊</v>
      </c>
      <c r="B1087" s="22" t="s">
        <v>297</v>
      </c>
      <c r="C1087" s="22" t="s">
        <v>59</v>
      </c>
      <c r="D1087" s="22" t="s">
        <v>54</v>
      </c>
      <c r="E1087" s="25">
        <v>1</v>
      </c>
      <c r="F1087" s="25">
        <v>475.23809523809524</v>
      </c>
    </row>
    <row r="1088" spans="1:6">
      <c r="A1088" t="str">
        <f>IFERROR(VLOOKUP(B1088,[1]銷貨單品號主檔!$A:$D,4,0),"學習周邊")</f>
        <v>生活周邊</v>
      </c>
      <c r="B1088" s="22" t="s">
        <v>297</v>
      </c>
      <c r="C1088" s="22" t="s">
        <v>72</v>
      </c>
      <c r="D1088" s="22" t="s">
        <v>54</v>
      </c>
      <c r="E1088" s="25">
        <v>1</v>
      </c>
      <c r="F1088" s="25">
        <v>380</v>
      </c>
    </row>
    <row r="1089" spans="1:6">
      <c r="A1089" t="str">
        <f>IFERROR(VLOOKUP(B1089,[1]銷貨單品號主檔!$A:$D,4,0),"學習周邊")</f>
        <v>生活周邊</v>
      </c>
      <c r="B1089" s="22" t="s">
        <v>297</v>
      </c>
      <c r="C1089" s="22" t="s">
        <v>76</v>
      </c>
      <c r="D1089" s="22" t="s">
        <v>54</v>
      </c>
      <c r="E1089" s="25">
        <v>2</v>
      </c>
      <c r="F1089" s="25">
        <v>855.23809523809518</v>
      </c>
    </row>
    <row r="1090" spans="1:6">
      <c r="A1090" t="str">
        <f>IFERROR(VLOOKUP(B1090,[1]銷貨單品號主檔!$A:$D,4,0),"學習周邊")</f>
        <v>生活周邊</v>
      </c>
      <c r="B1090" s="22" t="s">
        <v>297</v>
      </c>
      <c r="C1090" s="22" t="s">
        <v>53</v>
      </c>
      <c r="D1090" s="22" t="s">
        <v>54</v>
      </c>
      <c r="E1090" s="25">
        <v>1</v>
      </c>
      <c r="F1090" s="25">
        <v>475.23809523809524</v>
      </c>
    </row>
    <row r="1091" spans="1:6">
      <c r="A1091" t="str">
        <f>IFERROR(VLOOKUP(B1091,[1]銷貨單品號主檔!$A:$D,4,0),"學習周邊")</f>
        <v>生活周邊</v>
      </c>
      <c r="B1091" s="22" t="s">
        <v>298</v>
      </c>
      <c r="C1091" s="22" t="s">
        <v>56</v>
      </c>
      <c r="D1091" s="22" t="s">
        <v>54</v>
      </c>
      <c r="E1091" s="25">
        <v>1</v>
      </c>
      <c r="F1091" s="25">
        <v>284.76190476190476</v>
      </c>
    </row>
    <row r="1092" spans="1:6">
      <c r="A1092" t="str">
        <f>IFERROR(VLOOKUP(B1092,[1]銷貨單品號主檔!$A:$D,4,0),"學習周邊")</f>
        <v>生活周邊</v>
      </c>
      <c r="B1092" s="22" t="s">
        <v>298</v>
      </c>
      <c r="C1092" s="22" t="s">
        <v>59</v>
      </c>
      <c r="D1092" s="22" t="s">
        <v>54</v>
      </c>
      <c r="E1092" s="25">
        <v>1</v>
      </c>
      <c r="F1092" s="25">
        <v>284.76190476190476</v>
      </c>
    </row>
    <row r="1093" spans="1:6">
      <c r="A1093" t="str">
        <f>IFERROR(VLOOKUP(B1093,[1]銷貨單品號主檔!$A:$D,4,0),"學習周邊")</f>
        <v>生活周邊</v>
      </c>
      <c r="B1093" s="22" t="s">
        <v>298</v>
      </c>
      <c r="C1093" s="22" t="s">
        <v>66</v>
      </c>
      <c r="D1093" s="22" t="s">
        <v>54</v>
      </c>
      <c r="E1093" s="25">
        <v>1</v>
      </c>
      <c r="F1093" s="25">
        <v>284.76190476190476</v>
      </c>
    </row>
    <row r="1094" spans="1:6">
      <c r="A1094" t="str">
        <f>IFERROR(VLOOKUP(B1094,[1]銷貨單品號主檔!$A:$D,4,0),"學習周邊")</f>
        <v>生活周邊</v>
      </c>
      <c r="B1094" s="22" t="s">
        <v>298</v>
      </c>
      <c r="C1094" s="22" t="s">
        <v>87</v>
      </c>
      <c r="D1094" s="22" t="s">
        <v>54</v>
      </c>
      <c r="E1094" s="25">
        <v>1</v>
      </c>
      <c r="F1094" s="25">
        <v>284.76190476190476</v>
      </c>
    </row>
    <row r="1095" spans="1:6">
      <c r="A1095" t="str">
        <f>IFERROR(VLOOKUP(B1095,[1]銷貨單品號主檔!$A:$D,4,0),"學習周邊")</f>
        <v>生活周邊</v>
      </c>
      <c r="B1095" s="22" t="s">
        <v>298</v>
      </c>
      <c r="C1095" s="22" t="s">
        <v>332</v>
      </c>
      <c r="D1095" s="22" t="s">
        <v>54</v>
      </c>
      <c r="E1095" s="25">
        <v>1</v>
      </c>
      <c r="F1095" s="25">
        <v>284.76190476190476</v>
      </c>
    </row>
    <row r="1096" spans="1:6">
      <c r="A1096" t="str">
        <f>IFERROR(VLOOKUP(B1096,[1]銷貨單品號主檔!$A:$D,4,0),"學習周邊")</f>
        <v>生活周邊</v>
      </c>
      <c r="B1096" s="22" t="s">
        <v>299</v>
      </c>
      <c r="C1096" s="22" t="s">
        <v>60</v>
      </c>
      <c r="D1096" s="22" t="s">
        <v>54</v>
      </c>
      <c r="E1096" s="25">
        <v>2</v>
      </c>
      <c r="F1096" s="25">
        <v>760</v>
      </c>
    </row>
    <row r="1097" spans="1:6">
      <c r="A1097" t="str">
        <f>IFERROR(VLOOKUP(B1097,[1]銷貨單品號主檔!$A:$D,4,0),"學習周邊")</f>
        <v>生活周邊</v>
      </c>
      <c r="B1097" s="22" t="s">
        <v>299</v>
      </c>
      <c r="C1097" s="22" t="s">
        <v>59</v>
      </c>
      <c r="D1097" s="22" t="s">
        <v>54</v>
      </c>
      <c r="E1097" s="25">
        <v>1</v>
      </c>
      <c r="F1097" s="25">
        <v>380</v>
      </c>
    </row>
    <row r="1098" spans="1:6">
      <c r="A1098" t="str">
        <f>IFERROR(VLOOKUP(B1098,[1]銷貨單品號主檔!$A:$D,4,0),"學習周邊")</f>
        <v>生活周邊</v>
      </c>
      <c r="B1098" s="22" t="s">
        <v>299</v>
      </c>
      <c r="C1098" s="22" t="s">
        <v>66</v>
      </c>
      <c r="D1098" s="22" t="s">
        <v>54</v>
      </c>
      <c r="E1098" s="25">
        <v>1</v>
      </c>
      <c r="F1098" s="25">
        <v>380</v>
      </c>
    </row>
    <row r="1099" spans="1:6">
      <c r="A1099" t="str">
        <f>IFERROR(VLOOKUP(B1099,[1]銷貨單品號主檔!$A:$D,4,0),"學習周邊")</f>
        <v>生活周邊</v>
      </c>
      <c r="B1099" s="22" t="s">
        <v>299</v>
      </c>
      <c r="C1099" s="22" t="s">
        <v>76</v>
      </c>
      <c r="D1099" s="22" t="s">
        <v>54</v>
      </c>
      <c r="E1099" s="25">
        <v>1</v>
      </c>
      <c r="F1099" s="25">
        <v>380</v>
      </c>
    </row>
    <row r="1100" spans="1:6">
      <c r="A1100" t="str">
        <f>IFERROR(VLOOKUP(B1100,[1]銷貨單品號主檔!$A:$D,4,0),"學習周邊")</f>
        <v>生活周邊</v>
      </c>
      <c r="B1100" s="22" t="s">
        <v>299</v>
      </c>
      <c r="C1100" s="22" t="s">
        <v>78</v>
      </c>
      <c r="D1100" s="22" t="s">
        <v>54</v>
      </c>
      <c r="E1100" s="25">
        <v>1</v>
      </c>
      <c r="F1100" s="25">
        <v>380</v>
      </c>
    </row>
    <row r="1101" spans="1:6">
      <c r="A1101" t="str">
        <f>IFERROR(VLOOKUP(B1101,[1]銷貨單品號主檔!$A:$D,4,0),"學習周邊")</f>
        <v>生活周邊</v>
      </c>
      <c r="B1101" s="22" t="s">
        <v>299</v>
      </c>
      <c r="C1101" s="22" t="s">
        <v>85</v>
      </c>
      <c r="D1101" s="22" t="s">
        <v>54</v>
      </c>
      <c r="E1101" s="25">
        <v>1</v>
      </c>
      <c r="F1101" s="25">
        <v>380</v>
      </c>
    </row>
    <row r="1102" spans="1:6">
      <c r="A1102" t="str">
        <f>IFERROR(VLOOKUP(B1102,[1]銷貨單品號主檔!$A:$D,4,0),"學習周邊")</f>
        <v>生活周邊</v>
      </c>
      <c r="B1102" s="22" t="s">
        <v>299</v>
      </c>
      <c r="C1102" s="22" t="s">
        <v>332</v>
      </c>
      <c r="D1102" s="22" t="s">
        <v>54</v>
      </c>
      <c r="E1102" s="25">
        <v>1</v>
      </c>
      <c r="F1102" s="25">
        <v>380</v>
      </c>
    </row>
    <row r="1103" spans="1:6">
      <c r="A1103" t="str">
        <f>IFERROR(VLOOKUP(B1103,[1]銷貨單品號主檔!$A:$D,4,0),"學習周邊")</f>
        <v>生活周邊</v>
      </c>
      <c r="B1103" s="22" t="s">
        <v>300</v>
      </c>
      <c r="C1103" s="22" t="s">
        <v>81</v>
      </c>
      <c r="D1103" s="22" t="s">
        <v>54</v>
      </c>
      <c r="E1103" s="25">
        <v>1</v>
      </c>
      <c r="F1103" s="25">
        <v>190.47619047619048</v>
      </c>
    </row>
    <row r="1104" spans="1:6">
      <c r="A1104" t="str">
        <f>IFERROR(VLOOKUP(B1104,[1]銷貨單品號主檔!$A:$D,4,0),"學習周邊")</f>
        <v>生活周邊</v>
      </c>
      <c r="B1104" s="22" t="s">
        <v>300</v>
      </c>
      <c r="C1104" s="22" t="s">
        <v>85</v>
      </c>
      <c r="D1104" s="22" t="s">
        <v>54</v>
      </c>
      <c r="E1104" s="25">
        <v>1</v>
      </c>
      <c r="F1104" s="25">
        <v>190.47619047619048</v>
      </c>
    </row>
    <row r="1105" spans="1:6">
      <c r="A1105" t="str">
        <f>IFERROR(VLOOKUP(B1105,[1]銷貨單品號主檔!$A:$D,4,0),"學習周邊")</f>
        <v>生活周邊</v>
      </c>
      <c r="B1105" s="22" t="s">
        <v>300</v>
      </c>
      <c r="C1105" s="22" t="s">
        <v>53</v>
      </c>
      <c r="D1105" s="22" t="s">
        <v>54</v>
      </c>
      <c r="E1105" s="25">
        <v>1</v>
      </c>
      <c r="F1105" s="25">
        <v>190.47619047619048</v>
      </c>
    </row>
    <row r="1106" spans="1:6">
      <c r="A1106" t="str">
        <f>IFERROR(VLOOKUP(B1106,[1]銷貨單品號主檔!$A:$D,4,0),"學習周邊")</f>
        <v>學習周邊</v>
      </c>
      <c r="B1106" s="22" t="s">
        <v>301</v>
      </c>
      <c r="C1106" s="22" t="s">
        <v>92</v>
      </c>
      <c r="D1106" s="22" t="s">
        <v>54</v>
      </c>
      <c r="E1106" s="25">
        <v>0</v>
      </c>
      <c r="F1106" s="25">
        <v>0</v>
      </c>
    </row>
    <row r="1107" spans="1:6">
      <c r="A1107" t="str">
        <f>IFERROR(VLOOKUP(B1107,[1]銷貨單品號主檔!$A:$D,4,0),"學習周邊")</f>
        <v>學習周邊</v>
      </c>
      <c r="B1107" s="22" t="s">
        <v>301</v>
      </c>
      <c r="C1107" s="22" t="s">
        <v>326</v>
      </c>
      <c r="D1107" s="22" t="s">
        <v>54</v>
      </c>
      <c r="E1107" s="25">
        <v>0</v>
      </c>
      <c r="F1107" s="25">
        <v>0</v>
      </c>
    </row>
    <row r="1108" spans="1:6">
      <c r="A1108" t="str">
        <f>IFERROR(VLOOKUP(B1108,[1]銷貨單品號主檔!$A:$D,4,0),"學習周邊")</f>
        <v>學習周邊</v>
      </c>
      <c r="B1108" s="22" t="s">
        <v>301</v>
      </c>
      <c r="C1108" s="22" t="s">
        <v>328</v>
      </c>
      <c r="D1108" s="22" t="s">
        <v>54</v>
      </c>
      <c r="E1108" s="25">
        <v>0</v>
      </c>
      <c r="F1108" s="25">
        <v>0</v>
      </c>
    </row>
    <row r="1109" spans="1:6">
      <c r="A1109" t="str">
        <f>IFERROR(VLOOKUP(B1109,[1]銷貨單品號主檔!$A:$D,4,0),"學習周邊")</f>
        <v>學習周邊</v>
      </c>
      <c r="B1109" s="22" t="s">
        <v>301</v>
      </c>
      <c r="C1109" s="22" t="s">
        <v>329</v>
      </c>
      <c r="D1109" s="22" t="s">
        <v>54</v>
      </c>
      <c r="E1109" s="25">
        <v>0</v>
      </c>
      <c r="F1109" s="25">
        <v>0</v>
      </c>
    </row>
    <row r="1110" spans="1:6">
      <c r="A1110" t="str">
        <f>IFERROR(VLOOKUP(B1110,[1]銷貨單品號主檔!$A:$D,4,0),"學習周邊")</f>
        <v>學習周邊</v>
      </c>
      <c r="B1110" s="22" t="s">
        <v>301</v>
      </c>
      <c r="C1110" s="22" t="s">
        <v>332</v>
      </c>
      <c r="D1110" s="22" t="s">
        <v>54</v>
      </c>
      <c r="E1110" s="25">
        <v>0</v>
      </c>
      <c r="F1110" s="25">
        <v>0</v>
      </c>
    </row>
    <row r="1111" spans="1:6">
      <c r="A1111" t="str">
        <f>IFERROR(VLOOKUP(B1111,[1]銷貨單品號主檔!$A:$D,4,0),"學習周邊")</f>
        <v>學習周邊</v>
      </c>
      <c r="B1111" s="22" t="s">
        <v>301</v>
      </c>
      <c r="C1111" s="22" t="s">
        <v>330</v>
      </c>
      <c r="D1111" s="22" t="s">
        <v>54</v>
      </c>
      <c r="E1111" s="25">
        <v>0</v>
      </c>
      <c r="F1111" s="25">
        <v>0</v>
      </c>
    </row>
    <row r="1112" spans="1:6">
      <c r="A1112" t="str">
        <f>IFERROR(VLOOKUP(B1112,[1]銷貨單品號主檔!$A:$D,4,0),"學習周邊")</f>
        <v>學習周邊</v>
      </c>
      <c r="B1112" s="22" t="s">
        <v>301</v>
      </c>
      <c r="C1112" s="22" t="s">
        <v>331</v>
      </c>
      <c r="D1112" s="22" t="s">
        <v>54</v>
      </c>
      <c r="E1112" s="25">
        <v>0</v>
      </c>
      <c r="F1112" s="25">
        <v>0</v>
      </c>
    </row>
    <row r="1113" spans="1:6">
      <c r="A1113" t="str">
        <f>IFERROR(VLOOKUP(B1113,[1]銷貨單品號主檔!$A:$D,4,0),"學習周邊")</f>
        <v>學習周邊</v>
      </c>
      <c r="B1113" s="22" t="s">
        <v>301</v>
      </c>
      <c r="C1113" s="22" t="s">
        <v>349</v>
      </c>
      <c r="D1113" s="22" t="s">
        <v>54</v>
      </c>
      <c r="E1113" s="25">
        <v>0</v>
      </c>
      <c r="F1113" s="25">
        <v>0</v>
      </c>
    </row>
    <row r="1114" spans="1:6">
      <c r="A1114" t="str">
        <f>IFERROR(VLOOKUP(B1114,[1]銷貨單品號主檔!$A:$D,4,0),"學習周邊")</f>
        <v>學習周邊</v>
      </c>
      <c r="B1114" s="22" t="s">
        <v>301</v>
      </c>
      <c r="C1114" s="22" t="s">
        <v>354</v>
      </c>
      <c r="D1114" s="22" t="s">
        <v>54</v>
      </c>
      <c r="E1114" s="25">
        <v>0</v>
      </c>
      <c r="F1114" s="25">
        <v>0</v>
      </c>
    </row>
    <row r="1115" spans="1:6">
      <c r="A1115" t="str">
        <f>IFERROR(VLOOKUP(B1115,[1]銷貨單品號主檔!$A:$D,4,0),"學習周邊")</f>
        <v>學習周邊</v>
      </c>
      <c r="B1115" s="22" t="s">
        <v>229</v>
      </c>
      <c r="C1115" s="22" t="s">
        <v>60</v>
      </c>
      <c r="D1115" s="22" t="s">
        <v>54</v>
      </c>
      <c r="E1115" s="25">
        <v>1</v>
      </c>
      <c r="F1115" s="25">
        <v>495.23809523809524</v>
      </c>
    </row>
    <row r="1116" spans="1:6">
      <c r="A1116" t="str">
        <f>IFERROR(VLOOKUP(B1116,[1]銷貨單品號主檔!$A:$D,4,0),"學習周邊")</f>
        <v>學習周邊</v>
      </c>
      <c r="B1116" s="22" t="s">
        <v>229</v>
      </c>
      <c r="C1116" s="22" t="s">
        <v>59</v>
      </c>
      <c r="D1116" s="22" t="s">
        <v>54</v>
      </c>
      <c r="E1116" s="25">
        <v>3</v>
      </c>
      <c r="F1116" s="25">
        <v>1255.2380952380952</v>
      </c>
    </row>
    <row r="1117" spans="1:6">
      <c r="A1117" t="str">
        <f>IFERROR(VLOOKUP(B1117,[1]銷貨單品號主檔!$A:$D,4,0),"學習周邊")</f>
        <v>學習周邊</v>
      </c>
      <c r="B1117" s="22" t="s">
        <v>229</v>
      </c>
      <c r="C1117" s="22" t="s">
        <v>66</v>
      </c>
      <c r="D1117" s="22" t="s">
        <v>54</v>
      </c>
      <c r="E1117" s="25">
        <v>1</v>
      </c>
      <c r="F1117" s="25">
        <v>495.23809523809524</v>
      </c>
    </row>
    <row r="1118" spans="1:6">
      <c r="A1118" t="str">
        <f>IFERROR(VLOOKUP(B1118,[1]銷貨單品號主檔!$A:$D,4,0),"學習周邊")</f>
        <v>學習周邊</v>
      </c>
      <c r="B1118" s="22" t="s">
        <v>229</v>
      </c>
      <c r="C1118" s="22" t="s">
        <v>107</v>
      </c>
      <c r="D1118" s="22" t="s">
        <v>54</v>
      </c>
      <c r="E1118" s="25">
        <v>2</v>
      </c>
      <c r="F1118" s="25">
        <v>875.23809523809518</v>
      </c>
    </row>
    <row r="1119" spans="1:6">
      <c r="A1119" t="str">
        <f>IFERROR(VLOOKUP(B1119,[1]銷貨單品號主檔!$A:$D,4,0),"學習周邊")</f>
        <v>學習周邊</v>
      </c>
      <c r="B1119" s="22" t="s">
        <v>229</v>
      </c>
      <c r="C1119" s="22" t="s">
        <v>72</v>
      </c>
      <c r="D1119" s="22" t="s">
        <v>54</v>
      </c>
      <c r="E1119" s="25">
        <v>2</v>
      </c>
      <c r="F1119" s="25">
        <v>875.23809523809518</v>
      </c>
    </row>
    <row r="1120" spans="1:6">
      <c r="A1120" t="str">
        <f>IFERROR(VLOOKUP(B1120,[1]銷貨單品號主檔!$A:$D,4,0),"學習周邊")</f>
        <v>學習周邊</v>
      </c>
      <c r="B1120" s="22" t="s">
        <v>229</v>
      </c>
      <c r="C1120" s="22" t="s">
        <v>78</v>
      </c>
      <c r="D1120" s="22" t="s">
        <v>54</v>
      </c>
      <c r="E1120" s="25">
        <v>1</v>
      </c>
      <c r="F1120" s="25">
        <v>380</v>
      </c>
    </row>
    <row r="1121" spans="1:6">
      <c r="A1121" t="str">
        <f>IFERROR(VLOOKUP(B1121,[1]銷貨單品號主檔!$A:$D,4,0),"學習周邊")</f>
        <v>學習周邊</v>
      </c>
      <c r="B1121" s="22" t="s">
        <v>229</v>
      </c>
      <c r="C1121" s="22" t="s">
        <v>78</v>
      </c>
      <c r="D1121" s="22" t="s">
        <v>174</v>
      </c>
      <c r="E1121" s="25">
        <v>1</v>
      </c>
      <c r="F1121" s="25">
        <v>495.23809523809524</v>
      </c>
    </row>
    <row r="1122" spans="1:6">
      <c r="A1122" t="str">
        <f>IFERROR(VLOOKUP(B1122,[1]銷貨單品號主檔!$A:$D,4,0),"學習周邊")</f>
        <v>學習周邊</v>
      </c>
      <c r="B1122" s="22" t="s">
        <v>229</v>
      </c>
      <c r="C1122" s="22" t="s">
        <v>81</v>
      </c>
      <c r="D1122" s="22" t="s">
        <v>54</v>
      </c>
      <c r="E1122" s="25">
        <v>10</v>
      </c>
      <c r="F1122" s="25">
        <v>3800</v>
      </c>
    </row>
    <row r="1123" spans="1:6">
      <c r="A1123" t="str">
        <f>IFERROR(VLOOKUP(B1123,[1]銷貨單品號主檔!$A:$D,4,0),"學習周邊")</f>
        <v>學習周邊</v>
      </c>
      <c r="B1123" s="22" t="s">
        <v>229</v>
      </c>
      <c r="C1123" s="22" t="s">
        <v>83</v>
      </c>
      <c r="D1123" s="22" t="s">
        <v>54</v>
      </c>
      <c r="E1123" s="25">
        <v>16</v>
      </c>
      <c r="F1123" s="25">
        <v>6080</v>
      </c>
    </row>
    <row r="1124" spans="1:6">
      <c r="A1124" t="str">
        <f>IFERROR(VLOOKUP(B1124,[1]銷貨單品號主檔!$A:$D,4,0),"學習周邊")</f>
        <v>學習周邊</v>
      </c>
      <c r="B1124" s="22" t="s">
        <v>229</v>
      </c>
      <c r="C1124" s="22" t="s">
        <v>83</v>
      </c>
      <c r="D1124" s="22" t="s">
        <v>174</v>
      </c>
      <c r="E1124" s="25">
        <v>1</v>
      </c>
      <c r="F1124" s="25">
        <v>495.23809523809524</v>
      </c>
    </row>
    <row r="1125" spans="1:6">
      <c r="A1125" t="str">
        <f>IFERROR(VLOOKUP(B1125,[1]銷貨單品號主檔!$A:$D,4,0),"學習周邊")</f>
        <v>學習周邊</v>
      </c>
      <c r="B1125" s="22" t="s">
        <v>229</v>
      </c>
      <c r="C1125" s="22" t="s">
        <v>85</v>
      </c>
      <c r="D1125" s="22" t="s">
        <v>54</v>
      </c>
      <c r="E1125" s="25">
        <v>9</v>
      </c>
      <c r="F1125" s="25">
        <v>3420</v>
      </c>
    </row>
    <row r="1126" spans="1:6">
      <c r="A1126" t="str">
        <f>IFERROR(VLOOKUP(B1126,[1]銷貨單品號主檔!$A:$D,4,0),"學習周邊")</f>
        <v>學習周邊</v>
      </c>
      <c r="B1126" s="22" t="s">
        <v>229</v>
      </c>
      <c r="C1126" s="22" t="s">
        <v>85</v>
      </c>
      <c r="D1126" s="22" t="s">
        <v>174</v>
      </c>
      <c r="E1126" s="25">
        <v>1</v>
      </c>
      <c r="F1126" s="25">
        <v>495.23809523809524</v>
      </c>
    </row>
    <row r="1127" spans="1:6">
      <c r="A1127" t="str">
        <f>IFERROR(VLOOKUP(B1127,[1]銷貨單品號主檔!$A:$D,4,0),"學習周邊")</f>
        <v>學習周邊</v>
      </c>
      <c r="B1127" s="22" t="s">
        <v>229</v>
      </c>
      <c r="C1127" s="22" t="s">
        <v>87</v>
      </c>
      <c r="D1127" s="22" t="s">
        <v>54</v>
      </c>
      <c r="E1127" s="25">
        <v>7</v>
      </c>
      <c r="F1127" s="25">
        <v>2660</v>
      </c>
    </row>
    <row r="1128" spans="1:6">
      <c r="A1128" t="str">
        <f>IFERROR(VLOOKUP(B1128,[1]銷貨單品號主檔!$A:$D,4,0),"學習周邊")</f>
        <v>學習周邊</v>
      </c>
      <c r="B1128" s="22" t="s">
        <v>229</v>
      </c>
      <c r="C1128" s="22" t="s">
        <v>90</v>
      </c>
      <c r="D1128" s="22" t="s">
        <v>54</v>
      </c>
      <c r="E1128" s="25">
        <v>4</v>
      </c>
      <c r="F1128" s="25">
        <v>1520</v>
      </c>
    </row>
    <row r="1129" spans="1:6">
      <c r="A1129" t="str">
        <f>IFERROR(VLOOKUP(B1129,[1]銷貨單品號主檔!$A:$D,4,0),"學習周邊")</f>
        <v>學習周邊</v>
      </c>
      <c r="B1129" s="22" t="s">
        <v>229</v>
      </c>
      <c r="C1129" s="22" t="s">
        <v>88</v>
      </c>
      <c r="D1129" s="22" t="s">
        <v>54</v>
      </c>
      <c r="E1129" s="25">
        <v>4</v>
      </c>
      <c r="F1129" s="25">
        <v>1520</v>
      </c>
    </row>
    <row r="1130" spans="1:6">
      <c r="A1130" t="str">
        <f>IFERROR(VLOOKUP(B1130,[1]銷貨單品號主檔!$A:$D,4,0),"學習周邊")</f>
        <v>學習周邊</v>
      </c>
      <c r="B1130" s="22" t="s">
        <v>229</v>
      </c>
      <c r="C1130" s="22" t="s">
        <v>108</v>
      </c>
      <c r="D1130" s="22" t="s">
        <v>54</v>
      </c>
      <c r="E1130" s="25">
        <v>1</v>
      </c>
      <c r="F1130" s="25">
        <v>380</v>
      </c>
    </row>
    <row r="1131" spans="1:6">
      <c r="A1131" t="str">
        <f>IFERROR(VLOOKUP(B1131,[1]銷貨單品號主檔!$A:$D,4,0),"學習周邊")</f>
        <v>學習周邊</v>
      </c>
      <c r="B1131" s="22" t="s">
        <v>229</v>
      </c>
      <c r="C1131" s="22" t="s">
        <v>92</v>
      </c>
      <c r="D1131" s="22" t="s">
        <v>54</v>
      </c>
      <c r="E1131" s="25">
        <v>1</v>
      </c>
      <c r="F1131" s="25">
        <v>380</v>
      </c>
    </row>
    <row r="1132" spans="1:6">
      <c r="A1132" t="str">
        <f>IFERROR(VLOOKUP(B1132,[1]銷貨單品號主檔!$A:$D,4,0),"學習周邊")</f>
        <v>學習周邊</v>
      </c>
      <c r="B1132" s="22" t="s">
        <v>229</v>
      </c>
      <c r="C1132" s="22" t="s">
        <v>326</v>
      </c>
      <c r="D1132" s="22" t="s">
        <v>54</v>
      </c>
      <c r="E1132" s="25">
        <v>3</v>
      </c>
      <c r="F1132" s="25">
        <v>1485.7142857142856</v>
      </c>
    </row>
    <row r="1133" spans="1:6">
      <c r="A1133" t="str">
        <f>IFERROR(VLOOKUP(B1133,[1]銷貨單品號主檔!$A:$D,4,0),"學習周邊")</f>
        <v>學習周邊</v>
      </c>
      <c r="B1133" s="22" t="s">
        <v>229</v>
      </c>
      <c r="C1133" s="22" t="s">
        <v>326</v>
      </c>
      <c r="D1133" s="22" t="s">
        <v>174</v>
      </c>
      <c r="E1133" s="25">
        <v>1</v>
      </c>
      <c r="F1133" s="25">
        <v>495.23809523809524</v>
      </c>
    </row>
    <row r="1134" spans="1:6">
      <c r="A1134" t="str">
        <f>IFERROR(VLOOKUP(B1134,[1]銷貨單品號主檔!$A:$D,4,0),"學習周邊")</f>
        <v>學習周邊</v>
      </c>
      <c r="B1134" s="22" t="s">
        <v>229</v>
      </c>
      <c r="C1134" s="22" t="s">
        <v>330</v>
      </c>
      <c r="D1134" s="22" t="s">
        <v>54</v>
      </c>
      <c r="E1134" s="25">
        <v>1</v>
      </c>
      <c r="F1134" s="25">
        <v>380</v>
      </c>
    </row>
    <row r="1135" spans="1:6">
      <c r="A1135" t="str">
        <f>IFERROR(VLOOKUP(B1135,[1]銷貨單品號主檔!$A:$D,4,0),"學習周邊")</f>
        <v>學習周邊</v>
      </c>
      <c r="B1135" s="22" t="s">
        <v>229</v>
      </c>
      <c r="C1135" s="22" t="s">
        <v>349</v>
      </c>
      <c r="D1135" s="22" t="s">
        <v>54</v>
      </c>
      <c r="E1135" s="25">
        <v>1</v>
      </c>
      <c r="F1135" s="25">
        <v>380</v>
      </c>
    </row>
    <row r="1136" spans="1:6">
      <c r="A1136" t="str">
        <f>IFERROR(VLOOKUP(B1136,[1]銷貨單品號主檔!$A:$D,4,0),"學習周邊")</f>
        <v>學習周邊</v>
      </c>
      <c r="B1136" s="22" t="s">
        <v>229</v>
      </c>
      <c r="C1136" s="22" t="s">
        <v>354</v>
      </c>
      <c r="D1136" s="22" t="s">
        <v>54</v>
      </c>
      <c r="E1136" s="25">
        <v>2</v>
      </c>
      <c r="F1136" s="25">
        <v>760</v>
      </c>
    </row>
    <row r="1137" spans="1:6">
      <c r="A1137" t="str">
        <f>IFERROR(VLOOKUP(B1137,[1]銷貨單品號主檔!$A:$D,4,0),"學習周邊")</f>
        <v>學習周邊</v>
      </c>
      <c r="B1137" s="22" t="s">
        <v>229</v>
      </c>
      <c r="C1137" s="22" t="s">
        <v>353</v>
      </c>
      <c r="D1137" s="22" t="s">
        <v>54</v>
      </c>
      <c r="E1137" s="25">
        <v>1</v>
      </c>
      <c r="F1137" s="25">
        <v>380</v>
      </c>
    </row>
    <row r="1138" spans="1:6">
      <c r="A1138" t="str">
        <f>IFERROR(VLOOKUP(B1138,[1]銷貨單品號主檔!$A:$D,4,0),"學習周邊")</f>
        <v>學習周邊</v>
      </c>
      <c r="B1138" s="22" t="s">
        <v>302</v>
      </c>
      <c r="C1138" s="22" t="s">
        <v>67</v>
      </c>
      <c r="D1138" s="22" t="s">
        <v>54</v>
      </c>
      <c r="E1138" s="25">
        <v>0</v>
      </c>
      <c r="F1138" s="25">
        <v>0</v>
      </c>
    </row>
    <row r="1139" spans="1:6">
      <c r="A1139" t="str">
        <f>IFERROR(VLOOKUP(B1139,[1]銷貨單品號主檔!$A:$D,4,0),"學習周邊")</f>
        <v>學習周邊</v>
      </c>
      <c r="B1139" s="22" t="s">
        <v>302</v>
      </c>
      <c r="C1139" s="22" t="s">
        <v>81</v>
      </c>
      <c r="D1139" s="22" t="s">
        <v>54</v>
      </c>
      <c r="E1139" s="25">
        <v>0</v>
      </c>
      <c r="F1139" s="25">
        <v>0</v>
      </c>
    </row>
    <row r="1140" spans="1:6">
      <c r="A1140" t="str">
        <f>IFERROR(VLOOKUP(B1140,[1]銷貨單品號主檔!$A:$D,4,0),"學習周邊")</f>
        <v>學習周邊</v>
      </c>
      <c r="B1140" s="22" t="s">
        <v>302</v>
      </c>
      <c r="C1140" s="22" t="s">
        <v>330</v>
      </c>
      <c r="D1140" s="22" t="s">
        <v>54</v>
      </c>
      <c r="E1140" s="25">
        <v>0</v>
      </c>
      <c r="F1140" s="25">
        <v>0</v>
      </c>
    </row>
    <row r="1141" spans="1:6">
      <c r="A1141" t="str">
        <f>IFERROR(VLOOKUP(B1141,[1]銷貨單品號主檔!$A:$D,4,0),"學習周邊")</f>
        <v>生活周邊</v>
      </c>
      <c r="B1141" s="22" t="s">
        <v>230</v>
      </c>
      <c r="C1141" s="22" t="s">
        <v>85</v>
      </c>
      <c r="D1141" s="22" t="s">
        <v>54</v>
      </c>
      <c r="E1141" s="25">
        <v>1</v>
      </c>
      <c r="F1141" s="25">
        <v>1141.9047619047619</v>
      </c>
    </row>
    <row r="1142" spans="1:6">
      <c r="A1142" t="str">
        <f>IFERROR(VLOOKUP(B1142,[1]銷貨單品號主檔!$A:$D,4,0),"學習周邊")</f>
        <v>生活周邊</v>
      </c>
      <c r="B1142" s="22" t="s">
        <v>230</v>
      </c>
      <c r="C1142" s="22" t="s">
        <v>92</v>
      </c>
      <c r="D1142" s="22" t="s">
        <v>54</v>
      </c>
      <c r="E1142" s="25">
        <v>1</v>
      </c>
      <c r="F1142" s="25">
        <v>1141.9047619047619</v>
      </c>
    </row>
    <row r="1143" spans="1:6">
      <c r="A1143" t="str">
        <f>IFERROR(VLOOKUP(B1143,[1]銷貨單品號主檔!$A:$D,4,0),"學習周邊")</f>
        <v>生活周邊</v>
      </c>
      <c r="B1143" s="22" t="s">
        <v>230</v>
      </c>
      <c r="C1143" s="22" t="s">
        <v>328</v>
      </c>
      <c r="D1143" s="22" t="s">
        <v>54</v>
      </c>
      <c r="E1143" s="25">
        <v>1</v>
      </c>
      <c r="F1143" s="25">
        <v>1141.9047619047619</v>
      </c>
    </row>
    <row r="1144" spans="1:6">
      <c r="A1144" t="str">
        <f>IFERROR(VLOOKUP(B1144,[1]銷貨單品號主檔!$A:$D,4,0),"學習周邊")</f>
        <v>生活周邊</v>
      </c>
      <c r="B1144" s="22" t="s">
        <v>230</v>
      </c>
      <c r="C1144" s="22" t="s">
        <v>331</v>
      </c>
      <c r="D1144" s="22" t="s">
        <v>54</v>
      </c>
      <c r="E1144" s="25">
        <v>1</v>
      </c>
      <c r="F1144" s="25">
        <v>1141.9047619047619</v>
      </c>
    </row>
    <row r="1145" spans="1:6">
      <c r="A1145" t="str">
        <f>IFERROR(VLOOKUP(B1145,[1]銷貨單品號主檔!$A:$D,4,0),"學習周邊")</f>
        <v>生活周邊</v>
      </c>
      <c r="B1145" s="22" t="s">
        <v>230</v>
      </c>
      <c r="C1145" s="22" t="s">
        <v>349</v>
      </c>
      <c r="D1145" s="22" t="s">
        <v>54</v>
      </c>
      <c r="E1145" s="25">
        <v>1</v>
      </c>
      <c r="F1145" s="25">
        <v>1141.9047619047619</v>
      </c>
    </row>
    <row r="1146" spans="1:6">
      <c r="A1146" t="str">
        <f>IFERROR(VLOOKUP(B1146,[1]銷貨單品號主檔!$A:$D,4,0),"學習周邊")</f>
        <v>生活周邊</v>
      </c>
      <c r="B1146" s="22" t="s">
        <v>231</v>
      </c>
      <c r="C1146" s="22" t="s">
        <v>76</v>
      </c>
      <c r="D1146" s="22" t="s">
        <v>54</v>
      </c>
      <c r="E1146" s="25">
        <v>1</v>
      </c>
      <c r="F1146" s="25">
        <v>1046.6666666666665</v>
      </c>
    </row>
    <row r="1147" spans="1:6">
      <c r="A1147" t="str">
        <f>IFERROR(VLOOKUP(B1147,[1]銷貨單品號主檔!$A:$D,4,0),"學習周邊")</f>
        <v>生活周邊</v>
      </c>
      <c r="B1147" s="22" t="s">
        <v>231</v>
      </c>
      <c r="C1147" s="22" t="s">
        <v>81</v>
      </c>
      <c r="D1147" s="22" t="s">
        <v>54</v>
      </c>
      <c r="E1147" s="25">
        <v>1</v>
      </c>
      <c r="F1147" s="25">
        <v>1046.6666666666665</v>
      </c>
    </row>
    <row r="1148" spans="1:6">
      <c r="A1148" t="str">
        <f>IFERROR(VLOOKUP(B1148,[1]銷貨單品號主檔!$A:$D,4,0),"學習周邊")</f>
        <v>生活周邊</v>
      </c>
      <c r="B1148" s="22" t="s">
        <v>231</v>
      </c>
      <c r="C1148" s="22" t="s">
        <v>85</v>
      </c>
      <c r="D1148" s="22" t="s">
        <v>54</v>
      </c>
      <c r="E1148" s="25">
        <v>1</v>
      </c>
      <c r="F1148" s="25">
        <v>1046.6666666666665</v>
      </c>
    </row>
    <row r="1149" spans="1:6">
      <c r="A1149" t="str">
        <f>IFERROR(VLOOKUP(B1149,[1]銷貨單品號主檔!$A:$D,4,0),"學習周邊")</f>
        <v>生活周邊</v>
      </c>
      <c r="B1149" s="22" t="s">
        <v>231</v>
      </c>
      <c r="C1149" s="22" t="s">
        <v>92</v>
      </c>
      <c r="D1149" s="22" t="s">
        <v>54</v>
      </c>
      <c r="E1149" s="25">
        <v>1</v>
      </c>
      <c r="F1149" s="25">
        <v>1046.6666666666665</v>
      </c>
    </row>
    <row r="1150" spans="1:6">
      <c r="A1150" t="str">
        <f>IFERROR(VLOOKUP(B1150,[1]銷貨單品號主檔!$A:$D,4,0),"學習周邊")</f>
        <v>生活周邊</v>
      </c>
      <c r="B1150" s="22" t="s">
        <v>231</v>
      </c>
      <c r="C1150" s="22" t="s">
        <v>326</v>
      </c>
      <c r="D1150" s="22" t="s">
        <v>54</v>
      </c>
      <c r="E1150" s="25">
        <v>1</v>
      </c>
      <c r="F1150" s="25">
        <v>1046.6666666666665</v>
      </c>
    </row>
    <row r="1151" spans="1:6">
      <c r="A1151" t="str">
        <f>IFERROR(VLOOKUP(B1151,[1]銷貨單品號主檔!$A:$D,4,0),"學習周邊")</f>
        <v>生活周邊</v>
      </c>
      <c r="B1151" s="22" t="s">
        <v>231</v>
      </c>
      <c r="C1151" s="22" t="s">
        <v>328</v>
      </c>
      <c r="D1151" s="22" t="s">
        <v>54</v>
      </c>
      <c r="E1151" s="25">
        <v>1</v>
      </c>
      <c r="F1151" s="25">
        <v>1046.6666666666665</v>
      </c>
    </row>
    <row r="1152" spans="1:6">
      <c r="A1152" t="str">
        <f>IFERROR(VLOOKUP(B1152,[1]銷貨單品號主檔!$A:$D,4,0),"學習周邊")</f>
        <v>生活周邊</v>
      </c>
      <c r="B1152" s="22" t="s">
        <v>231</v>
      </c>
      <c r="C1152" s="22" t="s">
        <v>331</v>
      </c>
      <c r="D1152" s="22" t="s">
        <v>54</v>
      </c>
      <c r="E1152" s="25">
        <v>1</v>
      </c>
      <c r="F1152" s="25">
        <v>1046.6666666666665</v>
      </c>
    </row>
    <row r="1153" spans="1:6">
      <c r="A1153" t="str">
        <f>IFERROR(VLOOKUP(B1153,[1]銷貨單品號主檔!$A:$D,4,0),"學習周邊")</f>
        <v>生活周邊</v>
      </c>
      <c r="B1153" s="22" t="s">
        <v>231</v>
      </c>
      <c r="C1153" s="22" t="s">
        <v>349</v>
      </c>
      <c r="D1153" s="22" t="s">
        <v>54</v>
      </c>
      <c r="E1153" s="25">
        <v>2</v>
      </c>
      <c r="F1153" s="25">
        <v>2093.333333333333</v>
      </c>
    </row>
    <row r="1154" spans="1:6">
      <c r="A1154" t="str">
        <f>IFERROR(VLOOKUP(B1154,[1]銷貨單品號主檔!$A:$D,4,0),"學習周邊")</f>
        <v>生活周邊</v>
      </c>
      <c r="B1154" s="22" t="s">
        <v>231</v>
      </c>
      <c r="C1154" s="22" t="s">
        <v>354</v>
      </c>
      <c r="D1154" s="22" t="s">
        <v>54</v>
      </c>
      <c r="E1154" s="25">
        <v>1</v>
      </c>
      <c r="F1154" s="25">
        <v>1046.6666666666665</v>
      </c>
    </row>
    <row r="1155" spans="1:6">
      <c r="A1155" t="str">
        <f>IFERROR(VLOOKUP(B1155,[1]銷貨單品號主檔!$A:$D,4,0),"學習周邊")</f>
        <v>生活周邊</v>
      </c>
      <c r="B1155" s="22" t="s">
        <v>303</v>
      </c>
      <c r="C1155" s="22" t="s">
        <v>76</v>
      </c>
      <c r="D1155" s="22" t="s">
        <v>54</v>
      </c>
      <c r="E1155" s="25">
        <v>1</v>
      </c>
      <c r="F1155" s="25">
        <v>380</v>
      </c>
    </row>
    <row r="1156" spans="1:6">
      <c r="A1156" t="str">
        <f>IFERROR(VLOOKUP(B1156,[1]銷貨單品號主檔!$A:$D,4,0),"學習周邊")</f>
        <v>生活周邊</v>
      </c>
      <c r="B1156" s="22" t="s">
        <v>303</v>
      </c>
      <c r="C1156" s="22" t="s">
        <v>81</v>
      </c>
      <c r="D1156" s="22" t="s">
        <v>54</v>
      </c>
      <c r="E1156" s="25">
        <v>1</v>
      </c>
      <c r="F1156" s="25">
        <v>380</v>
      </c>
    </row>
    <row r="1157" spans="1:6">
      <c r="A1157" t="str">
        <f>IFERROR(VLOOKUP(B1157,[1]銷貨單品號主檔!$A:$D,4,0),"學習周邊")</f>
        <v>生活周邊</v>
      </c>
      <c r="B1157" s="22" t="s">
        <v>303</v>
      </c>
      <c r="C1157" s="22" t="s">
        <v>85</v>
      </c>
      <c r="D1157" s="22" t="s">
        <v>54</v>
      </c>
      <c r="E1157" s="25">
        <v>2</v>
      </c>
      <c r="F1157" s="25">
        <v>760</v>
      </c>
    </row>
    <row r="1158" spans="1:6">
      <c r="A1158" t="str">
        <f>IFERROR(VLOOKUP(B1158,[1]銷貨單品號主檔!$A:$D,4,0),"學習周邊")</f>
        <v>生活周邊</v>
      </c>
      <c r="B1158" s="22" t="s">
        <v>303</v>
      </c>
      <c r="C1158" s="22" t="s">
        <v>92</v>
      </c>
      <c r="D1158" s="22" t="s">
        <v>54</v>
      </c>
      <c r="E1158" s="25">
        <v>1</v>
      </c>
      <c r="F1158" s="25">
        <v>380</v>
      </c>
    </row>
    <row r="1159" spans="1:6">
      <c r="A1159" t="str">
        <f>IFERROR(VLOOKUP(B1159,[1]銷貨單品號主檔!$A:$D,4,0),"學習周邊")</f>
        <v>生活周邊</v>
      </c>
      <c r="B1159" s="22" t="s">
        <v>303</v>
      </c>
      <c r="C1159" s="22" t="s">
        <v>326</v>
      </c>
      <c r="D1159" s="22" t="s">
        <v>54</v>
      </c>
      <c r="E1159" s="25">
        <v>1</v>
      </c>
      <c r="F1159" s="25">
        <v>380</v>
      </c>
    </row>
    <row r="1160" spans="1:6">
      <c r="A1160" t="str">
        <f>IFERROR(VLOOKUP(B1160,[1]銷貨單品號主檔!$A:$D,4,0),"學習周邊")</f>
        <v>生活周邊</v>
      </c>
      <c r="B1160" s="22" t="s">
        <v>303</v>
      </c>
      <c r="C1160" s="22" t="s">
        <v>328</v>
      </c>
      <c r="D1160" s="22" t="s">
        <v>54</v>
      </c>
      <c r="E1160" s="25">
        <v>1</v>
      </c>
      <c r="F1160" s="25">
        <v>380</v>
      </c>
    </row>
    <row r="1161" spans="1:6">
      <c r="A1161" t="str">
        <f>IFERROR(VLOOKUP(B1161,[1]銷貨單品號主檔!$A:$D,4,0),"學習周邊")</f>
        <v>生活周邊</v>
      </c>
      <c r="B1161" s="22" t="s">
        <v>303</v>
      </c>
      <c r="C1161" s="22" t="s">
        <v>330</v>
      </c>
      <c r="D1161" s="22" t="s">
        <v>54</v>
      </c>
      <c r="E1161" s="25">
        <v>1</v>
      </c>
      <c r="F1161" s="25">
        <v>380</v>
      </c>
    </row>
    <row r="1162" spans="1:6">
      <c r="A1162" t="str">
        <f>IFERROR(VLOOKUP(B1162,[1]銷貨單品號主檔!$A:$D,4,0),"學習周邊")</f>
        <v>生活周邊</v>
      </c>
      <c r="B1162" s="22" t="s">
        <v>303</v>
      </c>
      <c r="C1162" s="22" t="s">
        <v>349</v>
      </c>
      <c r="D1162" s="22" t="s">
        <v>54</v>
      </c>
      <c r="E1162" s="25">
        <v>1</v>
      </c>
      <c r="F1162" s="25">
        <v>284.76190476190476</v>
      </c>
    </row>
    <row r="1163" spans="1:6">
      <c r="A1163" t="str">
        <f>IFERROR(VLOOKUP(B1163,[1]銷貨單品號主檔!$A:$D,4,0),"學習周邊")</f>
        <v>生活周邊</v>
      </c>
      <c r="B1163" s="22" t="s">
        <v>303</v>
      </c>
      <c r="C1163" s="22" t="s">
        <v>354</v>
      </c>
      <c r="D1163" s="22" t="s">
        <v>54</v>
      </c>
      <c r="E1163" s="25">
        <v>1</v>
      </c>
      <c r="F1163" s="25">
        <v>284.76190476190476</v>
      </c>
    </row>
    <row r="1164" spans="1:6">
      <c r="A1164">
        <f>IFERROR(VLOOKUP(B1164,[1]銷貨單品號主檔!$A:$D,4,0),"學習周邊")</f>
        <v>0</v>
      </c>
      <c r="C1164"/>
      <c r="E1164"/>
    </row>
    <row r="1165" spans="1:6">
      <c r="A1165">
        <f>IFERROR(VLOOKUP(B1165,[1]銷貨單品號主檔!$A:$D,4,0),"學習周邊")</f>
        <v>0</v>
      </c>
      <c r="C1165"/>
      <c r="E1165"/>
    </row>
    <row r="1166" spans="1:6">
      <c r="A1166">
        <f>IFERROR(VLOOKUP(B1166,[1]銷貨單品號主檔!$A:$D,4,0),"學習周邊")</f>
        <v>0</v>
      </c>
      <c r="C1166"/>
      <c r="E1166"/>
    </row>
    <row r="1167" spans="1:6">
      <c r="A1167">
        <f>IFERROR(VLOOKUP(B1167,[1]銷貨單品號主檔!$A:$D,4,0),"學習周邊")</f>
        <v>0</v>
      </c>
      <c r="C1167"/>
      <c r="E1167"/>
    </row>
    <row r="1168" spans="1:6">
      <c r="A1168">
        <f>IFERROR(VLOOKUP(B1168,[1]銷貨單品號主檔!$A:$D,4,0),"學習周邊")</f>
        <v>0</v>
      </c>
      <c r="C1168"/>
      <c r="E1168"/>
    </row>
    <row r="1169" spans="1:5">
      <c r="A1169">
        <f>IFERROR(VLOOKUP(B1169,[1]銷貨單品號主檔!$A:$D,4,0),"學習周邊")</f>
        <v>0</v>
      </c>
      <c r="C1169"/>
      <c r="E1169"/>
    </row>
    <row r="1170" spans="1:5">
      <c r="A1170">
        <f>IFERROR(VLOOKUP(B1170,[1]銷貨單品號主檔!$A:$D,4,0),"學習周邊")</f>
        <v>0</v>
      </c>
      <c r="C1170"/>
      <c r="E1170"/>
    </row>
    <row r="1171" spans="1:5">
      <c r="A1171">
        <f>IFERROR(VLOOKUP(B1171,[1]銷貨單品號主檔!$A:$D,4,0),"學習周邊")</f>
        <v>0</v>
      </c>
      <c r="C1171"/>
      <c r="E1171"/>
    </row>
    <row r="1172" spans="1:5">
      <c r="A1172">
        <f>IFERROR(VLOOKUP(B1172,[1]銷貨單品號主檔!$A:$D,4,0),"學習周邊")</f>
        <v>0</v>
      </c>
      <c r="C1172"/>
      <c r="E1172"/>
    </row>
    <row r="1173" spans="1:5">
      <c r="A1173">
        <f>IFERROR(VLOOKUP(B1173,[1]銷貨單品號主檔!$A:$D,4,0),"學習周邊")</f>
        <v>0</v>
      </c>
      <c r="C1173"/>
      <c r="E1173"/>
    </row>
    <row r="1174" spans="1:5">
      <c r="A1174">
        <f>IFERROR(VLOOKUP(B1174,[1]銷貨單品號主檔!$A:$D,4,0),"學習周邊")</f>
        <v>0</v>
      </c>
      <c r="C1174"/>
      <c r="E1174"/>
    </row>
    <row r="1175" spans="1:5">
      <c r="A1175">
        <f>IFERROR(VLOOKUP(B1175,[1]銷貨單品號主檔!$A:$D,4,0),"學習周邊")</f>
        <v>0</v>
      </c>
      <c r="C1175"/>
      <c r="E1175"/>
    </row>
    <row r="1176" spans="1:5">
      <c r="A1176">
        <f>IFERROR(VLOOKUP(B1176,[1]銷貨單品號主檔!$A:$D,4,0),"學習周邊")</f>
        <v>0</v>
      </c>
      <c r="C1176"/>
      <c r="E1176"/>
    </row>
    <row r="1177" spans="1:5">
      <c r="A1177">
        <f>IFERROR(VLOOKUP(B1177,[1]銷貨單品號主檔!$A:$D,4,0),"學習周邊")</f>
        <v>0</v>
      </c>
      <c r="C1177"/>
      <c r="E1177"/>
    </row>
    <row r="1178" spans="1:5">
      <c r="A1178">
        <f>IFERROR(VLOOKUP(B1178,[1]銷貨單品號主檔!$A:$D,4,0),"學習周邊")</f>
        <v>0</v>
      </c>
      <c r="C1178"/>
      <c r="E1178"/>
    </row>
    <row r="1179" spans="1:5">
      <c r="A1179">
        <f>IFERROR(VLOOKUP(B1179,[1]銷貨單品號主檔!$A:$D,4,0),"學習周邊")</f>
        <v>0</v>
      </c>
      <c r="C1179"/>
      <c r="E1179"/>
    </row>
    <row r="1180" spans="1:5">
      <c r="A1180">
        <f>IFERROR(VLOOKUP(B1180,[1]銷貨單品號主檔!$A:$D,4,0),"學習周邊")</f>
        <v>0</v>
      </c>
      <c r="C1180"/>
      <c r="E1180"/>
    </row>
    <row r="1181" spans="1:5">
      <c r="A1181">
        <f>IFERROR(VLOOKUP(B1181,[1]銷貨單品號主檔!$A:$D,4,0),"學習周邊")</f>
        <v>0</v>
      </c>
      <c r="C1181"/>
      <c r="E1181"/>
    </row>
    <row r="1182" spans="1:5">
      <c r="A1182">
        <f>IFERROR(VLOOKUP(B1182,[1]銷貨單品號主檔!$A:$D,4,0),"學習周邊")</f>
        <v>0</v>
      </c>
      <c r="C1182"/>
      <c r="E1182"/>
    </row>
    <row r="1183" spans="1:5">
      <c r="A1183">
        <f>IFERROR(VLOOKUP(B1183,[1]銷貨單品號主檔!$A:$D,4,0),"學習周邊")</f>
        <v>0</v>
      </c>
      <c r="C1183"/>
      <c r="E1183"/>
    </row>
    <row r="1184" spans="1:5">
      <c r="A1184">
        <f>IFERROR(VLOOKUP(B1184,[1]銷貨單品號主檔!$A:$D,4,0),"學習周邊")</f>
        <v>0</v>
      </c>
      <c r="C1184"/>
      <c r="E1184"/>
    </row>
    <row r="1185" spans="1:5">
      <c r="A1185">
        <f>IFERROR(VLOOKUP(B1185,[1]銷貨單品號主檔!$A:$D,4,0),"學習周邊")</f>
        <v>0</v>
      </c>
      <c r="C1185"/>
      <c r="E1185"/>
    </row>
    <row r="1186" spans="1:5">
      <c r="A1186">
        <f>IFERROR(VLOOKUP(B1186,[1]銷貨單品號主檔!$A:$D,4,0),"學習周邊")</f>
        <v>0</v>
      </c>
      <c r="C1186"/>
      <c r="E1186"/>
    </row>
    <row r="1187" spans="1:5">
      <c r="A1187">
        <f>IFERROR(VLOOKUP(B1187,[1]銷貨單品號主檔!$A:$D,4,0),"學習周邊")</f>
        <v>0</v>
      </c>
      <c r="C1187"/>
      <c r="E1187"/>
    </row>
    <row r="1188" spans="1:5">
      <c r="A1188">
        <f>IFERROR(VLOOKUP(B1188,[1]銷貨單品號主檔!$A:$D,4,0),"學習周邊")</f>
        <v>0</v>
      </c>
      <c r="C1188"/>
      <c r="E1188"/>
    </row>
    <row r="1189" spans="1:5">
      <c r="A1189">
        <f>IFERROR(VLOOKUP(B1189,[1]銷貨單品號主檔!$A:$D,4,0),"學習周邊")</f>
        <v>0</v>
      </c>
      <c r="C1189"/>
      <c r="E1189"/>
    </row>
    <row r="1190" spans="1:5">
      <c r="A1190">
        <f>IFERROR(VLOOKUP(B1190,[1]銷貨單品號主檔!$A:$D,4,0),"學習周邊")</f>
        <v>0</v>
      </c>
      <c r="C1190"/>
      <c r="E1190"/>
    </row>
    <row r="1191" spans="1:5">
      <c r="A1191">
        <f>IFERROR(VLOOKUP(B1191,[1]銷貨單品號主檔!$A:$D,4,0),"學習周邊")</f>
        <v>0</v>
      </c>
      <c r="C1191"/>
      <c r="E1191"/>
    </row>
    <row r="1192" spans="1:5">
      <c r="A1192">
        <f>IFERROR(VLOOKUP(B1192,[1]銷貨單品號主檔!$A:$D,4,0),"學習周邊")</f>
        <v>0</v>
      </c>
      <c r="C1192"/>
      <c r="E1192"/>
    </row>
    <row r="1193" spans="1:5">
      <c r="A1193">
        <f>IFERROR(VLOOKUP(B1193,[1]銷貨單品號主檔!$A:$D,4,0),"學習周邊")</f>
        <v>0</v>
      </c>
      <c r="C1193"/>
      <c r="E1193"/>
    </row>
    <row r="1194" spans="1:5">
      <c r="A1194">
        <f>IFERROR(VLOOKUP(B1194,[1]銷貨單品號主檔!$A:$D,4,0),"學習周邊")</f>
        <v>0</v>
      </c>
      <c r="C1194"/>
      <c r="E1194"/>
    </row>
    <row r="1195" spans="1:5">
      <c r="A1195">
        <f>IFERROR(VLOOKUP(B1195,[1]銷貨單品號主檔!$A:$D,4,0),"學習周邊")</f>
        <v>0</v>
      </c>
      <c r="C1195"/>
      <c r="E1195"/>
    </row>
    <row r="1196" spans="1:5">
      <c r="A1196">
        <f>IFERROR(VLOOKUP(B1196,[1]銷貨單品號主檔!$A:$D,4,0),"學習周邊")</f>
        <v>0</v>
      </c>
      <c r="C1196"/>
      <c r="E1196"/>
    </row>
    <row r="1197" spans="1:5">
      <c r="A1197">
        <f>IFERROR(VLOOKUP(B1197,[1]銷貨單品號主檔!$A:$D,4,0),"學習周邊")</f>
        <v>0</v>
      </c>
      <c r="C1197"/>
      <c r="E1197"/>
    </row>
    <row r="1198" spans="1:5">
      <c r="A1198">
        <f>IFERROR(VLOOKUP(B1198,[1]銷貨單品號主檔!$A:$D,4,0),"學習周邊")</f>
        <v>0</v>
      </c>
      <c r="C1198"/>
      <c r="E1198"/>
    </row>
    <row r="1199" spans="1:5">
      <c r="A1199">
        <f>IFERROR(VLOOKUP(B1199,[1]銷貨單品號主檔!$A:$D,4,0),"學習周邊")</f>
        <v>0</v>
      </c>
      <c r="C1199"/>
      <c r="E1199"/>
    </row>
    <row r="1200" spans="1:5">
      <c r="A1200">
        <f>IFERROR(VLOOKUP(B1200,[1]銷貨單品號主檔!$A:$D,4,0),"學習周邊")</f>
        <v>0</v>
      </c>
      <c r="C1200"/>
      <c r="E1200"/>
    </row>
    <row r="1201" spans="1:5">
      <c r="A1201">
        <f>IFERROR(VLOOKUP(B1201,[1]銷貨單品號主檔!$A:$D,4,0),"學習周邊")</f>
        <v>0</v>
      </c>
      <c r="C1201"/>
      <c r="E1201"/>
    </row>
    <row r="1202" spans="1:5">
      <c r="A1202">
        <f>IFERROR(VLOOKUP(B1202,[1]銷貨單品號主檔!$A:$D,4,0),"學習周邊")</f>
        <v>0</v>
      </c>
      <c r="C1202"/>
      <c r="E1202"/>
    </row>
    <row r="1203" spans="1:5">
      <c r="A1203">
        <f>IFERROR(VLOOKUP(B1203,[1]銷貨單品號主檔!$A:$D,4,0),"學習周邊")</f>
        <v>0</v>
      </c>
      <c r="C1203"/>
      <c r="E1203"/>
    </row>
    <row r="1204" spans="1:5">
      <c r="A1204">
        <f>IFERROR(VLOOKUP(B1204,[1]銷貨單品號主檔!$A:$D,4,0),"學習周邊")</f>
        <v>0</v>
      </c>
      <c r="C1204"/>
      <c r="E1204"/>
    </row>
    <row r="1205" spans="1:5">
      <c r="A1205">
        <f>IFERROR(VLOOKUP(B1205,[1]銷貨單品號主檔!$A:$D,4,0),"學習周邊")</f>
        <v>0</v>
      </c>
      <c r="C1205"/>
      <c r="E1205"/>
    </row>
    <row r="1206" spans="1:5">
      <c r="A1206">
        <f>IFERROR(VLOOKUP(B1206,[1]銷貨單品號主檔!$A:$D,4,0),"學習周邊")</f>
        <v>0</v>
      </c>
      <c r="C1206"/>
      <c r="E1206"/>
    </row>
    <row r="1207" spans="1:5">
      <c r="A1207">
        <f>IFERROR(VLOOKUP(B1207,[1]銷貨單品號主檔!$A:$D,4,0),"學習周邊")</f>
        <v>0</v>
      </c>
      <c r="C1207"/>
      <c r="E1207"/>
    </row>
    <row r="1208" spans="1:5">
      <c r="A1208">
        <f>IFERROR(VLOOKUP(B1208,[1]銷貨單品號主檔!$A:$D,4,0),"學習周邊")</f>
        <v>0</v>
      </c>
      <c r="C1208"/>
      <c r="E1208"/>
    </row>
    <row r="1209" spans="1:5">
      <c r="A1209">
        <f>IFERROR(VLOOKUP(B1209,[1]銷貨單品號主檔!$A:$D,4,0),"學習周邊")</f>
        <v>0</v>
      </c>
      <c r="C1209"/>
      <c r="E1209"/>
    </row>
    <row r="1210" spans="1:5">
      <c r="A1210">
        <f>IFERROR(VLOOKUP(B1210,[1]銷貨單品號主檔!$A:$D,4,0),"學習周邊")</f>
        <v>0</v>
      </c>
      <c r="C1210"/>
      <c r="E1210"/>
    </row>
    <row r="1211" spans="1:5">
      <c r="A1211">
        <f>IFERROR(VLOOKUP(B1211,[1]銷貨單品號主檔!$A:$D,4,0),"學習周邊")</f>
        <v>0</v>
      </c>
      <c r="C1211"/>
      <c r="E1211"/>
    </row>
    <row r="1212" spans="1:5">
      <c r="A1212">
        <f>IFERROR(VLOOKUP(B1212,[1]銷貨單品號主檔!$A:$D,4,0),"學習周邊")</f>
        <v>0</v>
      </c>
      <c r="C1212"/>
      <c r="E1212"/>
    </row>
    <row r="1213" spans="1:5">
      <c r="A1213">
        <f>IFERROR(VLOOKUP(B1213,[1]銷貨單品號主檔!$A:$D,4,0),"學習周邊")</f>
        <v>0</v>
      </c>
      <c r="C1213"/>
      <c r="E1213"/>
    </row>
    <row r="1214" spans="1:5">
      <c r="A1214">
        <f>IFERROR(VLOOKUP(B1214,[1]銷貨單品號主檔!$A:$D,4,0),"學習周邊")</f>
        <v>0</v>
      </c>
      <c r="C1214"/>
      <c r="E1214"/>
    </row>
    <row r="1215" spans="1:5">
      <c r="A1215">
        <f>IFERROR(VLOOKUP(B1215,[1]銷貨單品號主檔!$A:$D,4,0),"學習周邊")</f>
        <v>0</v>
      </c>
      <c r="C1215"/>
      <c r="E1215"/>
    </row>
    <row r="1216" spans="1:5">
      <c r="A1216">
        <f>IFERROR(VLOOKUP(B1216,[1]銷貨單品號主檔!$A:$D,4,0),"學習周邊")</f>
        <v>0</v>
      </c>
      <c r="C1216"/>
      <c r="E1216"/>
    </row>
    <row r="1217" spans="1:5">
      <c r="A1217">
        <f>IFERROR(VLOOKUP(B1217,[1]銷貨單品號主檔!$A:$D,4,0),"學習周邊")</f>
        <v>0</v>
      </c>
      <c r="C1217"/>
      <c r="E1217"/>
    </row>
    <row r="1218" spans="1:5">
      <c r="A1218">
        <f>IFERROR(VLOOKUP(B1218,[1]銷貨單品號主檔!$A:$D,4,0),"學習周邊")</f>
        <v>0</v>
      </c>
      <c r="C1218"/>
      <c r="E1218"/>
    </row>
    <row r="1219" spans="1:5">
      <c r="A1219">
        <f>IFERROR(VLOOKUP(B1219,[1]銷貨單品號主檔!$A:$D,4,0),"學習周邊")</f>
        <v>0</v>
      </c>
      <c r="C1219"/>
      <c r="E1219"/>
    </row>
    <row r="1220" spans="1:5">
      <c r="A1220">
        <f>IFERROR(VLOOKUP(B1220,[1]銷貨單品號主檔!$A:$D,4,0),"學習周邊")</f>
        <v>0</v>
      </c>
      <c r="C1220"/>
      <c r="E1220"/>
    </row>
    <row r="1221" spans="1:5">
      <c r="A1221">
        <f>IFERROR(VLOOKUP(B1221,[1]銷貨單品號主檔!$A:$D,4,0),"學習周邊")</f>
        <v>0</v>
      </c>
      <c r="C1221"/>
      <c r="E1221"/>
    </row>
    <row r="1222" spans="1:5">
      <c r="A1222">
        <f>IFERROR(VLOOKUP(B1222,[1]銷貨單品號主檔!$A:$D,4,0),"學習周邊")</f>
        <v>0</v>
      </c>
      <c r="C1222"/>
      <c r="E1222"/>
    </row>
    <row r="1223" spans="1:5">
      <c r="A1223">
        <f>IFERROR(VLOOKUP(B1223,[1]銷貨單品號主檔!$A:$D,4,0),"學習周邊")</f>
        <v>0</v>
      </c>
      <c r="C1223"/>
      <c r="E1223"/>
    </row>
    <row r="1224" spans="1:5">
      <c r="A1224">
        <f>IFERROR(VLOOKUP(B1224,[1]銷貨單品號主檔!$A:$D,4,0),"學習周邊")</f>
        <v>0</v>
      </c>
      <c r="C1224"/>
      <c r="E1224"/>
    </row>
    <row r="1225" spans="1:5">
      <c r="A1225">
        <f>IFERROR(VLOOKUP(B1225,[1]銷貨單品號主檔!$A:$D,4,0),"學習周邊")</f>
        <v>0</v>
      </c>
      <c r="C1225"/>
      <c r="E1225"/>
    </row>
    <row r="1226" spans="1:5">
      <c r="A1226">
        <f>IFERROR(VLOOKUP(B1226,[1]銷貨單品號主檔!$A:$D,4,0),"學習周邊")</f>
        <v>0</v>
      </c>
      <c r="C1226"/>
      <c r="E1226"/>
    </row>
    <row r="1227" spans="1:5">
      <c r="A1227">
        <f>IFERROR(VLOOKUP(B1227,[1]銷貨單品號主檔!$A:$D,4,0),"學習周邊")</f>
        <v>0</v>
      </c>
      <c r="C1227"/>
      <c r="E1227"/>
    </row>
    <row r="1228" spans="1:5">
      <c r="A1228">
        <f>IFERROR(VLOOKUP(B1228,[1]銷貨單品號主檔!$A:$D,4,0),"學習周邊")</f>
        <v>0</v>
      </c>
      <c r="C1228"/>
      <c r="E1228"/>
    </row>
    <row r="1229" spans="1:5">
      <c r="A1229">
        <f>IFERROR(VLOOKUP(B1229,[1]銷貨單品號主檔!$A:$D,4,0),"學習周邊")</f>
        <v>0</v>
      </c>
      <c r="C1229"/>
      <c r="E1229"/>
    </row>
    <row r="1230" spans="1:5">
      <c r="A1230">
        <f>IFERROR(VLOOKUP(B1230,[1]銷貨單品號主檔!$A:$D,4,0),"學習周邊")</f>
        <v>0</v>
      </c>
      <c r="C1230"/>
      <c r="E1230"/>
    </row>
    <row r="1231" spans="1:5">
      <c r="A1231">
        <f>IFERROR(VLOOKUP(B1231,[1]銷貨單品號主檔!$A:$D,4,0),"學習周邊")</f>
        <v>0</v>
      </c>
      <c r="C1231"/>
      <c r="E1231"/>
    </row>
    <row r="1232" spans="1:5">
      <c r="A1232">
        <f>IFERROR(VLOOKUP(B1232,[1]銷貨單品號主檔!$A:$D,4,0),"學習周邊")</f>
        <v>0</v>
      </c>
      <c r="C1232"/>
      <c r="E1232"/>
    </row>
    <row r="1233" spans="1:5">
      <c r="A1233">
        <f>IFERROR(VLOOKUP(B1233,[1]銷貨單品號主檔!$A:$D,4,0),"學習周邊")</f>
        <v>0</v>
      </c>
      <c r="C1233"/>
      <c r="E1233"/>
    </row>
    <row r="1234" spans="1:5">
      <c r="A1234">
        <f>IFERROR(VLOOKUP(B1234,[1]銷貨單品號主檔!$A:$D,4,0),"學習周邊")</f>
        <v>0</v>
      </c>
      <c r="C1234"/>
      <c r="E1234"/>
    </row>
    <row r="1235" spans="1:5">
      <c r="A1235">
        <f>IFERROR(VLOOKUP(B1235,[1]銷貨單品號主檔!$A:$D,4,0),"學習周邊")</f>
        <v>0</v>
      </c>
      <c r="C1235"/>
      <c r="E1235"/>
    </row>
    <row r="1236" spans="1:5">
      <c r="A1236">
        <f>IFERROR(VLOOKUP(B1236,[1]銷貨單品號主檔!$A:$D,4,0),"學習周邊")</f>
        <v>0</v>
      </c>
      <c r="C1236"/>
      <c r="E1236"/>
    </row>
    <row r="1237" spans="1:5">
      <c r="A1237">
        <f>IFERROR(VLOOKUP(B1237,[1]銷貨單品號主檔!$A:$D,4,0),"學習周邊")</f>
        <v>0</v>
      </c>
      <c r="C1237"/>
      <c r="E1237"/>
    </row>
    <row r="1238" spans="1:5">
      <c r="A1238">
        <f>IFERROR(VLOOKUP(B1238,[1]銷貨單品號主檔!$A:$D,4,0),"學習周邊")</f>
        <v>0</v>
      </c>
      <c r="C1238"/>
      <c r="E1238"/>
    </row>
    <row r="1239" spans="1:5">
      <c r="A1239">
        <f>IFERROR(VLOOKUP(B1239,[1]銷貨單品號主檔!$A:$D,4,0),"學習周邊")</f>
        <v>0</v>
      </c>
      <c r="C1239"/>
      <c r="E1239"/>
    </row>
    <row r="1240" spans="1:5">
      <c r="A1240">
        <f>IFERROR(VLOOKUP(B1240,[1]銷貨單品號主檔!$A:$D,4,0),"學習周邊")</f>
        <v>0</v>
      </c>
      <c r="C1240"/>
      <c r="E1240"/>
    </row>
    <row r="1241" spans="1:5">
      <c r="A1241">
        <f>IFERROR(VLOOKUP(B1241,[1]銷貨單品號主檔!$A:$D,4,0),"學習周邊")</f>
        <v>0</v>
      </c>
      <c r="C1241"/>
      <c r="E1241"/>
    </row>
    <row r="1242" spans="1:5">
      <c r="A1242">
        <f>IFERROR(VLOOKUP(B1242,[1]銷貨單品號主檔!$A:$D,4,0),"學習周邊")</f>
        <v>0</v>
      </c>
      <c r="C1242"/>
      <c r="E1242"/>
    </row>
    <row r="1243" spans="1:5">
      <c r="A1243">
        <f>IFERROR(VLOOKUP(B1243,[1]銷貨單品號主檔!$A:$D,4,0),"學習周邊")</f>
        <v>0</v>
      </c>
      <c r="C1243"/>
      <c r="E1243"/>
    </row>
    <row r="1244" spans="1:5">
      <c r="A1244">
        <f>IFERROR(VLOOKUP(B1244,[1]銷貨單品號主檔!$A:$D,4,0),"學習周邊")</f>
        <v>0</v>
      </c>
      <c r="C1244"/>
      <c r="E1244"/>
    </row>
    <row r="1245" spans="1:5">
      <c r="A1245">
        <f>IFERROR(VLOOKUP(B1245,[1]銷貨單品號主檔!$A:$D,4,0),"學習周邊")</f>
        <v>0</v>
      </c>
      <c r="C1245"/>
      <c r="E1245"/>
    </row>
    <row r="1246" spans="1:5">
      <c r="A1246">
        <f>IFERROR(VLOOKUP(B1246,[1]銷貨單品號主檔!$A:$D,4,0),"學習周邊")</f>
        <v>0</v>
      </c>
      <c r="C1246"/>
      <c r="E1246"/>
    </row>
    <row r="1247" spans="1:5">
      <c r="A1247">
        <f>IFERROR(VLOOKUP(B1247,[1]銷貨單品號主檔!$A:$D,4,0),"學習周邊")</f>
        <v>0</v>
      </c>
      <c r="C1247"/>
      <c r="E1247"/>
    </row>
    <row r="1248" spans="1:5">
      <c r="A1248">
        <f>IFERROR(VLOOKUP(B1248,[1]銷貨單品號主檔!$A:$D,4,0),"學習周邊")</f>
        <v>0</v>
      </c>
      <c r="C1248"/>
      <c r="E1248"/>
    </row>
    <row r="1249" spans="1:5">
      <c r="A1249">
        <f>IFERROR(VLOOKUP(B1249,[1]銷貨單品號主檔!$A:$D,4,0),"學習周邊")</f>
        <v>0</v>
      </c>
      <c r="C1249"/>
      <c r="E1249"/>
    </row>
    <row r="1250" spans="1:5">
      <c r="A1250">
        <f>IFERROR(VLOOKUP(B1250,[1]銷貨單品號主檔!$A:$D,4,0),"學習周邊")</f>
        <v>0</v>
      </c>
      <c r="C1250"/>
      <c r="E1250"/>
    </row>
    <row r="1251" spans="1:5">
      <c r="A1251">
        <f>IFERROR(VLOOKUP(B1251,[1]銷貨單品號主檔!$A:$D,4,0),"學習周邊")</f>
        <v>0</v>
      </c>
      <c r="C1251"/>
      <c r="E1251"/>
    </row>
    <row r="1252" spans="1:5">
      <c r="A1252">
        <f>IFERROR(VLOOKUP(B1252,[1]銷貨單品號主檔!$A:$D,4,0),"學習周邊")</f>
        <v>0</v>
      </c>
      <c r="C1252"/>
      <c r="E1252"/>
    </row>
    <row r="1253" spans="1:5">
      <c r="A1253">
        <f>IFERROR(VLOOKUP(B1253,[1]銷貨單品號主檔!$A:$D,4,0),"學習周邊")</f>
        <v>0</v>
      </c>
      <c r="C1253"/>
      <c r="E1253"/>
    </row>
    <row r="1254" spans="1:5">
      <c r="A1254">
        <f>IFERROR(VLOOKUP(B1254,[1]銷貨單品號主檔!$A:$D,4,0),"學習周邊")</f>
        <v>0</v>
      </c>
      <c r="C1254"/>
      <c r="E1254"/>
    </row>
    <row r="1255" spans="1:5">
      <c r="A1255">
        <f>IFERROR(VLOOKUP(B1255,[1]銷貨單品號主檔!$A:$D,4,0),"學習周邊")</f>
        <v>0</v>
      </c>
      <c r="C1255"/>
      <c r="E1255"/>
    </row>
    <row r="1256" spans="1:5">
      <c r="A1256">
        <f>IFERROR(VLOOKUP(B1256,[1]銷貨單品號主檔!$A:$D,4,0),"學習周邊")</f>
        <v>0</v>
      </c>
      <c r="C1256"/>
      <c r="E1256"/>
    </row>
    <row r="1257" spans="1:5">
      <c r="A1257">
        <f>IFERROR(VLOOKUP(B1257,[1]銷貨單品號主檔!$A:$D,4,0),"學習周邊")</f>
        <v>0</v>
      </c>
      <c r="C1257"/>
      <c r="E1257"/>
    </row>
    <row r="1258" spans="1:5">
      <c r="A1258">
        <f>IFERROR(VLOOKUP(B1258,[1]銷貨單品號主檔!$A:$D,4,0),"學習周邊")</f>
        <v>0</v>
      </c>
      <c r="C1258"/>
      <c r="E1258"/>
    </row>
    <row r="1259" spans="1:5">
      <c r="A1259">
        <f>IFERROR(VLOOKUP(B1259,[1]銷貨單品號主檔!$A:$D,4,0),"學習周邊")</f>
        <v>0</v>
      </c>
      <c r="C1259"/>
      <c r="E1259"/>
    </row>
    <row r="1260" spans="1:5">
      <c r="A1260">
        <f>IFERROR(VLOOKUP(B1260,[1]銷貨單品號主檔!$A:$D,4,0),"學習周邊")</f>
        <v>0</v>
      </c>
      <c r="C1260"/>
      <c r="E1260"/>
    </row>
    <row r="1261" spans="1:5">
      <c r="A1261">
        <f>IFERROR(VLOOKUP(B1261,[1]銷貨單品號主檔!$A:$D,4,0),"學習周邊")</f>
        <v>0</v>
      </c>
      <c r="C1261"/>
      <c r="E1261"/>
    </row>
    <row r="1262" spans="1:5">
      <c r="A1262">
        <f>IFERROR(VLOOKUP(B1262,[1]銷貨單品號主檔!$A:$D,4,0),"學習周邊")</f>
        <v>0</v>
      </c>
      <c r="C1262"/>
      <c r="E1262"/>
    </row>
    <row r="1263" spans="1:5">
      <c r="A1263">
        <f>IFERROR(VLOOKUP(B1263,[1]銷貨單品號主檔!$A:$D,4,0),"學習周邊")</f>
        <v>0</v>
      </c>
      <c r="C1263"/>
      <c r="E1263"/>
    </row>
    <row r="1264" spans="1:5">
      <c r="A1264">
        <f>IFERROR(VLOOKUP(B1264,[1]銷貨單品號主檔!$A:$D,4,0),"學習周邊")</f>
        <v>0</v>
      </c>
      <c r="C1264"/>
      <c r="E1264"/>
    </row>
    <row r="1265" spans="1:5">
      <c r="A1265">
        <f>IFERROR(VLOOKUP(B1265,[1]銷貨單品號主檔!$A:$D,4,0),"學習周邊")</f>
        <v>0</v>
      </c>
      <c r="C1265"/>
      <c r="E1265"/>
    </row>
    <row r="1266" spans="1:5">
      <c r="A1266">
        <f>IFERROR(VLOOKUP(B1266,[1]銷貨單品號主檔!$A:$D,4,0),"學習周邊")</f>
        <v>0</v>
      </c>
      <c r="C1266"/>
      <c r="E1266"/>
    </row>
    <row r="1267" spans="1:5">
      <c r="A1267">
        <f>IFERROR(VLOOKUP(B1267,[1]銷貨單品號主檔!$A:$D,4,0),"學習周邊")</f>
        <v>0</v>
      </c>
      <c r="C1267"/>
      <c r="E1267"/>
    </row>
    <row r="1268" spans="1:5">
      <c r="A1268">
        <f>IFERROR(VLOOKUP(B1268,[1]銷貨單品號主檔!$A:$D,4,0),"學習周邊")</f>
        <v>0</v>
      </c>
      <c r="C1268"/>
      <c r="E1268"/>
    </row>
    <row r="1269" spans="1:5">
      <c r="A1269">
        <f>IFERROR(VLOOKUP(B1269,[1]銷貨單品號主檔!$A:$D,4,0),"學習周邊")</f>
        <v>0</v>
      </c>
      <c r="C1269"/>
      <c r="E1269"/>
    </row>
    <row r="1270" spans="1:5">
      <c r="A1270">
        <f>IFERROR(VLOOKUP(B1270,[1]銷貨單品號主檔!$A:$D,4,0),"學習周邊")</f>
        <v>0</v>
      </c>
      <c r="C1270"/>
      <c r="E1270"/>
    </row>
    <row r="1271" spans="1:5">
      <c r="A1271">
        <f>IFERROR(VLOOKUP(B1271,[1]銷貨單品號主檔!$A:$D,4,0),"學習周邊")</f>
        <v>0</v>
      </c>
      <c r="C1271"/>
      <c r="E1271"/>
    </row>
    <row r="1272" spans="1:5">
      <c r="A1272">
        <f>IFERROR(VLOOKUP(B1272,[1]銷貨單品號主檔!$A:$D,4,0),"學習周邊")</f>
        <v>0</v>
      </c>
      <c r="C1272"/>
      <c r="E1272"/>
    </row>
    <row r="1273" spans="1:5">
      <c r="A1273">
        <f>IFERROR(VLOOKUP(B1273,[1]銷貨單品號主檔!$A:$D,4,0),"學習周邊")</f>
        <v>0</v>
      </c>
      <c r="C1273"/>
      <c r="E1273"/>
    </row>
    <row r="1274" spans="1:5">
      <c r="A1274">
        <f>IFERROR(VLOOKUP(B1274,[1]銷貨單品號主檔!$A:$D,4,0),"學習周邊")</f>
        <v>0</v>
      </c>
      <c r="C1274"/>
      <c r="E1274"/>
    </row>
    <row r="1275" spans="1:5">
      <c r="A1275">
        <f>IFERROR(VLOOKUP(B1275,[1]銷貨單品號主檔!$A:$D,4,0),"學習周邊")</f>
        <v>0</v>
      </c>
      <c r="C1275"/>
      <c r="E1275"/>
    </row>
    <row r="1276" spans="1:5">
      <c r="A1276">
        <f>IFERROR(VLOOKUP(B1276,[1]銷貨單品號主檔!$A:$D,4,0),"學習周邊")</f>
        <v>0</v>
      </c>
      <c r="C1276"/>
      <c r="E1276"/>
    </row>
    <row r="1277" spans="1:5">
      <c r="A1277">
        <f>IFERROR(VLOOKUP(B1277,[1]銷貨單品號主檔!$A:$D,4,0),"學習周邊")</f>
        <v>0</v>
      </c>
      <c r="C1277"/>
      <c r="E1277"/>
    </row>
    <row r="1278" spans="1:5">
      <c r="A1278">
        <f>IFERROR(VLOOKUP(B1278,[1]銷貨單品號主檔!$A:$D,4,0),"學習周邊")</f>
        <v>0</v>
      </c>
      <c r="C1278"/>
      <c r="E1278"/>
    </row>
    <row r="1279" spans="1:5">
      <c r="A1279">
        <f>IFERROR(VLOOKUP(B1279,[1]銷貨單品號主檔!$A:$D,4,0),"學習周邊")</f>
        <v>0</v>
      </c>
      <c r="C1279"/>
      <c r="E1279"/>
    </row>
    <row r="1280" spans="1:5">
      <c r="A1280">
        <f>IFERROR(VLOOKUP(B1280,[1]銷貨單品號主檔!$A:$D,4,0),"學習周邊")</f>
        <v>0</v>
      </c>
      <c r="C1280"/>
      <c r="E1280"/>
    </row>
    <row r="1281" spans="1:5">
      <c r="A1281">
        <f>IFERROR(VLOOKUP(B1281,[1]銷貨單品號主檔!$A:$D,4,0),"學習周邊")</f>
        <v>0</v>
      </c>
      <c r="C1281"/>
      <c r="E1281"/>
    </row>
    <row r="1282" spans="1:5">
      <c r="A1282">
        <f>IFERROR(VLOOKUP(B1282,[1]銷貨單品號主檔!$A:$D,4,0),"學習周邊")</f>
        <v>0</v>
      </c>
      <c r="C1282"/>
      <c r="E1282"/>
    </row>
    <row r="1283" spans="1:5">
      <c r="A1283">
        <f>IFERROR(VLOOKUP(B1283,[1]銷貨單品號主檔!$A:$D,4,0),"學習周邊")</f>
        <v>0</v>
      </c>
      <c r="C1283"/>
      <c r="E1283"/>
    </row>
    <row r="1284" spans="1:5">
      <c r="A1284">
        <f>IFERROR(VLOOKUP(B1284,[1]銷貨單品號主檔!$A:$D,4,0),"學習周邊")</f>
        <v>0</v>
      </c>
      <c r="C1284"/>
      <c r="E1284"/>
    </row>
    <row r="1285" spans="1:5">
      <c r="A1285">
        <f>IFERROR(VLOOKUP(B1285,[1]銷貨單品號主檔!$A:$D,4,0),"學習周邊")</f>
        <v>0</v>
      </c>
      <c r="C1285"/>
      <c r="E1285"/>
    </row>
    <row r="1286" spans="1:5">
      <c r="A1286">
        <f>IFERROR(VLOOKUP(B1286,[1]銷貨單品號主檔!$A:$D,4,0),"學習周邊")</f>
        <v>0</v>
      </c>
      <c r="C1286"/>
      <c r="E1286"/>
    </row>
    <row r="1287" spans="1:5">
      <c r="A1287">
        <f>IFERROR(VLOOKUP(B1287,[1]銷貨單品號主檔!$A:$D,4,0),"學習周邊")</f>
        <v>0</v>
      </c>
      <c r="C1287"/>
      <c r="E1287"/>
    </row>
    <row r="1288" spans="1:5">
      <c r="A1288">
        <f>IFERROR(VLOOKUP(B1288,[1]銷貨單品號主檔!$A:$D,4,0),"學習周邊")</f>
        <v>0</v>
      </c>
      <c r="C1288"/>
      <c r="E1288"/>
    </row>
    <row r="1289" spans="1:5">
      <c r="A1289">
        <f>IFERROR(VLOOKUP(B1289,[1]銷貨單品號主檔!$A:$D,4,0),"學習周邊")</f>
        <v>0</v>
      </c>
      <c r="C1289"/>
      <c r="E1289"/>
    </row>
    <row r="1290" spans="1:5">
      <c r="A1290">
        <f>IFERROR(VLOOKUP(B1290,[1]銷貨單品號主檔!$A:$D,4,0),"學習周邊")</f>
        <v>0</v>
      </c>
      <c r="C1290"/>
      <c r="E1290"/>
    </row>
    <row r="1291" spans="1:5">
      <c r="A1291">
        <f>IFERROR(VLOOKUP(B1291,[1]銷貨單品號主檔!$A:$D,4,0),"學習周邊")</f>
        <v>0</v>
      </c>
      <c r="C1291"/>
      <c r="E1291"/>
    </row>
    <row r="1292" spans="1:5">
      <c r="A1292">
        <f>IFERROR(VLOOKUP(B1292,[1]銷貨單品號主檔!$A:$D,4,0),"學習周邊")</f>
        <v>0</v>
      </c>
      <c r="C1292"/>
      <c r="E1292"/>
    </row>
    <row r="1293" spans="1:5">
      <c r="A1293">
        <f>IFERROR(VLOOKUP(B1293,[1]銷貨單品號主檔!$A:$D,4,0),"學習周邊")</f>
        <v>0</v>
      </c>
      <c r="C1293"/>
      <c r="E1293"/>
    </row>
    <row r="1294" spans="1:5">
      <c r="A1294">
        <f>IFERROR(VLOOKUP(B1294,[1]銷貨單品號主檔!$A:$D,4,0),"學習周邊")</f>
        <v>0</v>
      </c>
      <c r="C1294"/>
      <c r="E1294"/>
    </row>
    <row r="1295" spans="1:5">
      <c r="A1295">
        <f>IFERROR(VLOOKUP(B1295,[1]銷貨單品號主檔!$A:$D,4,0),"學習周邊")</f>
        <v>0</v>
      </c>
      <c r="C1295"/>
      <c r="E1295"/>
    </row>
    <row r="1296" spans="1:5">
      <c r="A1296">
        <f>IFERROR(VLOOKUP(B1296,[1]銷貨單品號主檔!$A:$D,4,0),"學習周邊")</f>
        <v>0</v>
      </c>
      <c r="C1296"/>
      <c r="E1296"/>
    </row>
    <row r="1297" spans="1:5">
      <c r="A1297">
        <f>IFERROR(VLOOKUP(B1297,[1]銷貨單品號主檔!$A:$D,4,0),"學習周邊")</f>
        <v>0</v>
      </c>
      <c r="C1297"/>
      <c r="E1297"/>
    </row>
    <row r="1298" spans="1:5">
      <c r="A1298">
        <f>IFERROR(VLOOKUP(B1298,[1]銷貨單品號主檔!$A:$D,4,0),"學習周邊")</f>
        <v>0</v>
      </c>
      <c r="C1298"/>
      <c r="E1298"/>
    </row>
    <row r="1299" spans="1:5">
      <c r="A1299">
        <f>IFERROR(VLOOKUP(B1299,[1]銷貨單品號主檔!$A:$D,4,0),"學習周邊")</f>
        <v>0</v>
      </c>
      <c r="C1299"/>
      <c r="E1299"/>
    </row>
    <row r="1300" spans="1:5">
      <c r="A1300">
        <f>IFERROR(VLOOKUP(B1300,[1]銷貨單品號主檔!$A:$D,4,0),"學習周邊")</f>
        <v>0</v>
      </c>
      <c r="C1300"/>
      <c r="E1300"/>
    </row>
    <row r="1301" spans="1:5">
      <c r="A1301">
        <f>IFERROR(VLOOKUP(B1301,[1]銷貨單品號主檔!$A:$D,4,0),"學習周邊")</f>
        <v>0</v>
      </c>
      <c r="C1301"/>
      <c r="E1301"/>
    </row>
    <row r="1302" spans="1:5">
      <c r="A1302">
        <f>IFERROR(VLOOKUP(B1302,[1]銷貨單品號主檔!$A:$D,4,0),"學習周邊")</f>
        <v>0</v>
      </c>
      <c r="C1302"/>
      <c r="E1302"/>
    </row>
    <row r="1303" spans="1:5">
      <c r="A1303">
        <f>IFERROR(VLOOKUP(B1303,[1]銷貨單品號主檔!$A:$D,4,0),"學習周邊")</f>
        <v>0</v>
      </c>
      <c r="C1303"/>
      <c r="E1303"/>
    </row>
    <row r="1304" spans="1:5">
      <c r="A1304">
        <f>IFERROR(VLOOKUP(B1304,[1]銷貨單品號主檔!$A:$D,4,0),"學習周邊")</f>
        <v>0</v>
      </c>
      <c r="C1304"/>
      <c r="E1304"/>
    </row>
    <row r="1305" spans="1:5">
      <c r="A1305">
        <f>IFERROR(VLOOKUP(B1305,[1]銷貨單品號主檔!$A:$D,4,0),"學習周邊")</f>
        <v>0</v>
      </c>
      <c r="C1305"/>
      <c r="E1305"/>
    </row>
    <row r="1306" spans="1:5">
      <c r="A1306">
        <f>IFERROR(VLOOKUP(B1306,[1]銷貨單品號主檔!$A:$D,4,0),"學習周邊")</f>
        <v>0</v>
      </c>
      <c r="C1306"/>
      <c r="E1306"/>
    </row>
    <row r="1307" spans="1:5">
      <c r="A1307">
        <f>IFERROR(VLOOKUP(B1307,[1]銷貨單品號主檔!$A:$D,4,0),"學習周邊")</f>
        <v>0</v>
      </c>
      <c r="C1307"/>
      <c r="E1307"/>
    </row>
    <row r="1308" spans="1:5">
      <c r="A1308">
        <f>IFERROR(VLOOKUP(B1308,[1]銷貨單品號主檔!$A:$D,4,0),"學習周邊")</f>
        <v>0</v>
      </c>
      <c r="C1308"/>
      <c r="E1308"/>
    </row>
    <row r="1309" spans="1:5">
      <c r="A1309">
        <f>IFERROR(VLOOKUP(B1309,[1]銷貨單品號主檔!$A:$D,4,0),"學習周邊")</f>
        <v>0</v>
      </c>
      <c r="C1309"/>
      <c r="E1309"/>
    </row>
    <row r="1310" spans="1:5">
      <c r="A1310">
        <f>IFERROR(VLOOKUP(B1310,[1]銷貨單品號主檔!$A:$D,4,0),"學習周邊")</f>
        <v>0</v>
      </c>
      <c r="C1310"/>
      <c r="E1310"/>
    </row>
    <row r="1311" spans="1:5">
      <c r="A1311">
        <f>IFERROR(VLOOKUP(B1311,[1]銷貨單品號主檔!$A:$D,4,0),"學習周邊")</f>
        <v>0</v>
      </c>
      <c r="C1311"/>
      <c r="E1311"/>
    </row>
    <row r="1312" spans="1:5">
      <c r="A1312">
        <f>IFERROR(VLOOKUP(B1312,[1]銷貨單品號主檔!$A:$D,4,0),"學習周邊")</f>
        <v>0</v>
      </c>
      <c r="C1312"/>
      <c r="E1312"/>
    </row>
    <row r="1313" spans="1:5">
      <c r="A1313">
        <f>IFERROR(VLOOKUP(B1313,[1]銷貨單品號主檔!$A:$D,4,0),"學習周邊")</f>
        <v>0</v>
      </c>
      <c r="C1313"/>
      <c r="E1313"/>
    </row>
    <row r="1314" spans="1:5">
      <c r="A1314">
        <f>IFERROR(VLOOKUP(B1314,[1]銷貨單品號主檔!$A:$D,4,0),"學習周邊")</f>
        <v>0</v>
      </c>
      <c r="C1314"/>
      <c r="E1314"/>
    </row>
    <row r="1315" spans="1:5">
      <c r="A1315">
        <f>IFERROR(VLOOKUP(B1315,[1]銷貨單品號主檔!$A:$D,4,0),"學習周邊")</f>
        <v>0</v>
      </c>
      <c r="C1315"/>
      <c r="E1315"/>
    </row>
    <row r="1316" spans="1:5">
      <c r="A1316">
        <f>IFERROR(VLOOKUP(B1316,[1]銷貨單品號主檔!$A:$D,4,0),"學習周邊")</f>
        <v>0</v>
      </c>
      <c r="C1316"/>
      <c r="E1316"/>
    </row>
    <row r="1317" spans="1:5">
      <c r="A1317">
        <f>IFERROR(VLOOKUP(B1317,[1]銷貨單品號主檔!$A:$D,4,0),"學習周邊")</f>
        <v>0</v>
      </c>
      <c r="C1317"/>
      <c r="E1317"/>
    </row>
    <row r="1318" spans="1:5">
      <c r="A1318">
        <f>IFERROR(VLOOKUP(B1318,[1]銷貨單品號主檔!$A:$D,4,0),"學習周邊")</f>
        <v>0</v>
      </c>
      <c r="C1318"/>
      <c r="E1318"/>
    </row>
    <row r="1319" spans="1:5">
      <c r="A1319">
        <f>IFERROR(VLOOKUP(B1319,[1]銷貨單品號主檔!$A:$D,4,0),"學習周邊")</f>
        <v>0</v>
      </c>
      <c r="C1319"/>
      <c r="E1319"/>
    </row>
    <row r="1320" spans="1:5">
      <c r="A1320">
        <f>IFERROR(VLOOKUP(B1320,[1]銷貨單品號主檔!$A:$D,4,0),"學習周邊")</f>
        <v>0</v>
      </c>
      <c r="C1320"/>
      <c r="E1320"/>
    </row>
    <row r="1321" spans="1:5">
      <c r="A1321">
        <f>IFERROR(VLOOKUP(B1321,[1]銷貨單品號主檔!$A:$D,4,0),"學習周邊")</f>
        <v>0</v>
      </c>
      <c r="C1321"/>
      <c r="E1321"/>
    </row>
    <row r="1322" spans="1:5">
      <c r="A1322">
        <f>IFERROR(VLOOKUP(B1322,[1]銷貨單品號主檔!$A:$D,4,0),"學習周邊")</f>
        <v>0</v>
      </c>
      <c r="C1322"/>
      <c r="E1322"/>
    </row>
    <row r="1323" spans="1:5">
      <c r="A1323">
        <f>IFERROR(VLOOKUP(B1323,[1]銷貨單品號主檔!$A:$D,4,0),"學習周邊")</f>
        <v>0</v>
      </c>
      <c r="C1323"/>
      <c r="E1323"/>
    </row>
    <row r="1324" spans="1:5">
      <c r="A1324">
        <f>IFERROR(VLOOKUP(B1324,[1]銷貨單品號主檔!$A:$D,4,0),"學習周邊")</f>
        <v>0</v>
      </c>
      <c r="C1324"/>
      <c r="E1324"/>
    </row>
    <row r="1325" spans="1:5">
      <c r="A1325">
        <f>IFERROR(VLOOKUP(B1325,[1]銷貨單品號主檔!$A:$D,4,0),"學習周邊")</f>
        <v>0</v>
      </c>
      <c r="C1325"/>
      <c r="E1325"/>
    </row>
    <row r="1326" spans="1:5">
      <c r="A1326">
        <f>IFERROR(VLOOKUP(B1326,[1]銷貨單品號主檔!$A:$D,4,0),"學習周邊")</f>
        <v>0</v>
      </c>
      <c r="C1326"/>
      <c r="E1326"/>
    </row>
    <row r="1327" spans="1:5">
      <c r="A1327">
        <f>IFERROR(VLOOKUP(B1327,[1]銷貨單品號主檔!$A:$D,4,0),"學習周邊")</f>
        <v>0</v>
      </c>
      <c r="C1327"/>
      <c r="E1327"/>
    </row>
    <row r="1328" spans="1:5">
      <c r="A1328">
        <f>IFERROR(VLOOKUP(B1328,[1]銷貨單品號主檔!$A:$D,4,0),"學習周邊")</f>
        <v>0</v>
      </c>
      <c r="C1328"/>
      <c r="E1328"/>
    </row>
    <row r="1329" spans="1:5">
      <c r="A1329">
        <f>IFERROR(VLOOKUP(B1329,[1]銷貨單品號主檔!$A:$D,4,0),"學習周邊")</f>
        <v>0</v>
      </c>
      <c r="C1329"/>
      <c r="E1329"/>
    </row>
    <row r="1330" spans="1:5">
      <c r="A1330">
        <f>IFERROR(VLOOKUP(B1330,[1]銷貨單品號主檔!$A:$D,4,0),"學習周邊")</f>
        <v>0</v>
      </c>
      <c r="C1330"/>
      <c r="E1330"/>
    </row>
    <row r="1331" spans="1:5">
      <c r="A1331">
        <f>IFERROR(VLOOKUP(B1331,[1]銷貨單品號主檔!$A:$D,4,0),"學習周邊")</f>
        <v>0</v>
      </c>
      <c r="C1331"/>
      <c r="E1331"/>
    </row>
    <row r="1332" spans="1:5">
      <c r="A1332">
        <f>IFERROR(VLOOKUP(B1332,[1]銷貨單品號主檔!$A:$D,4,0),"學習周邊")</f>
        <v>0</v>
      </c>
      <c r="C1332"/>
      <c r="E1332"/>
    </row>
    <row r="1333" spans="1:5">
      <c r="A1333">
        <f>IFERROR(VLOOKUP(B1333,[1]銷貨單品號主檔!$A:$D,4,0),"學習周邊")</f>
        <v>0</v>
      </c>
      <c r="C1333"/>
      <c r="E1333"/>
    </row>
    <row r="1334" spans="1:5">
      <c r="A1334">
        <f>IFERROR(VLOOKUP(B1334,[1]銷貨單品號主檔!$A:$D,4,0),"學習周邊")</f>
        <v>0</v>
      </c>
      <c r="C1334"/>
      <c r="E1334"/>
    </row>
    <row r="1335" spans="1:5">
      <c r="A1335">
        <f>IFERROR(VLOOKUP(B1335,[1]銷貨單品號主檔!$A:$D,4,0),"學習周邊")</f>
        <v>0</v>
      </c>
      <c r="C1335"/>
      <c r="E1335"/>
    </row>
    <row r="1336" spans="1:5">
      <c r="A1336">
        <f>IFERROR(VLOOKUP(B1336,[1]銷貨單品號主檔!$A:$D,4,0),"學習周邊")</f>
        <v>0</v>
      </c>
      <c r="C1336"/>
      <c r="E1336"/>
    </row>
    <row r="1337" spans="1:5">
      <c r="A1337">
        <f>IFERROR(VLOOKUP(B1337,[1]銷貨單品號主檔!$A:$D,4,0),"學習周邊")</f>
        <v>0</v>
      </c>
      <c r="C1337"/>
      <c r="E1337"/>
    </row>
    <row r="1338" spans="1:5">
      <c r="A1338">
        <f>IFERROR(VLOOKUP(B1338,[1]銷貨單品號主檔!$A:$D,4,0),"學習周邊")</f>
        <v>0</v>
      </c>
      <c r="C1338"/>
      <c r="E1338"/>
    </row>
    <row r="1339" spans="1:5">
      <c r="A1339">
        <f>IFERROR(VLOOKUP(B1339,[1]銷貨單品號主檔!$A:$D,4,0),"學習周邊")</f>
        <v>0</v>
      </c>
      <c r="C1339"/>
      <c r="E1339"/>
    </row>
    <row r="1340" spans="1:5">
      <c r="A1340">
        <f>IFERROR(VLOOKUP(B1340,[1]銷貨單品號主檔!$A:$D,4,0),"學習周邊")</f>
        <v>0</v>
      </c>
      <c r="C1340"/>
      <c r="E1340"/>
    </row>
    <row r="1341" spans="1:5">
      <c r="A1341">
        <f>IFERROR(VLOOKUP(B1341,[1]銷貨單品號主檔!$A:$D,4,0),"學習周邊")</f>
        <v>0</v>
      </c>
      <c r="C1341"/>
      <c r="E1341"/>
    </row>
    <row r="1342" spans="1:5">
      <c r="A1342">
        <f>IFERROR(VLOOKUP(B1342,[1]銷貨單品號主檔!$A:$D,4,0),"學習周邊")</f>
        <v>0</v>
      </c>
      <c r="C1342"/>
      <c r="E1342"/>
    </row>
    <row r="1343" spans="1:5">
      <c r="A1343">
        <f>IFERROR(VLOOKUP(B1343,[1]銷貨單品號主檔!$A:$D,4,0),"學習周邊")</f>
        <v>0</v>
      </c>
      <c r="C1343"/>
      <c r="E1343"/>
    </row>
    <row r="1344" spans="1:5">
      <c r="A1344">
        <f>IFERROR(VLOOKUP(B1344,[1]銷貨單品號主檔!$A:$D,4,0),"學習周邊")</f>
        <v>0</v>
      </c>
      <c r="C1344"/>
      <c r="E1344"/>
    </row>
    <row r="1345" spans="1:5">
      <c r="A1345">
        <f>IFERROR(VLOOKUP(B1345,[1]銷貨單品號主檔!$A:$D,4,0),"學習周邊")</f>
        <v>0</v>
      </c>
      <c r="C1345"/>
      <c r="E1345"/>
    </row>
    <row r="1346" spans="1:5">
      <c r="A1346">
        <f>IFERROR(VLOOKUP(B1346,[1]銷貨單品號主檔!$A:$D,4,0),"學習周邊")</f>
        <v>0</v>
      </c>
      <c r="C1346"/>
      <c r="E1346"/>
    </row>
    <row r="1347" spans="1:5">
      <c r="A1347">
        <f>IFERROR(VLOOKUP(B1347,[1]銷貨單品號主檔!$A:$D,4,0),"學習周邊")</f>
        <v>0</v>
      </c>
      <c r="C1347"/>
      <c r="E1347"/>
    </row>
    <row r="1348" spans="1:5">
      <c r="A1348">
        <f>IFERROR(VLOOKUP(B1348,[1]銷貨單品號主檔!$A:$D,4,0),"學習周邊")</f>
        <v>0</v>
      </c>
      <c r="C1348"/>
      <c r="E1348"/>
    </row>
    <row r="1349" spans="1:5">
      <c r="A1349">
        <f>IFERROR(VLOOKUP(B1349,[1]銷貨單品號主檔!$A:$D,4,0),"學習周邊")</f>
        <v>0</v>
      </c>
      <c r="C1349"/>
      <c r="E1349"/>
    </row>
    <row r="1350" spans="1:5">
      <c r="A1350">
        <f>IFERROR(VLOOKUP(B1350,[1]銷貨單品號主檔!$A:$D,4,0),"學習周邊")</f>
        <v>0</v>
      </c>
      <c r="C1350"/>
      <c r="E1350"/>
    </row>
    <row r="1351" spans="1:5">
      <c r="A1351">
        <f>IFERROR(VLOOKUP(B1351,[1]銷貨單品號主檔!$A:$D,4,0),"學習周邊")</f>
        <v>0</v>
      </c>
      <c r="C1351"/>
      <c r="E1351"/>
    </row>
    <row r="1352" spans="1:5">
      <c r="A1352">
        <f>IFERROR(VLOOKUP(B1352,[1]銷貨單品號主檔!$A:$D,4,0),"學習周邊")</f>
        <v>0</v>
      </c>
      <c r="C1352"/>
      <c r="E1352"/>
    </row>
    <row r="1353" spans="1:5">
      <c r="A1353">
        <f>IFERROR(VLOOKUP(B1353,[1]銷貨單品號主檔!$A:$D,4,0),"學習周邊")</f>
        <v>0</v>
      </c>
      <c r="C1353"/>
      <c r="E1353"/>
    </row>
    <row r="1354" spans="1:5">
      <c r="A1354">
        <f>IFERROR(VLOOKUP(B1354,[1]銷貨單品號主檔!$A:$D,4,0),"學習周邊")</f>
        <v>0</v>
      </c>
      <c r="C1354"/>
      <c r="E1354"/>
    </row>
    <row r="1355" spans="1:5">
      <c r="A1355">
        <f>IFERROR(VLOOKUP(B1355,[1]銷貨單品號主檔!$A:$D,4,0),"學習周邊")</f>
        <v>0</v>
      </c>
      <c r="C1355"/>
      <c r="E1355"/>
    </row>
    <row r="1356" spans="1:5">
      <c r="A1356">
        <f>IFERROR(VLOOKUP(B1356,[1]銷貨單品號主檔!$A:$D,4,0),"學習周邊")</f>
        <v>0</v>
      </c>
      <c r="C1356"/>
      <c r="E1356"/>
    </row>
    <row r="1357" spans="1:5">
      <c r="A1357">
        <f>IFERROR(VLOOKUP(B1357,[1]銷貨單品號主檔!$A:$D,4,0),"學習周邊")</f>
        <v>0</v>
      </c>
      <c r="C1357"/>
      <c r="E1357"/>
    </row>
    <row r="1358" spans="1:5">
      <c r="A1358">
        <f>IFERROR(VLOOKUP(B1358,[1]銷貨單品號主檔!$A:$D,4,0),"學習周邊")</f>
        <v>0</v>
      </c>
      <c r="C1358"/>
      <c r="E1358"/>
    </row>
    <row r="1359" spans="1:5">
      <c r="A1359">
        <f>IFERROR(VLOOKUP(B1359,[1]銷貨單品號主檔!$A:$D,4,0),"學習周邊")</f>
        <v>0</v>
      </c>
      <c r="C1359"/>
      <c r="E1359"/>
    </row>
    <row r="1360" spans="1:5">
      <c r="A1360">
        <f>IFERROR(VLOOKUP(B1360,[1]銷貨單品號主檔!$A:$D,4,0),"學習周邊")</f>
        <v>0</v>
      </c>
      <c r="C1360"/>
      <c r="E1360"/>
    </row>
    <row r="1361" spans="1:5">
      <c r="A1361">
        <f>IFERROR(VLOOKUP(B1361,[1]銷貨單品號主檔!$A:$D,4,0),"學習周邊")</f>
        <v>0</v>
      </c>
      <c r="C1361"/>
      <c r="E1361"/>
    </row>
    <row r="1362" spans="1:5">
      <c r="A1362">
        <f>IFERROR(VLOOKUP(B1362,[1]銷貨單品號主檔!$A:$D,4,0),"學習周邊")</f>
        <v>0</v>
      </c>
      <c r="C1362"/>
      <c r="E1362"/>
    </row>
    <row r="1363" spans="1:5">
      <c r="A1363">
        <f>IFERROR(VLOOKUP(B1363,[1]銷貨單品號主檔!$A:$D,4,0),"學習周邊")</f>
        <v>0</v>
      </c>
      <c r="C1363"/>
      <c r="E1363"/>
    </row>
    <row r="1364" spans="1:5">
      <c r="A1364">
        <f>IFERROR(VLOOKUP(B1364,[1]銷貨單品號主檔!$A:$D,4,0),"學習周邊")</f>
        <v>0</v>
      </c>
      <c r="C1364"/>
      <c r="E1364"/>
    </row>
    <row r="1365" spans="1:5">
      <c r="A1365">
        <f>IFERROR(VLOOKUP(B1365,[1]銷貨單品號主檔!$A:$D,4,0),"學習周邊")</f>
        <v>0</v>
      </c>
      <c r="C1365"/>
      <c r="E1365"/>
    </row>
    <row r="1366" spans="1:5">
      <c r="A1366">
        <f>IFERROR(VLOOKUP(B1366,[1]銷貨單品號主檔!$A:$D,4,0),"學習周邊")</f>
        <v>0</v>
      </c>
      <c r="C1366"/>
      <c r="E1366"/>
    </row>
    <row r="1367" spans="1:5">
      <c r="A1367">
        <f>IFERROR(VLOOKUP(B1367,[1]銷貨單品號主檔!$A:$D,4,0),"學習周邊")</f>
        <v>0</v>
      </c>
      <c r="C1367"/>
      <c r="E1367"/>
    </row>
    <row r="1368" spans="1:5">
      <c r="A1368">
        <f>IFERROR(VLOOKUP(B1368,[1]銷貨單品號主檔!$A:$D,4,0),"學習周邊")</f>
        <v>0</v>
      </c>
      <c r="C1368"/>
      <c r="E1368"/>
    </row>
    <row r="1369" spans="1:5">
      <c r="A1369">
        <f>IFERROR(VLOOKUP(B1369,[1]銷貨單品號主檔!$A:$D,4,0),"學習周邊")</f>
        <v>0</v>
      </c>
      <c r="C1369"/>
      <c r="E1369"/>
    </row>
    <row r="1370" spans="1:5">
      <c r="A1370">
        <f>IFERROR(VLOOKUP(B1370,[1]銷貨單品號主檔!$A:$D,4,0),"學習周邊")</f>
        <v>0</v>
      </c>
      <c r="C1370"/>
      <c r="E1370"/>
    </row>
    <row r="1371" spans="1:5">
      <c r="A1371">
        <f>IFERROR(VLOOKUP(B1371,[1]銷貨單品號主檔!$A:$D,4,0),"學習周邊")</f>
        <v>0</v>
      </c>
      <c r="C1371"/>
      <c r="E1371"/>
    </row>
    <row r="1372" spans="1:5">
      <c r="A1372">
        <f>IFERROR(VLOOKUP(B1372,[1]銷貨單品號主檔!$A:$D,4,0),"學習周邊")</f>
        <v>0</v>
      </c>
      <c r="C1372"/>
      <c r="E1372"/>
    </row>
    <row r="1373" spans="1:5">
      <c r="A1373">
        <f>IFERROR(VLOOKUP(B1373,[1]銷貨單品號主檔!$A:$D,4,0),"學習周邊")</f>
        <v>0</v>
      </c>
      <c r="C1373"/>
      <c r="E1373"/>
    </row>
    <row r="1374" spans="1:5">
      <c r="A1374">
        <f>IFERROR(VLOOKUP(B1374,[1]銷貨單品號主檔!$A:$D,4,0),"學習周邊")</f>
        <v>0</v>
      </c>
      <c r="C1374"/>
      <c r="E1374"/>
    </row>
    <row r="1375" spans="1:5">
      <c r="A1375">
        <f>IFERROR(VLOOKUP(B1375,[1]銷貨單品號主檔!$A:$D,4,0),"學習周邊")</f>
        <v>0</v>
      </c>
      <c r="C1375"/>
      <c r="E1375"/>
    </row>
    <row r="1376" spans="1:5">
      <c r="A1376">
        <f>IFERROR(VLOOKUP(B1376,[1]銷貨單品號主檔!$A:$D,4,0),"學習周邊")</f>
        <v>0</v>
      </c>
      <c r="C1376"/>
      <c r="E1376"/>
    </row>
    <row r="1377" spans="1:5">
      <c r="A1377">
        <f>IFERROR(VLOOKUP(B1377,[1]銷貨單品號主檔!$A:$D,4,0),"學習周邊")</f>
        <v>0</v>
      </c>
      <c r="C1377"/>
      <c r="E1377"/>
    </row>
    <row r="1378" spans="1:5">
      <c r="A1378">
        <f>IFERROR(VLOOKUP(B1378,[1]銷貨單品號主檔!$A:$D,4,0),"學習周邊")</f>
        <v>0</v>
      </c>
      <c r="C1378"/>
      <c r="E1378"/>
    </row>
    <row r="1379" spans="1:5">
      <c r="A1379">
        <f>IFERROR(VLOOKUP(B1379,[1]銷貨單品號主檔!$A:$D,4,0),"學習周邊")</f>
        <v>0</v>
      </c>
      <c r="C1379"/>
      <c r="E1379"/>
    </row>
    <row r="1380" spans="1:5">
      <c r="A1380">
        <f>IFERROR(VLOOKUP(B1380,[1]銷貨單品號主檔!$A:$D,4,0),"學習周邊")</f>
        <v>0</v>
      </c>
      <c r="C1380"/>
      <c r="E1380"/>
    </row>
    <row r="1381" spans="1:5">
      <c r="A1381">
        <f>IFERROR(VLOOKUP(B1381,[1]銷貨單品號主檔!$A:$D,4,0),"學習周邊")</f>
        <v>0</v>
      </c>
      <c r="C1381"/>
      <c r="E1381"/>
    </row>
    <row r="1382" spans="1:5">
      <c r="A1382">
        <f>IFERROR(VLOOKUP(B1382,[1]銷貨單品號主檔!$A:$D,4,0),"學習周邊")</f>
        <v>0</v>
      </c>
      <c r="C1382"/>
      <c r="E1382"/>
    </row>
    <row r="1383" spans="1:5">
      <c r="A1383">
        <f>IFERROR(VLOOKUP(B1383,[1]銷貨單品號主檔!$A:$D,4,0),"學習周邊")</f>
        <v>0</v>
      </c>
      <c r="C1383"/>
      <c r="E1383"/>
    </row>
    <row r="1384" spans="1:5">
      <c r="A1384">
        <f>IFERROR(VLOOKUP(B1384,[1]銷貨單品號主檔!$A:$D,4,0),"學習周邊")</f>
        <v>0</v>
      </c>
      <c r="C1384"/>
      <c r="E1384"/>
    </row>
    <row r="1385" spans="1:5">
      <c r="A1385">
        <f>IFERROR(VLOOKUP(B1385,[1]銷貨單品號主檔!$A:$D,4,0),"學習周邊")</f>
        <v>0</v>
      </c>
      <c r="C1385"/>
      <c r="E1385"/>
    </row>
    <row r="1386" spans="1:5">
      <c r="A1386">
        <f>IFERROR(VLOOKUP(B1386,[1]銷貨單品號主檔!$A:$D,4,0),"學習周邊")</f>
        <v>0</v>
      </c>
      <c r="C1386"/>
      <c r="E1386"/>
    </row>
    <row r="1387" spans="1:5">
      <c r="A1387">
        <f>IFERROR(VLOOKUP(B1387,[1]銷貨單品號主檔!$A:$D,4,0),"學習周邊")</f>
        <v>0</v>
      </c>
      <c r="C1387"/>
      <c r="E1387"/>
    </row>
    <row r="1388" spans="1:5">
      <c r="A1388">
        <f>IFERROR(VLOOKUP(B1388,[1]銷貨單品號主檔!$A:$D,4,0),"學習周邊")</f>
        <v>0</v>
      </c>
      <c r="C1388"/>
      <c r="E1388"/>
    </row>
    <row r="1389" spans="1:5">
      <c r="A1389">
        <f>IFERROR(VLOOKUP(B1389,[1]銷貨單品號主檔!$A:$D,4,0),"學習周邊")</f>
        <v>0</v>
      </c>
      <c r="C1389"/>
      <c r="E1389"/>
    </row>
    <row r="1390" spans="1:5">
      <c r="A1390">
        <f>IFERROR(VLOOKUP(B1390,[1]銷貨單品號主檔!$A:$D,4,0),"學習周邊")</f>
        <v>0</v>
      </c>
      <c r="C1390"/>
      <c r="E1390"/>
    </row>
    <row r="1391" spans="1:5">
      <c r="A1391">
        <f>IFERROR(VLOOKUP(B1391,[1]銷貨單品號主檔!$A:$D,4,0),"學習周邊")</f>
        <v>0</v>
      </c>
      <c r="C1391"/>
      <c r="E1391"/>
    </row>
    <row r="1392" spans="1:5">
      <c r="A1392">
        <f>IFERROR(VLOOKUP(B1392,[1]銷貨單品號主檔!$A:$D,4,0),"學習周邊")</f>
        <v>0</v>
      </c>
      <c r="C1392"/>
      <c r="E1392"/>
    </row>
    <row r="1393" spans="1:5">
      <c r="A1393">
        <f>IFERROR(VLOOKUP(B1393,[1]銷貨單品號主檔!$A:$D,4,0),"學習周邊")</f>
        <v>0</v>
      </c>
      <c r="C1393"/>
      <c r="E1393"/>
    </row>
    <row r="1394" spans="1:5">
      <c r="A1394">
        <f>IFERROR(VLOOKUP(B1394,[1]銷貨單品號主檔!$A:$D,4,0),"學習周邊")</f>
        <v>0</v>
      </c>
      <c r="C1394"/>
      <c r="E1394"/>
    </row>
    <row r="1395" spans="1:5">
      <c r="A1395">
        <f>IFERROR(VLOOKUP(B1395,[1]銷貨單品號主檔!$A:$D,4,0),"學習周邊")</f>
        <v>0</v>
      </c>
      <c r="C1395"/>
      <c r="E1395"/>
    </row>
    <row r="1396" spans="1:5">
      <c r="A1396">
        <f>IFERROR(VLOOKUP(B1396,[1]銷貨單品號主檔!$A:$D,4,0),"學習周邊")</f>
        <v>0</v>
      </c>
      <c r="C1396"/>
      <c r="E1396"/>
    </row>
    <row r="1397" spans="1:5">
      <c r="A1397">
        <f>IFERROR(VLOOKUP(B1397,[1]銷貨單品號主檔!$A:$D,4,0),"學習周邊")</f>
        <v>0</v>
      </c>
      <c r="C1397"/>
      <c r="E1397"/>
    </row>
    <row r="1398" spans="1:5">
      <c r="A1398">
        <f>IFERROR(VLOOKUP(B1398,[1]銷貨單品號主檔!$A:$D,4,0),"學習周邊")</f>
        <v>0</v>
      </c>
      <c r="C1398"/>
      <c r="E1398"/>
    </row>
    <row r="1399" spans="1:5">
      <c r="A1399">
        <f>IFERROR(VLOOKUP(B1399,[1]銷貨單品號主檔!$A:$D,4,0),"學習周邊")</f>
        <v>0</v>
      </c>
      <c r="C1399"/>
      <c r="E1399"/>
    </row>
    <row r="1400" spans="1:5">
      <c r="A1400">
        <f>IFERROR(VLOOKUP(B1400,[1]銷貨單品號主檔!$A:$D,4,0),"學習周邊")</f>
        <v>0</v>
      </c>
      <c r="C1400"/>
      <c r="E1400"/>
    </row>
    <row r="1401" spans="1:5">
      <c r="A1401">
        <f>IFERROR(VLOOKUP(B1401,[1]銷貨單品號主檔!$A:$D,4,0),"學習周邊")</f>
        <v>0</v>
      </c>
      <c r="C1401"/>
      <c r="E1401"/>
    </row>
    <row r="1402" spans="1:5">
      <c r="A1402">
        <f>IFERROR(VLOOKUP(B1402,[1]銷貨單品號主檔!$A:$D,4,0),"學習周邊")</f>
        <v>0</v>
      </c>
      <c r="C1402"/>
      <c r="E1402"/>
    </row>
    <row r="1403" spans="1:5">
      <c r="A1403">
        <f>IFERROR(VLOOKUP(B1403,[1]銷貨單品號主檔!$A:$D,4,0),"學習周邊")</f>
        <v>0</v>
      </c>
      <c r="C1403"/>
      <c r="E1403"/>
    </row>
    <row r="1404" spans="1:5">
      <c r="A1404">
        <f>IFERROR(VLOOKUP(B1404,[1]銷貨單品號主檔!$A:$D,4,0),"學習周邊")</f>
        <v>0</v>
      </c>
      <c r="C1404"/>
      <c r="E1404"/>
    </row>
    <row r="1405" spans="1:5">
      <c r="A1405">
        <f>IFERROR(VLOOKUP(B1405,[1]銷貨單品號主檔!$A:$D,4,0),"學習周邊")</f>
        <v>0</v>
      </c>
      <c r="C1405"/>
      <c r="E1405"/>
    </row>
    <row r="1406" spans="1:5">
      <c r="A1406">
        <f>IFERROR(VLOOKUP(B1406,[1]銷貨單品號主檔!$A:$D,4,0),"學習周邊")</f>
        <v>0</v>
      </c>
      <c r="C1406"/>
      <c r="E1406"/>
    </row>
    <row r="1407" spans="1:5">
      <c r="A1407">
        <f>IFERROR(VLOOKUP(B1407,[1]銷貨單品號主檔!$A:$D,4,0),"學習周邊")</f>
        <v>0</v>
      </c>
      <c r="C1407"/>
      <c r="E1407"/>
    </row>
    <row r="1408" spans="1:5">
      <c r="A1408">
        <f>IFERROR(VLOOKUP(B1408,[1]銷貨單品號主檔!$A:$D,4,0),"學習周邊")</f>
        <v>0</v>
      </c>
      <c r="C1408"/>
      <c r="E1408"/>
    </row>
    <row r="1409" spans="1:5">
      <c r="A1409">
        <f>IFERROR(VLOOKUP(B1409,[1]銷貨單品號主檔!$A:$D,4,0),"學習周邊")</f>
        <v>0</v>
      </c>
      <c r="C1409"/>
      <c r="E1409"/>
    </row>
    <row r="1410" spans="1:5">
      <c r="A1410">
        <f>IFERROR(VLOOKUP(B1410,[1]銷貨單品號主檔!$A:$D,4,0),"學習周邊")</f>
        <v>0</v>
      </c>
      <c r="C1410"/>
      <c r="E1410"/>
    </row>
    <row r="1411" spans="1:5">
      <c r="A1411">
        <f>IFERROR(VLOOKUP(B1411,[1]銷貨單品號主檔!$A:$D,4,0),"學習周邊")</f>
        <v>0</v>
      </c>
      <c r="C1411"/>
      <c r="E1411"/>
    </row>
    <row r="1412" spans="1:5">
      <c r="A1412">
        <f>IFERROR(VLOOKUP(B1412,[1]銷貨單品號主檔!$A:$D,4,0),"學習周邊")</f>
        <v>0</v>
      </c>
      <c r="C1412"/>
      <c r="E1412"/>
    </row>
    <row r="1413" spans="1:5">
      <c r="A1413">
        <f>IFERROR(VLOOKUP(B1413,[1]銷貨單品號主檔!$A:$D,4,0),"學習周邊")</f>
        <v>0</v>
      </c>
      <c r="C1413"/>
      <c r="E1413"/>
    </row>
    <row r="1414" spans="1:5">
      <c r="A1414">
        <f>IFERROR(VLOOKUP(B1414,[1]銷貨單品號主檔!$A:$D,4,0),"學習周邊")</f>
        <v>0</v>
      </c>
      <c r="C1414"/>
      <c r="E1414"/>
    </row>
    <row r="1415" spans="1:5">
      <c r="A1415">
        <f>IFERROR(VLOOKUP(B1415,[1]銷貨單品號主檔!$A:$D,4,0),"學習周邊")</f>
        <v>0</v>
      </c>
      <c r="C1415"/>
      <c r="E1415"/>
    </row>
    <row r="1416" spans="1:5">
      <c r="A1416">
        <f>IFERROR(VLOOKUP(B1416,[1]銷貨單品號主檔!$A:$D,4,0),"學習周邊")</f>
        <v>0</v>
      </c>
      <c r="C1416"/>
      <c r="E1416"/>
    </row>
    <row r="1417" spans="1:5">
      <c r="A1417">
        <f>IFERROR(VLOOKUP(B1417,[1]銷貨單品號主檔!$A:$D,4,0),"學習周邊")</f>
        <v>0</v>
      </c>
      <c r="C1417"/>
      <c r="E1417"/>
    </row>
    <row r="1418" spans="1:5">
      <c r="A1418">
        <f>IFERROR(VLOOKUP(B1418,[1]銷貨單品號主檔!$A:$D,4,0),"學習周邊")</f>
        <v>0</v>
      </c>
      <c r="C1418"/>
      <c r="E1418"/>
    </row>
    <row r="1419" spans="1:5">
      <c r="A1419">
        <f>IFERROR(VLOOKUP(B1419,[1]銷貨單品號主檔!$A:$D,4,0),"學習周邊")</f>
        <v>0</v>
      </c>
      <c r="C1419"/>
      <c r="E1419"/>
    </row>
    <row r="1420" spans="1:5">
      <c r="A1420">
        <f>IFERROR(VLOOKUP(B1420,[1]銷貨單品號主檔!$A:$D,4,0),"學習周邊")</f>
        <v>0</v>
      </c>
      <c r="C1420"/>
      <c r="E1420"/>
    </row>
    <row r="1421" spans="1:5">
      <c r="A1421">
        <f>IFERROR(VLOOKUP(B1421,[1]銷貨單品號主檔!$A:$D,4,0),"學習周邊")</f>
        <v>0</v>
      </c>
      <c r="C1421"/>
      <c r="E1421"/>
    </row>
    <row r="1422" spans="1:5">
      <c r="A1422">
        <f>IFERROR(VLOOKUP(B1422,[1]銷貨單品號主檔!$A:$D,4,0),"學習周邊")</f>
        <v>0</v>
      </c>
      <c r="C1422"/>
      <c r="E1422"/>
    </row>
    <row r="1423" spans="1:5">
      <c r="A1423">
        <f>IFERROR(VLOOKUP(B1423,[1]銷貨單品號主檔!$A:$D,4,0),"學習周邊")</f>
        <v>0</v>
      </c>
      <c r="C1423"/>
      <c r="E1423"/>
    </row>
    <row r="1424" spans="1:5">
      <c r="A1424">
        <f>IFERROR(VLOOKUP(B1424,[1]銷貨單品號主檔!$A:$D,4,0),"學習周邊")</f>
        <v>0</v>
      </c>
      <c r="C1424"/>
      <c r="E1424"/>
    </row>
    <row r="1425" spans="1:5">
      <c r="A1425">
        <f>IFERROR(VLOOKUP(B1425,[1]銷貨單品號主檔!$A:$D,4,0),"學習周邊")</f>
        <v>0</v>
      </c>
      <c r="C1425"/>
      <c r="E1425"/>
    </row>
    <row r="1426" spans="1:5">
      <c r="A1426">
        <f>IFERROR(VLOOKUP(B1426,[1]銷貨單品號主檔!$A:$D,4,0),"學習周邊")</f>
        <v>0</v>
      </c>
      <c r="C1426"/>
      <c r="E1426"/>
    </row>
    <row r="1427" spans="1:5">
      <c r="A1427">
        <f>IFERROR(VLOOKUP(B1427,[1]銷貨單品號主檔!$A:$D,4,0),"學習周邊")</f>
        <v>0</v>
      </c>
      <c r="C1427"/>
      <c r="E1427"/>
    </row>
    <row r="1428" spans="1:5">
      <c r="A1428">
        <f>IFERROR(VLOOKUP(B1428,[1]銷貨單品號主檔!$A:$D,4,0),"學習周邊")</f>
        <v>0</v>
      </c>
      <c r="C1428"/>
      <c r="E1428"/>
    </row>
    <row r="1429" spans="1:5">
      <c r="A1429">
        <f>IFERROR(VLOOKUP(B1429,[1]銷貨單品號主檔!$A:$D,4,0),"學習周邊")</f>
        <v>0</v>
      </c>
      <c r="C1429"/>
      <c r="E1429"/>
    </row>
    <row r="1430" spans="1:5">
      <c r="A1430">
        <f>IFERROR(VLOOKUP(B1430,[1]銷貨單品號主檔!$A:$D,4,0),"學習周邊")</f>
        <v>0</v>
      </c>
      <c r="C1430"/>
      <c r="E1430"/>
    </row>
    <row r="1431" spans="1:5">
      <c r="A1431">
        <f>IFERROR(VLOOKUP(B1431,[1]銷貨單品號主檔!$A:$D,4,0),"學習周邊")</f>
        <v>0</v>
      </c>
      <c r="C1431"/>
      <c r="E1431"/>
    </row>
    <row r="1432" spans="1:5">
      <c r="A1432">
        <f>IFERROR(VLOOKUP(B1432,[1]銷貨單品號主檔!$A:$D,4,0),"學習周邊")</f>
        <v>0</v>
      </c>
      <c r="C1432"/>
      <c r="E1432"/>
    </row>
    <row r="1433" spans="1:5">
      <c r="A1433">
        <f>IFERROR(VLOOKUP(B1433,[1]銷貨單品號主檔!$A:$D,4,0),"學習周邊")</f>
        <v>0</v>
      </c>
      <c r="C1433"/>
      <c r="E1433"/>
    </row>
    <row r="1434" spans="1:5">
      <c r="A1434">
        <f>IFERROR(VLOOKUP(B1434,[1]銷貨單品號主檔!$A:$D,4,0),"學習周邊")</f>
        <v>0</v>
      </c>
      <c r="C1434"/>
      <c r="E1434"/>
    </row>
    <row r="1435" spans="1:5">
      <c r="A1435">
        <f>IFERROR(VLOOKUP(B1435,[1]銷貨單品號主檔!$A:$D,4,0),"學習周邊")</f>
        <v>0</v>
      </c>
      <c r="C1435"/>
      <c r="E1435"/>
    </row>
    <row r="1436" spans="1:5">
      <c r="A1436">
        <f>IFERROR(VLOOKUP(B1436,[1]銷貨單品號主檔!$A:$D,4,0),"學習周邊")</f>
        <v>0</v>
      </c>
      <c r="C1436"/>
      <c r="E1436"/>
    </row>
    <row r="1437" spans="1:5">
      <c r="A1437">
        <f>IFERROR(VLOOKUP(B1437,[1]銷貨單品號主檔!$A:$D,4,0),"學習周邊")</f>
        <v>0</v>
      </c>
      <c r="C1437"/>
      <c r="E1437"/>
    </row>
    <row r="1438" spans="1:5">
      <c r="A1438">
        <f>IFERROR(VLOOKUP(B1438,[1]銷貨單品號主檔!$A:$D,4,0),"學習周邊")</f>
        <v>0</v>
      </c>
      <c r="C1438"/>
      <c r="E1438"/>
    </row>
    <row r="1439" spans="1:5">
      <c r="A1439">
        <f>IFERROR(VLOOKUP(B1439,[1]銷貨單品號主檔!$A:$D,4,0),"學習周邊")</f>
        <v>0</v>
      </c>
      <c r="C1439"/>
      <c r="E1439"/>
    </row>
    <row r="1440" spans="1:5">
      <c r="A1440">
        <f>IFERROR(VLOOKUP(B1440,[1]銷貨單品號主檔!$A:$D,4,0),"學習周邊")</f>
        <v>0</v>
      </c>
      <c r="C1440"/>
      <c r="E1440"/>
    </row>
    <row r="1441" spans="1:5">
      <c r="A1441">
        <f>IFERROR(VLOOKUP(B1441,[1]銷貨單品號主檔!$A:$D,4,0),"學習周邊")</f>
        <v>0</v>
      </c>
      <c r="C1441"/>
      <c r="E1441"/>
    </row>
    <row r="1442" spans="1:5">
      <c r="A1442">
        <f>IFERROR(VLOOKUP(B1442,[1]銷貨單品號主檔!$A:$D,4,0),"學習周邊")</f>
        <v>0</v>
      </c>
      <c r="C1442"/>
      <c r="E1442"/>
    </row>
    <row r="1443" spans="1:5">
      <c r="A1443">
        <f>IFERROR(VLOOKUP(B1443,[1]銷貨單品號主檔!$A:$D,4,0),"學習周邊")</f>
        <v>0</v>
      </c>
      <c r="C1443"/>
      <c r="E1443"/>
    </row>
    <row r="1444" spans="1:5">
      <c r="A1444">
        <f>IFERROR(VLOOKUP(B1444,[1]銷貨單品號主檔!$A:$D,4,0),"學習周邊")</f>
        <v>0</v>
      </c>
      <c r="C1444"/>
      <c r="E1444"/>
    </row>
    <row r="1445" spans="1:5">
      <c r="A1445">
        <f>IFERROR(VLOOKUP(B1445,[1]銷貨單品號主檔!$A:$D,4,0),"學習周邊")</f>
        <v>0</v>
      </c>
      <c r="C1445"/>
      <c r="E1445"/>
    </row>
    <row r="1446" spans="1:5">
      <c r="A1446">
        <f>IFERROR(VLOOKUP(B1446,[1]銷貨單品號主檔!$A:$D,4,0),"學習周邊")</f>
        <v>0</v>
      </c>
      <c r="C1446"/>
      <c r="E1446"/>
    </row>
    <row r="1447" spans="1:5">
      <c r="A1447">
        <f>IFERROR(VLOOKUP(B1447,[1]銷貨單品號主檔!$A:$D,4,0),"學習周邊")</f>
        <v>0</v>
      </c>
      <c r="C1447"/>
      <c r="E1447"/>
    </row>
    <row r="1448" spans="1:5">
      <c r="A1448">
        <f>IFERROR(VLOOKUP(B1448,[1]銷貨單品號主檔!$A:$D,4,0),"學習周邊")</f>
        <v>0</v>
      </c>
      <c r="C1448"/>
      <c r="E1448"/>
    </row>
    <row r="1449" spans="1:5">
      <c r="A1449">
        <f>IFERROR(VLOOKUP(B1449,[1]銷貨單品號主檔!$A:$D,4,0),"學習周邊")</f>
        <v>0</v>
      </c>
      <c r="C1449"/>
      <c r="E1449"/>
    </row>
    <row r="1450" spans="1:5">
      <c r="A1450">
        <f>IFERROR(VLOOKUP(B1450,[1]銷貨單品號主檔!$A:$D,4,0),"學習周邊")</f>
        <v>0</v>
      </c>
      <c r="C1450"/>
      <c r="E1450"/>
    </row>
    <row r="1451" spans="1:5">
      <c r="A1451">
        <f>IFERROR(VLOOKUP(B1451,[1]銷貨單品號主檔!$A:$D,4,0),"學習周邊")</f>
        <v>0</v>
      </c>
      <c r="C1451"/>
      <c r="E1451"/>
    </row>
    <row r="1452" spans="1:5">
      <c r="A1452">
        <f>IFERROR(VLOOKUP(B1452,[1]銷貨單品號主檔!$A:$D,4,0),"學習周邊")</f>
        <v>0</v>
      </c>
      <c r="C1452"/>
      <c r="E1452"/>
    </row>
    <row r="1453" spans="1:5">
      <c r="A1453">
        <f>IFERROR(VLOOKUP(B1453,[1]銷貨單品號主檔!$A:$D,4,0),"學習周邊")</f>
        <v>0</v>
      </c>
      <c r="C1453"/>
      <c r="E1453"/>
    </row>
    <row r="1454" spans="1:5">
      <c r="A1454">
        <f>IFERROR(VLOOKUP(B1454,[1]銷貨單品號主檔!$A:$D,4,0),"學習周邊")</f>
        <v>0</v>
      </c>
      <c r="C1454"/>
      <c r="E1454"/>
    </row>
    <row r="1455" spans="1:5">
      <c r="A1455">
        <f>IFERROR(VLOOKUP(B1455,[1]銷貨單品號主檔!$A:$D,4,0),"學習周邊")</f>
        <v>0</v>
      </c>
      <c r="C1455"/>
      <c r="E1455"/>
    </row>
    <row r="1456" spans="1:5">
      <c r="A1456">
        <f>IFERROR(VLOOKUP(B1456,[1]銷貨單品號主檔!$A:$D,4,0),"學習周邊")</f>
        <v>0</v>
      </c>
      <c r="C1456"/>
      <c r="E1456"/>
    </row>
    <row r="1457" spans="1:5">
      <c r="A1457">
        <f>IFERROR(VLOOKUP(B1457,[1]銷貨單品號主檔!$A:$D,4,0),"學習周邊")</f>
        <v>0</v>
      </c>
      <c r="C1457"/>
      <c r="E1457"/>
    </row>
    <row r="1458" spans="1:5">
      <c r="A1458">
        <f>IFERROR(VLOOKUP(B1458,[1]銷貨單品號主檔!$A:$D,4,0),"學習周邊")</f>
        <v>0</v>
      </c>
      <c r="C1458"/>
      <c r="E1458"/>
    </row>
    <row r="1459" spans="1:5">
      <c r="A1459">
        <f>IFERROR(VLOOKUP(B1459,[1]銷貨單品號主檔!$A:$D,4,0),"學習周邊")</f>
        <v>0</v>
      </c>
      <c r="C1459"/>
      <c r="E1459"/>
    </row>
    <row r="1460" spans="1:5">
      <c r="A1460">
        <f>IFERROR(VLOOKUP(B1460,[1]銷貨單品號主檔!$A:$D,4,0),"學習周邊")</f>
        <v>0</v>
      </c>
      <c r="C1460"/>
      <c r="E1460"/>
    </row>
    <row r="1461" spans="1:5">
      <c r="A1461">
        <f>IFERROR(VLOOKUP(B1461,[1]銷貨單品號主檔!$A:$D,4,0),"學習周邊")</f>
        <v>0</v>
      </c>
      <c r="C1461"/>
      <c r="E1461"/>
    </row>
    <row r="1462" spans="1:5">
      <c r="A1462">
        <f>IFERROR(VLOOKUP(B1462,[1]銷貨單品號主檔!$A:$D,4,0),"學習周邊")</f>
        <v>0</v>
      </c>
      <c r="C1462"/>
      <c r="E1462"/>
    </row>
    <row r="1463" spans="1:5">
      <c r="A1463">
        <f>IFERROR(VLOOKUP(B1463,[1]銷貨單品號主檔!$A:$D,4,0),"學習周邊")</f>
        <v>0</v>
      </c>
      <c r="C1463"/>
      <c r="E1463"/>
    </row>
    <row r="1464" spans="1:5">
      <c r="A1464">
        <f>IFERROR(VLOOKUP(B1464,[1]銷貨單品號主檔!$A:$D,4,0),"學習周邊")</f>
        <v>0</v>
      </c>
      <c r="C1464"/>
      <c r="E1464"/>
    </row>
    <row r="1465" spans="1:5">
      <c r="A1465">
        <f>IFERROR(VLOOKUP(B1465,[1]銷貨單品號主檔!$A:$D,4,0),"學習周邊")</f>
        <v>0</v>
      </c>
      <c r="C1465"/>
      <c r="E1465"/>
    </row>
    <row r="1466" spans="1:5">
      <c r="A1466">
        <f>IFERROR(VLOOKUP(B1466,[1]銷貨單品號主檔!$A:$D,4,0),"學習周邊")</f>
        <v>0</v>
      </c>
      <c r="C1466"/>
      <c r="E1466"/>
    </row>
    <row r="1467" spans="1:5">
      <c r="A1467">
        <f>IFERROR(VLOOKUP(B1467,[1]銷貨單品號主檔!$A:$D,4,0),"學習周邊")</f>
        <v>0</v>
      </c>
      <c r="C1467"/>
      <c r="E1467"/>
    </row>
    <row r="1468" spans="1:5">
      <c r="A1468">
        <f>IFERROR(VLOOKUP(B1468,[1]銷貨單品號主檔!$A:$D,4,0),"學習周邊")</f>
        <v>0</v>
      </c>
      <c r="C1468"/>
      <c r="E1468"/>
    </row>
    <row r="1469" spans="1:5">
      <c r="A1469">
        <f>IFERROR(VLOOKUP(B1469,[1]銷貨單品號主檔!$A:$D,4,0),"學習周邊")</f>
        <v>0</v>
      </c>
      <c r="C1469"/>
      <c r="E1469"/>
    </row>
    <row r="1470" spans="1:5">
      <c r="A1470">
        <f>IFERROR(VLOOKUP(B1470,[1]銷貨單品號主檔!$A:$D,4,0),"學習周邊")</f>
        <v>0</v>
      </c>
      <c r="C1470"/>
      <c r="E1470"/>
    </row>
    <row r="1471" spans="1:5">
      <c r="A1471">
        <f>IFERROR(VLOOKUP(B1471,[1]銷貨單品號主檔!$A:$D,4,0),"學習周邊")</f>
        <v>0</v>
      </c>
      <c r="C1471"/>
      <c r="E1471"/>
    </row>
    <row r="1472" spans="1:5">
      <c r="A1472">
        <f>IFERROR(VLOOKUP(B1472,[1]銷貨單品號主檔!$A:$D,4,0),"學習周邊")</f>
        <v>0</v>
      </c>
      <c r="C1472"/>
      <c r="E1472"/>
    </row>
    <row r="1473" spans="1:5">
      <c r="A1473">
        <f>IFERROR(VLOOKUP(B1473,[1]銷貨單品號主檔!$A:$D,4,0),"學習周邊")</f>
        <v>0</v>
      </c>
      <c r="C1473"/>
      <c r="E1473"/>
    </row>
    <row r="1474" spans="1:5">
      <c r="A1474">
        <f>IFERROR(VLOOKUP(B1474,[1]銷貨單品號主檔!$A:$D,4,0),"學習周邊")</f>
        <v>0</v>
      </c>
      <c r="C1474"/>
      <c r="E1474"/>
    </row>
    <row r="1475" spans="1:5">
      <c r="A1475">
        <f>IFERROR(VLOOKUP(B1475,[1]銷貨單品號主檔!$A:$D,4,0),"學習周邊")</f>
        <v>0</v>
      </c>
      <c r="C1475"/>
      <c r="E1475"/>
    </row>
    <row r="1476" spans="1:5">
      <c r="A1476">
        <f>IFERROR(VLOOKUP(B1476,[1]銷貨單品號主檔!$A:$D,4,0),"學習周邊")</f>
        <v>0</v>
      </c>
      <c r="C1476"/>
      <c r="E1476"/>
    </row>
    <row r="1477" spans="1:5">
      <c r="A1477">
        <f>IFERROR(VLOOKUP(B1477,[1]銷貨單品號主檔!$A:$D,4,0),"學習周邊")</f>
        <v>0</v>
      </c>
      <c r="C1477"/>
      <c r="E1477"/>
    </row>
    <row r="1478" spans="1:5">
      <c r="A1478">
        <f>IFERROR(VLOOKUP(B1478,[1]銷貨單品號主檔!$A:$D,4,0),"學習周邊")</f>
        <v>0</v>
      </c>
      <c r="C1478"/>
      <c r="E1478"/>
    </row>
    <row r="1479" spans="1:5">
      <c r="A1479">
        <f>IFERROR(VLOOKUP(B1479,[1]銷貨單品號主檔!$A:$D,4,0),"學習周邊")</f>
        <v>0</v>
      </c>
      <c r="C1479"/>
      <c r="E1479"/>
    </row>
    <row r="1480" spans="1:5">
      <c r="A1480">
        <f>IFERROR(VLOOKUP(B1480,[1]銷貨單品號主檔!$A:$D,4,0),"學習周邊")</f>
        <v>0</v>
      </c>
    </row>
    <row r="1481" spans="1:5">
      <c r="A1481">
        <f>IFERROR(VLOOKUP(B1481,[1]銷貨單品號主檔!$A:$D,4,0),"學習周邊")</f>
        <v>0</v>
      </c>
    </row>
    <row r="1482" spans="1:5">
      <c r="A1482">
        <f>IFERROR(VLOOKUP(B1482,[1]銷貨單品號主檔!$A:$D,4,0),"學習周邊")</f>
        <v>0</v>
      </c>
    </row>
    <row r="1483" spans="1:5">
      <c r="A1483">
        <f>IFERROR(VLOOKUP(B1483,[1]銷貨單品號主檔!$A:$D,4,0),"學習周邊")</f>
        <v>0</v>
      </c>
    </row>
    <row r="1484" spans="1:5">
      <c r="A1484">
        <f>IFERROR(VLOOKUP(B1484,[1]銷貨單品號主檔!$A:$D,4,0),"學習周邊")</f>
        <v>0</v>
      </c>
    </row>
    <row r="1485" spans="1:5">
      <c r="A1485">
        <f>IFERROR(VLOOKUP(B1485,[1]銷貨單品號主檔!$A:$D,4,0),"學習周邊")</f>
        <v>0</v>
      </c>
    </row>
    <row r="1486" spans="1:5">
      <c r="A1486">
        <f>IFERROR(VLOOKUP(B1486,[1]銷貨單品號主檔!$A:$D,4,0),"學習周邊")</f>
        <v>0</v>
      </c>
    </row>
    <row r="1487" spans="1:5">
      <c r="A1487">
        <f>IFERROR(VLOOKUP(B1487,[1]銷貨單品號主檔!$A:$D,4,0),"學習周邊")</f>
        <v>0</v>
      </c>
    </row>
    <row r="1488" spans="1:5">
      <c r="A1488">
        <f>IFERROR(VLOOKUP(B1488,[1]銷貨單品號主檔!$A:$D,4,0),"學習周邊")</f>
        <v>0</v>
      </c>
    </row>
    <row r="1489" spans="1:1">
      <c r="A1489">
        <f>IFERROR(VLOOKUP(B1489,[1]銷貨單品號主檔!$A:$D,4,0),"學習周邊")</f>
        <v>0</v>
      </c>
    </row>
    <row r="1490" spans="1:1">
      <c r="A1490">
        <f>IFERROR(VLOOKUP(B1490,[1]銷貨單品號主檔!$A:$D,4,0),"學習周邊")</f>
        <v>0</v>
      </c>
    </row>
    <row r="1491" spans="1:1">
      <c r="A1491">
        <f>IFERROR(VLOOKUP(B1491,[1]銷貨單品號主檔!$A:$D,4,0),"學習周邊")</f>
        <v>0</v>
      </c>
    </row>
    <row r="1492" spans="1:1">
      <c r="A1492">
        <f>IFERROR(VLOOKUP(B1492,[1]銷貨單品號主檔!$A:$D,4,0),"學習周邊")</f>
        <v>0</v>
      </c>
    </row>
    <row r="1493" spans="1:1">
      <c r="A1493">
        <f>IFERROR(VLOOKUP(B1493,[1]銷貨單品號主檔!$A:$D,4,0),"學習周邊")</f>
        <v>0</v>
      </c>
    </row>
    <row r="1494" spans="1:1">
      <c r="A1494">
        <f>IFERROR(VLOOKUP(B1494,[1]銷貨單品號主檔!$A:$D,4,0),"學習周邊")</f>
        <v>0</v>
      </c>
    </row>
    <row r="1495" spans="1:1">
      <c r="A1495">
        <f>IFERROR(VLOOKUP(B1495,[1]銷貨單品號主檔!$A:$D,4,0),"學習周邊")</f>
        <v>0</v>
      </c>
    </row>
    <row r="1496" spans="1:1">
      <c r="A1496">
        <f>IFERROR(VLOOKUP(B1496,[1]銷貨單品號主檔!$A:$D,4,0),"學習周邊")</f>
        <v>0</v>
      </c>
    </row>
    <row r="1497" spans="1:1">
      <c r="A1497">
        <f>IFERROR(VLOOKUP(B1497,[1]銷貨單品號主檔!$A:$D,4,0),"學習周邊")</f>
        <v>0</v>
      </c>
    </row>
    <row r="1498" spans="1:1">
      <c r="A1498">
        <f>IFERROR(VLOOKUP(B1498,[1]銷貨單品號主檔!$A:$D,4,0),"學習周邊")</f>
        <v>0</v>
      </c>
    </row>
    <row r="1499" spans="1:1">
      <c r="A1499">
        <f>IFERROR(VLOOKUP(B1499,[1]銷貨單品號主檔!$A:$D,4,0),"學習周邊")</f>
        <v>0</v>
      </c>
    </row>
    <row r="1500" spans="1:1">
      <c r="A1500">
        <f>IFERROR(VLOOKUP(B1500,[1]銷貨單品號主檔!$A:$D,4,0),"學習周邊")</f>
        <v>0</v>
      </c>
    </row>
    <row r="1501" spans="1:1">
      <c r="A1501">
        <f>IFERROR(VLOOKUP(B1501,[1]銷貨單品號主檔!$A:$D,4,0),"學習周邊")</f>
        <v>0</v>
      </c>
    </row>
    <row r="1502" spans="1:1">
      <c r="A1502">
        <f>IFERROR(VLOOKUP(B1502,[1]銷貨單品號主檔!$A:$D,4,0),"學習周邊")</f>
        <v>0</v>
      </c>
    </row>
    <row r="1503" spans="1:1">
      <c r="A1503">
        <f>IFERROR(VLOOKUP(B1503,[1]銷貨單品號主檔!$A:$D,4,0),"學習周邊")</f>
        <v>0</v>
      </c>
    </row>
    <row r="1504" spans="1:1">
      <c r="A1504">
        <f>IFERROR(VLOOKUP(B1504,[1]銷貨單品號主檔!$A:$D,4,0),"學習周邊")</f>
        <v>0</v>
      </c>
    </row>
    <row r="1505" spans="1:1">
      <c r="A1505">
        <f>IFERROR(VLOOKUP(B1505,[1]銷貨單品號主檔!$A:$D,4,0),"學習周邊")</f>
        <v>0</v>
      </c>
    </row>
    <row r="1506" spans="1:1">
      <c r="A1506">
        <f>IFERROR(VLOOKUP(B1506,[1]銷貨單品號主檔!$A:$D,4,0),"學習周邊")</f>
        <v>0</v>
      </c>
    </row>
    <row r="1507" spans="1:1">
      <c r="A1507">
        <f>IFERROR(VLOOKUP(B1507,[1]銷貨單品號主檔!$A:$D,4,0),"學習周邊")</f>
        <v>0</v>
      </c>
    </row>
    <row r="1508" spans="1:1">
      <c r="A1508">
        <f>IFERROR(VLOOKUP(B1508,[1]銷貨單品號主檔!$A:$D,4,0),"學習周邊")</f>
        <v>0</v>
      </c>
    </row>
    <row r="1509" spans="1:1">
      <c r="A1509">
        <f>IFERROR(VLOOKUP(B1509,[1]銷貨單品號主檔!$A:$D,4,0),"學習周邊")</f>
        <v>0</v>
      </c>
    </row>
    <row r="1510" spans="1:1">
      <c r="A1510">
        <f>IFERROR(VLOOKUP(B1510,[1]銷貨單品號主檔!$A:$D,4,0),"學習周邊")</f>
        <v>0</v>
      </c>
    </row>
    <row r="1511" spans="1:1">
      <c r="A1511">
        <f>IFERROR(VLOOKUP(B1511,[1]銷貨單品號主檔!$A:$D,4,0),"學習周邊")</f>
        <v>0</v>
      </c>
    </row>
    <row r="1512" spans="1:1">
      <c r="A1512">
        <f>IFERROR(VLOOKUP(B1512,[1]銷貨單品號主檔!$A:$D,4,0),"學習周邊")</f>
        <v>0</v>
      </c>
    </row>
    <row r="1513" spans="1:1">
      <c r="A1513">
        <f>IFERROR(VLOOKUP(B1513,[1]銷貨單品號主檔!$A:$D,4,0),"學習周邊")</f>
        <v>0</v>
      </c>
    </row>
    <row r="1514" spans="1:1">
      <c r="A1514">
        <f>IFERROR(VLOOKUP(B1514,[1]銷貨單品號主檔!$A:$D,4,0),"學習周邊")</f>
        <v>0</v>
      </c>
    </row>
    <row r="1515" spans="1:1">
      <c r="A1515">
        <f>IFERROR(VLOOKUP(B1515,[1]銷貨單品號主檔!$A:$D,4,0),"學習周邊")</f>
        <v>0</v>
      </c>
    </row>
    <row r="1516" spans="1:1">
      <c r="A1516">
        <f>IFERROR(VLOOKUP(B1516,[1]銷貨單品號主檔!$A:$D,4,0),"學習周邊")</f>
        <v>0</v>
      </c>
    </row>
    <row r="1517" spans="1:1">
      <c r="A1517">
        <f>IFERROR(VLOOKUP(B1517,[1]銷貨單品號主檔!$A:$D,4,0),"學習周邊")</f>
        <v>0</v>
      </c>
    </row>
    <row r="1518" spans="1:1">
      <c r="A1518">
        <f>IFERROR(VLOOKUP(B1518,[1]銷貨單品號主檔!$A:$D,4,0),"學習周邊")</f>
        <v>0</v>
      </c>
    </row>
    <row r="1519" spans="1:1">
      <c r="A1519">
        <f>IFERROR(VLOOKUP(B1519,[1]銷貨單品號主檔!$A:$D,4,0),"學習周邊")</f>
        <v>0</v>
      </c>
    </row>
    <row r="1520" spans="1:1">
      <c r="A1520">
        <f>IFERROR(VLOOKUP(B1520,[1]銷貨單品號主檔!$A:$D,4,0),"學習周邊")</f>
        <v>0</v>
      </c>
    </row>
    <row r="1521" spans="1:1">
      <c r="A1521">
        <f>IFERROR(VLOOKUP(B1521,[1]銷貨單品號主檔!$A:$D,4,0),"學習周邊")</f>
        <v>0</v>
      </c>
    </row>
    <row r="1522" spans="1:1">
      <c r="A1522">
        <f>IFERROR(VLOOKUP(B1522,[1]銷貨單品號主檔!$A:$D,4,0),"學習周邊")</f>
        <v>0</v>
      </c>
    </row>
    <row r="1523" spans="1:1">
      <c r="A1523">
        <f>IFERROR(VLOOKUP(B1523,[1]銷貨單品號主檔!$A:$D,4,0),"學習周邊")</f>
        <v>0</v>
      </c>
    </row>
    <row r="1524" spans="1:1">
      <c r="A1524">
        <f>IFERROR(VLOOKUP(B1524,[1]銷貨單品號主檔!$A:$D,4,0),"學習周邊")</f>
        <v>0</v>
      </c>
    </row>
    <row r="1525" spans="1:1">
      <c r="A1525">
        <f>IFERROR(VLOOKUP(B1525,[1]銷貨單品號主檔!$A:$D,4,0),"學習周邊")</f>
        <v>0</v>
      </c>
    </row>
    <row r="1526" spans="1:1">
      <c r="A1526">
        <f>IFERROR(VLOOKUP(B1526,[1]銷貨單品號主檔!$A:$D,4,0),"學習周邊")</f>
        <v>0</v>
      </c>
    </row>
    <row r="1527" spans="1:1">
      <c r="A1527">
        <f>IFERROR(VLOOKUP(B1527,[1]銷貨單品號主檔!$A:$D,4,0),"學習周邊")</f>
        <v>0</v>
      </c>
    </row>
    <row r="1528" spans="1:1">
      <c r="A1528">
        <f>IFERROR(VLOOKUP(B1528,[1]銷貨單品號主檔!$A:$D,4,0),"學習周邊")</f>
        <v>0</v>
      </c>
    </row>
    <row r="1529" spans="1:1">
      <c r="A1529">
        <f>IFERROR(VLOOKUP(B1529,[1]銷貨單品號主檔!$A:$D,4,0),"學習周邊")</f>
        <v>0</v>
      </c>
    </row>
    <row r="1530" spans="1:1">
      <c r="A1530">
        <f>IFERROR(VLOOKUP(B1530,[1]銷貨單品號主檔!$A:$D,4,0),"學習周邊")</f>
        <v>0</v>
      </c>
    </row>
    <row r="1531" spans="1:1">
      <c r="A1531">
        <f>IFERROR(VLOOKUP(B1531,[1]銷貨單品號主檔!$A:$D,4,0),"學習周邊")</f>
        <v>0</v>
      </c>
    </row>
    <row r="1532" spans="1:1">
      <c r="A1532">
        <f>IFERROR(VLOOKUP(B1532,[1]銷貨單品號主檔!$A:$D,4,0),"學習周邊")</f>
        <v>0</v>
      </c>
    </row>
    <row r="1533" spans="1:1">
      <c r="A1533">
        <f>IFERROR(VLOOKUP(B1533,[1]銷貨單品號主檔!$A:$D,4,0),"學習周邊")</f>
        <v>0</v>
      </c>
    </row>
    <row r="1534" spans="1:1">
      <c r="A1534">
        <f>IFERROR(VLOOKUP(B1534,[1]銷貨單品號主檔!$A:$D,4,0),"學習周邊")</f>
        <v>0</v>
      </c>
    </row>
    <row r="1535" spans="1:1">
      <c r="A1535">
        <f>IFERROR(VLOOKUP(B1535,[1]銷貨單品號主檔!$A:$D,4,0),"學習周邊")</f>
        <v>0</v>
      </c>
    </row>
    <row r="1536" spans="1:1">
      <c r="A1536">
        <f>IFERROR(VLOOKUP(B1536,[1]銷貨單品號主檔!$A:$D,4,0),"學習周邊")</f>
        <v>0</v>
      </c>
    </row>
    <row r="1537" spans="1:1">
      <c r="A1537">
        <f>IFERROR(VLOOKUP(B1537,[1]銷貨單品號主檔!$A:$D,4,0),"學習周邊")</f>
        <v>0</v>
      </c>
    </row>
    <row r="1538" spans="1:1">
      <c r="A1538">
        <f>IFERROR(VLOOKUP(B1538,[1]銷貨單品號主檔!$A:$D,4,0),"學習周邊")</f>
        <v>0</v>
      </c>
    </row>
    <row r="1539" spans="1:1">
      <c r="A1539">
        <f>IFERROR(VLOOKUP(B1539,[1]銷貨單品號主檔!$A:$D,4,0),"學習周邊")</f>
        <v>0</v>
      </c>
    </row>
    <row r="1540" spans="1:1">
      <c r="A1540">
        <f>IFERROR(VLOOKUP(B1540,[1]銷貨單品號主檔!$A:$D,4,0),"學習周邊")</f>
        <v>0</v>
      </c>
    </row>
    <row r="1541" spans="1:1">
      <c r="A1541">
        <f>IFERROR(VLOOKUP(B1541,[1]銷貨單品號主檔!$A:$D,4,0),"學習周邊")</f>
        <v>0</v>
      </c>
    </row>
    <row r="1542" spans="1:1">
      <c r="A1542">
        <f>IFERROR(VLOOKUP(B1542,[1]銷貨單品號主檔!$A:$D,4,0),"學習周邊")</f>
        <v>0</v>
      </c>
    </row>
    <row r="1543" spans="1:1">
      <c r="A1543">
        <f>IFERROR(VLOOKUP(B1543,[1]銷貨單品號主檔!$A:$D,4,0),"學習周邊")</f>
        <v>0</v>
      </c>
    </row>
    <row r="1544" spans="1:1">
      <c r="A1544">
        <f>IFERROR(VLOOKUP(B1544,[1]銷貨單品號主檔!$A:$D,4,0),"學習周邊")</f>
        <v>0</v>
      </c>
    </row>
    <row r="1545" spans="1:1">
      <c r="A1545">
        <f>IFERROR(VLOOKUP(B1545,[1]銷貨單品號主檔!$A:$D,4,0),"學習周邊")</f>
        <v>0</v>
      </c>
    </row>
    <row r="1546" spans="1:1">
      <c r="A1546">
        <f>IFERROR(VLOOKUP(B1546,[1]銷貨單品號主檔!$A:$D,4,0),"學習周邊")</f>
        <v>0</v>
      </c>
    </row>
    <row r="1547" spans="1:1">
      <c r="A1547">
        <f>IFERROR(VLOOKUP(B1547,[1]銷貨單品號主檔!$A:$D,4,0),"學習周邊")</f>
        <v>0</v>
      </c>
    </row>
    <row r="1548" spans="1:1">
      <c r="A1548">
        <f>IFERROR(VLOOKUP(B1548,[1]銷貨單品號主檔!$A:$D,4,0),"學習周邊")</f>
        <v>0</v>
      </c>
    </row>
    <row r="1549" spans="1:1">
      <c r="A1549">
        <f>IFERROR(VLOOKUP(B1549,[1]銷貨單品號主檔!$A:$D,4,0),"學習周邊")</f>
        <v>0</v>
      </c>
    </row>
    <row r="1550" spans="1:1">
      <c r="A1550">
        <f>IFERROR(VLOOKUP(B1550,[1]銷貨單品號主檔!$A:$D,4,0),"學習周邊")</f>
        <v>0</v>
      </c>
    </row>
    <row r="1551" spans="1:1">
      <c r="A1551">
        <f>IFERROR(VLOOKUP(B1551,[1]銷貨單品號主檔!$A:$D,4,0),"學習周邊")</f>
        <v>0</v>
      </c>
    </row>
    <row r="1552" spans="1:1">
      <c r="A1552">
        <f>IFERROR(VLOOKUP(B1552,[1]銷貨單品號主檔!$A:$D,4,0),"學習周邊")</f>
        <v>0</v>
      </c>
    </row>
    <row r="1553" spans="1:1">
      <c r="A1553">
        <f>IFERROR(VLOOKUP(B1553,[1]銷貨單品號主檔!$A:$D,4,0),"學習周邊")</f>
        <v>0</v>
      </c>
    </row>
    <row r="1554" spans="1:1">
      <c r="A1554">
        <f>IFERROR(VLOOKUP(B1554,[1]銷貨單品號主檔!$A:$D,4,0),"學習周邊")</f>
        <v>0</v>
      </c>
    </row>
    <row r="1555" spans="1:1">
      <c r="A1555">
        <f>IFERROR(VLOOKUP(B1555,[1]銷貨單品號主檔!$A:$D,4,0),"學習周邊")</f>
        <v>0</v>
      </c>
    </row>
    <row r="1556" spans="1:1">
      <c r="A1556">
        <f>IFERROR(VLOOKUP(B1556,[1]銷貨單品號主檔!$A:$D,4,0),"學習周邊")</f>
        <v>0</v>
      </c>
    </row>
    <row r="1557" spans="1:1">
      <c r="A1557">
        <f>IFERROR(VLOOKUP(B1557,[1]銷貨單品號主檔!$A:$D,4,0),"學習周邊")</f>
        <v>0</v>
      </c>
    </row>
    <row r="1558" spans="1:1">
      <c r="A1558">
        <f>IFERROR(VLOOKUP(B1558,[1]銷貨單品號主檔!$A:$D,4,0),"學習周邊")</f>
        <v>0</v>
      </c>
    </row>
    <row r="1559" spans="1:1">
      <c r="A1559">
        <f>IFERROR(VLOOKUP(B1559,[1]銷貨單品號主檔!$A:$D,4,0),"學習周邊")</f>
        <v>0</v>
      </c>
    </row>
    <row r="1560" spans="1:1">
      <c r="A1560">
        <f>IFERROR(VLOOKUP(B1560,[1]銷貨單品號主檔!$A:$D,4,0),"學習周邊")</f>
        <v>0</v>
      </c>
    </row>
    <row r="1561" spans="1:1">
      <c r="A1561">
        <f>IFERROR(VLOOKUP(B1561,[1]銷貨單品號主檔!$A:$D,4,0),"學習周邊")</f>
        <v>0</v>
      </c>
    </row>
    <row r="1562" spans="1:1">
      <c r="A1562">
        <f>IFERROR(VLOOKUP(B1562,[1]銷貨單品號主檔!$A:$D,4,0),"學習周邊")</f>
        <v>0</v>
      </c>
    </row>
    <row r="1563" spans="1:1">
      <c r="A1563">
        <f>IFERROR(VLOOKUP(B1563,[1]銷貨單品號主檔!$A:$D,4,0),"學習周邊")</f>
        <v>0</v>
      </c>
    </row>
    <row r="1564" spans="1:1">
      <c r="A1564">
        <f>IFERROR(VLOOKUP(B1564,[1]銷貨單品號主檔!$A:$D,4,0),"學習周邊")</f>
        <v>0</v>
      </c>
    </row>
    <row r="1565" spans="1:1">
      <c r="A1565">
        <f>IFERROR(VLOOKUP(B1565,[1]銷貨單品號主檔!$A:$D,4,0),"學習周邊")</f>
        <v>0</v>
      </c>
    </row>
    <row r="1566" spans="1:1">
      <c r="A1566">
        <f>IFERROR(VLOOKUP(B1566,[1]銷貨單品號主檔!$A:$D,4,0),"學習周邊")</f>
        <v>0</v>
      </c>
    </row>
    <row r="1567" spans="1:1">
      <c r="A1567">
        <f>IFERROR(VLOOKUP(B1567,[1]銷貨單品號主檔!$A:$D,4,0),"學習周邊")</f>
        <v>0</v>
      </c>
    </row>
    <row r="1568" spans="1:1">
      <c r="A1568">
        <f>IFERROR(VLOOKUP(B1568,[1]銷貨單品號主檔!$A:$D,4,0),"學習周邊")</f>
        <v>0</v>
      </c>
    </row>
    <row r="1569" spans="1:1">
      <c r="A1569">
        <f>IFERROR(VLOOKUP(B1569,[1]銷貨單品號主檔!$A:$D,4,0),"學習周邊")</f>
        <v>0</v>
      </c>
    </row>
    <row r="1570" spans="1:1">
      <c r="A1570">
        <f>IFERROR(VLOOKUP(B1570,[1]銷貨單品號主檔!$A:$D,4,0),"學習周邊")</f>
        <v>0</v>
      </c>
    </row>
    <row r="1571" spans="1:1">
      <c r="A1571">
        <f>IFERROR(VLOOKUP(B1571,[1]銷貨單品號主檔!$A:$D,4,0),"學習周邊")</f>
        <v>0</v>
      </c>
    </row>
    <row r="1572" spans="1:1">
      <c r="A1572">
        <f>IFERROR(VLOOKUP(B1572,[1]銷貨單品號主檔!$A:$D,4,0),"學習周邊")</f>
        <v>0</v>
      </c>
    </row>
    <row r="1573" spans="1:1">
      <c r="A1573">
        <f>IFERROR(VLOOKUP(B1573,[1]銷貨單品號主檔!$A:$D,4,0),"學習周邊")</f>
        <v>0</v>
      </c>
    </row>
    <row r="1574" spans="1:1">
      <c r="A1574">
        <f>IFERROR(VLOOKUP(B1574,[1]銷貨單品號主檔!$A:$D,4,0),"學習周邊")</f>
        <v>0</v>
      </c>
    </row>
    <row r="1575" spans="1:1">
      <c r="A1575">
        <f>IFERROR(VLOOKUP(B1575,[1]銷貨單品號主檔!$A:$D,4,0),"學習周邊")</f>
        <v>0</v>
      </c>
    </row>
    <row r="1576" spans="1:1">
      <c r="A1576">
        <f>IFERROR(VLOOKUP(B1576,[1]銷貨單品號主檔!$A:$D,4,0),"學習周邊")</f>
        <v>0</v>
      </c>
    </row>
    <row r="1577" spans="1:1">
      <c r="A1577">
        <f>IFERROR(VLOOKUP(B1577,[1]銷貨單品號主檔!$A:$D,4,0),"學習周邊")</f>
        <v>0</v>
      </c>
    </row>
    <row r="1578" spans="1:1">
      <c r="A1578">
        <f>IFERROR(VLOOKUP(B1578,[1]銷貨單品號主檔!$A:$D,4,0),"學習周邊")</f>
        <v>0</v>
      </c>
    </row>
    <row r="1579" spans="1:1">
      <c r="A1579">
        <f>IFERROR(VLOOKUP(B1579,[1]銷貨單品號主檔!$A:$D,4,0),"學習周邊")</f>
        <v>0</v>
      </c>
    </row>
    <row r="1580" spans="1:1">
      <c r="A1580">
        <f>IFERROR(VLOOKUP(B1580,[1]銷貨單品號主檔!$A:$D,4,0),"學習周邊")</f>
        <v>0</v>
      </c>
    </row>
    <row r="1581" spans="1:1">
      <c r="A1581">
        <f>IFERROR(VLOOKUP(B1581,[1]銷貨單品號主檔!$A:$D,4,0),"學習周邊")</f>
        <v>0</v>
      </c>
    </row>
    <row r="1582" spans="1:1">
      <c r="A1582">
        <f>IFERROR(VLOOKUP(B1582,[1]銷貨單品號主檔!$A:$D,4,0),"學習周邊")</f>
        <v>0</v>
      </c>
    </row>
    <row r="1583" spans="1:1">
      <c r="A1583">
        <f>IFERROR(VLOOKUP(B1583,[1]銷貨單品號主檔!$A:$D,4,0),"學習周邊")</f>
        <v>0</v>
      </c>
    </row>
    <row r="1584" spans="1:1">
      <c r="A1584">
        <f>IFERROR(VLOOKUP(B1584,[1]銷貨單品號主檔!$A:$D,4,0),"學習周邊")</f>
        <v>0</v>
      </c>
    </row>
    <row r="1585" spans="1:1">
      <c r="A1585">
        <f>IFERROR(VLOOKUP(B1585,[1]銷貨單品號主檔!$A:$D,4,0),"學習周邊")</f>
        <v>0</v>
      </c>
    </row>
    <row r="1586" spans="1:1">
      <c r="A1586">
        <f>IFERROR(VLOOKUP(B1586,[1]銷貨單品號主檔!$A:$D,4,0),"學習周邊")</f>
        <v>0</v>
      </c>
    </row>
    <row r="1587" spans="1:1">
      <c r="A1587">
        <f>IFERROR(VLOOKUP(B1587,[1]銷貨單品號主檔!$A:$D,4,0),"學習周邊")</f>
        <v>0</v>
      </c>
    </row>
    <row r="1588" spans="1:1">
      <c r="A1588">
        <f>IFERROR(VLOOKUP(B1588,[1]銷貨單品號主檔!$A:$D,4,0),"學習周邊")</f>
        <v>0</v>
      </c>
    </row>
    <row r="1589" spans="1:1">
      <c r="A1589">
        <f>IFERROR(VLOOKUP(B1589,[1]銷貨單品號主檔!$A:$D,4,0),"學習周邊")</f>
        <v>0</v>
      </c>
    </row>
    <row r="1590" spans="1:1">
      <c r="A1590">
        <f>IFERROR(VLOOKUP(B1590,[1]銷貨單品號主檔!$A:$D,4,0),"學習周邊")</f>
        <v>0</v>
      </c>
    </row>
    <row r="1591" spans="1:1">
      <c r="A1591">
        <f>IFERROR(VLOOKUP(B1591,[1]銷貨單品號主檔!$A:$D,4,0),"學習周邊")</f>
        <v>0</v>
      </c>
    </row>
    <row r="1592" spans="1:1">
      <c r="A1592">
        <f>IFERROR(VLOOKUP(B1592,[1]銷貨單品號主檔!$A:$D,4,0),"學習周邊")</f>
        <v>0</v>
      </c>
    </row>
    <row r="1593" spans="1:1">
      <c r="A1593">
        <f>IFERROR(VLOOKUP(B1593,[1]銷貨單品號主檔!$A:$D,4,0),"學習周邊")</f>
        <v>0</v>
      </c>
    </row>
    <row r="1594" spans="1:1">
      <c r="A1594">
        <f>IFERROR(VLOOKUP(B1594,[1]銷貨單品號主檔!$A:$D,4,0),"學習周邊")</f>
        <v>0</v>
      </c>
    </row>
    <row r="1595" spans="1:1">
      <c r="A1595">
        <f>IFERROR(VLOOKUP(B1595,[1]銷貨單品號主檔!$A:$D,4,0),"學習周邊")</f>
        <v>0</v>
      </c>
    </row>
    <row r="1596" spans="1:1">
      <c r="A1596">
        <f>IFERROR(VLOOKUP(B1596,[1]銷貨單品號主檔!$A:$D,4,0),"學習周邊")</f>
        <v>0</v>
      </c>
    </row>
    <row r="1597" spans="1:1">
      <c r="A1597">
        <f>IFERROR(VLOOKUP(B1597,[1]銷貨單品號主檔!$A:$D,4,0),"學習周邊")</f>
        <v>0</v>
      </c>
    </row>
    <row r="1598" spans="1:1">
      <c r="A1598">
        <f>IFERROR(VLOOKUP(B1598,[1]銷貨單品號主檔!$A:$D,4,0),"學習周邊")</f>
        <v>0</v>
      </c>
    </row>
    <row r="1599" spans="1:1">
      <c r="A1599">
        <f>IFERROR(VLOOKUP(B1599,[1]銷貨單品號主檔!$A:$D,4,0),"學習周邊")</f>
        <v>0</v>
      </c>
    </row>
    <row r="1600" spans="1:1">
      <c r="A1600">
        <f>IFERROR(VLOOKUP(B1600,[1]銷貨單品號主檔!$A:$D,4,0),"學習周邊")</f>
        <v>0</v>
      </c>
    </row>
    <row r="1601" spans="1:1">
      <c r="A1601">
        <f>IFERROR(VLOOKUP(B1601,[1]銷貨單品號主檔!$A:$D,4,0),"學習周邊")</f>
        <v>0</v>
      </c>
    </row>
    <row r="1602" spans="1:1">
      <c r="A1602">
        <f>IFERROR(VLOOKUP(B1602,[1]銷貨單品號主檔!$A:$D,4,0),"學習周邊")</f>
        <v>0</v>
      </c>
    </row>
    <row r="1603" spans="1:1">
      <c r="A1603">
        <f>IFERROR(VLOOKUP(B1603,[1]銷貨單品號主檔!$A:$D,4,0),"學習周邊")</f>
        <v>0</v>
      </c>
    </row>
    <row r="1604" spans="1:1">
      <c r="A1604">
        <f>IFERROR(VLOOKUP(B1604,[1]銷貨單品號主檔!$A:$D,4,0),"學習周邊")</f>
        <v>0</v>
      </c>
    </row>
    <row r="1605" spans="1:1">
      <c r="A1605">
        <f>IFERROR(VLOOKUP(B1605,[1]銷貨單品號主檔!$A:$D,4,0),"學習周邊")</f>
        <v>0</v>
      </c>
    </row>
    <row r="1606" spans="1:1">
      <c r="A1606">
        <f>IFERROR(VLOOKUP(B1606,[1]銷貨單品號主檔!$A:$D,4,0),"學習周邊")</f>
        <v>0</v>
      </c>
    </row>
    <row r="1607" spans="1:1">
      <c r="A1607">
        <f>IFERROR(VLOOKUP(B1607,[1]銷貨單品號主檔!$A:$D,4,0),"學習周邊")</f>
        <v>0</v>
      </c>
    </row>
    <row r="1608" spans="1:1">
      <c r="A1608">
        <f>IFERROR(VLOOKUP(B1608,[1]銷貨單品號主檔!$A:$D,4,0),"學習周邊")</f>
        <v>0</v>
      </c>
    </row>
    <row r="1609" spans="1:1">
      <c r="A1609">
        <f>IFERROR(VLOOKUP(B1609,[1]銷貨單品號主檔!$A:$D,4,0),"學習周邊")</f>
        <v>0</v>
      </c>
    </row>
    <row r="1610" spans="1:1">
      <c r="A1610">
        <f>IFERROR(VLOOKUP(B1610,[1]銷貨單品號主檔!$A:$D,4,0),"學習周邊")</f>
        <v>0</v>
      </c>
    </row>
    <row r="1611" spans="1:1">
      <c r="A1611">
        <f>IFERROR(VLOOKUP(B1611,[1]銷貨單品號主檔!$A:$D,4,0),"學習周邊")</f>
        <v>0</v>
      </c>
    </row>
    <row r="1612" spans="1:1">
      <c r="A1612">
        <f>IFERROR(VLOOKUP(B1612,[1]銷貨單品號主檔!$A:$D,4,0),"學習周邊")</f>
        <v>0</v>
      </c>
    </row>
    <row r="1613" spans="1:1">
      <c r="A1613">
        <f>IFERROR(VLOOKUP(B1613,[1]銷貨單品號主檔!$A:$D,4,0),"學習周邊")</f>
        <v>0</v>
      </c>
    </row>
    <row r="1614" spans="1:1">
      <c r="A1614">
        <f>IFERROR(VLOOKUP(B1614,[1]銷貨單品號主檔!$A:$D,4,0),"學習周邊")</f>
        <v>0</v>
      </c>
    </row>
    <row r="1615" spans="1:1">
      <c r="A1615">
        <f>IFERROR(VLOOKUP(B1615,[1]銷貨單品號主檔!$A:$D,4,0),"學習周邊")</f>
        <v>0</v>
      </c>
    </row>
    <row r="1616" spans="1:1">
      <c r="A1616">
        <f>IFERROR(VLOOKUP(B1616,[1]銷貨單品號主檔!$A:$D,4,0),"學習周邊")</f>
        <v>0</v>
      </c>
    </row>
    <row r="1617" spans="1:1">
      <c r="A1617">
        <f>IFERROR(VLOOKUP(B1617,[1]銷貨單品號主檔!$A:$D,4,0),"學習周邊")</f>
        <v>0</v>
      </c>
    </row>
    <row r="1618" spans="1:1">
      <c r="A1618">
        <f>IFERROR(VLOOKUP(B1618,[1]銷貨單品號主檔!$A:$D,4,0),"學習周邊")</f>
        <v>0</v>
      </c>
    </row>
    <row r="1619" spans="1:1">
      <c r="A1619">
        <f>IFERROR(VLOOKUP(B1619,[1]銷貨單品號主檔!$A:$D,4,0),"學習周邊")</f>
        <v>0</v>
      </c>
    </row>
    <row r="1620" spans="1:1">
      <c r="A1620">
        <f>IFERROR(VLOOKUP(B1620,[1]銷貨單品號主檔!$A:$D,4,0),"學習周邊")</f>
        <v>0</v>
      </c>
    </row>
    <row r="1621" spans="1:1">
      <c r="A1621">
        <f>IFERROR(VLOOKUP(B1621,[1]銷貨單品號主檔!$A:$D,4,0),"學習周邊")</f>
        <v>0</v>
      </c>
    </row>
    <row r="1622" spans="1:1">
      <c r="A1622">
        <f>IFERROR(VLOOKUP(B1622,[1]銷貨單品號主檔!$A:$D,4,0),"學習周邊")</f>
        <v>0</v>
      </c>
    </row>
    <row r="1623" spans="1:1">
      <c r="A1623">
        <f>IFERROR(VLOOKUP(B1623,[1]銷貨單品號主檔!$A:$D,4,0),"學習周邊")</f>
        <v>0</v>
      </c>
    </row>
    <row r="1624" spans="1:1">
      <c r="A1624">
        <f>IFERROR(VLOOKUP(B1624,[1]銷貨單品號主檔!$A:$D,4,0),"學習周邊")</f>
        <v>0</v>
      </c>
    </row>
    <row r="1625" spans="1:1">
      <c r="A1625">
        <f>IFERROR(VLOOKUP(B1625,[1]銷貨單品號主檔!$A:$D,4,0),"學習周邊")</f>
        <v>0</v>
      </c>
    </row>
    <row r="1626" spans="1:1">
      <c r="A1626">
        <f>IFERROR(VLOOKUP(B1626,[1]銷貨單品號主檔!$A:$D,4,0),"學習周邊")</f>
        <v>0</v>
      </c>
    </row>
    <row r="1627" spans="1:1">
      <c r="A1627">
        <f>IFERROR(VLOOKUP(B1627,[1]銷貨單品號主檔!$A:$D,4,0),"學習周邊")</f>
        <v>0</v>
      </c>
    </row>
    <row r="1628" spans="1:1">
      <c r="A1628">
        <f>IFERROR(VLOOKUP(B1628,[1]銷貨單品號主檔!$A:$D,4,0),"學習周邊")</f>
        <v>0</v>
      </c>
    </row>
    <row r="1629" spans="1:1">
      <c r="A1629">
        <f>IFERROR(VLOOKUP(B1629,[1]銷貨單品號主檔!$A:$D,4,0),"學習周邊")</f>
        <v>0</v>
      </c>
    </row>
    <row r="1630" spans="1:1">
      <c r="A1630">
        <f>IFERROR(VLOOKUP(B1630,[1]銷貨單品號主檔!$A:$D,4,0),"學習周邊")</f>
        <v>0</v>
      </c>
    </row>
    <row r="1631" spans="1:1">
      <c r="A1631">
        <f>IFERROR(VLOOKUP(B1631,[1]銷貨單品號主檔!$A:$D,4,0),"學習周邊")</f>
        <v>0</v>
      </c>
    </row>
    <row r="1632" spans="1:1">
      <c r="A1632">
        <f>IFERROR(VLOOKUP(B1632,[1]銷貨單品號主檔!$A:$D,4,0),"學習周邊")</f>
        <v>0</v>
      </c>
    </row>
    <row r="1633" spans="1:1">
      <c r="A1633">
        <f>IFERROR(VLOOKUP(B1633,[1]銷貨單品號主檔!$A:$D,4,0),"學習周邊")</f>
        <v>0</v>
      </c>
    </row>
    <row r="1634" spans="1:1">
      <c r="A1634">
        <f>IFERROR(VLOOKUP(B1634,[1]銷貨單品號主檔!$A:$D,4,0),"學習周邊")</f>
        <v>0</v>
      </c>
    </row>
    <row r="1635" spans="1:1">
      <c r="A1635">
        <f>IFERROR(VLOOKUP(B1635,[1]銷貨單品號主檔!$A:$D,4,0),"學習周邊")</f>
        <v>0</v>
      </c>
    </row>
    <row r="1636" spans="1:1">
      <c r="A1636">
        <f>IFERROR(VLOOKUP(B1636,[1]銷貨單品號主檔!$A:$D,4,0),"學習周邊")</f>
        <v>0</v>
      </c>
    </row>
    <row r="1637" spans="1:1">
      <c r="A1637">
        <f>IFERROR(VLOOKUP(B1637,[1]銷貨單品號主檔!$A:$D,4,0),"學習周邊")</f>
        <v>0</v>
      </c>
    </row>
    <row r="1638" spans="1:1">
      <c r="A1638">
        <f>IFERROR(VLOOKUP(B1638,[1]銷貨單品號主檔!$A:$D,4,0),"學習周邊")</f>
        <v>0</v>
      </c>
    </row>
    <row r="1639" spans="1:1">
      <c r="A1639">
        <f>IFERROR(VLOOKUP(B1639,[1]銷貨單品號主檔!$A:$D,4,0),"學習周邊")</f>
        <v>0</v>
      </c>
    </row>
    <row r="1640" spans="1:1">
      <c r="A1640">
        <f>IFERROR(VLOOKUP(B1640,[1]銷貨單品號主檔!$A:$D,4,0),"學習周邊")</f>
        <v>0</v>
      </c>
    </row>
    <row r="1641" spans="1:1">
      <c r="A1641">
        <f>IFERROR(VLOOKUP(B1641,[1]銷貨單品號主檔!$A:$D,4,0),"學習周邊")</f>
        <v>0</v>
      </c>
    </row>
    <row r="1642" spans="1:1">
      <c r="A1642">
        <f>IFERROR(VLOOKUP(B1642,[1]銷貨單品號主檔!$A:$D,4,0),"學習周邊")</f>
        <v>0</v>
      </c>
    </row>
    <row r="1643" spans="1:1">
      <c r="A1643">
        <f>IFERROR(VLOOKUP(B1643,[1]銷貨單品號主檔!$A:$D,4,0),"學習周邊")</f>
        <v>0</v>
      </c>
    </row>
    <row r="1644" spans="1:1">
      <c r="A1644">
        <f>IFERROR(VLOOKUP(B1644,[1]銷貨單品號主檔!$A:$D,4,0),"學習周邊")</f>
        <v>0</v>
      </c>
    </row>
    <row r="1645" spans="1:1">
      <c r="A1645">
        <f>IFERROR(VLOOKUP(B1645,[1]銷貨單品號主檔!$A:$D,4,0),"學習周邊")</f>
        <v>0</v>
      </c>
    </row>
    <row r="1646" spans="1:1">
      <c r="A1646">
        <f>IFERROR(VLOOKUP(B1646,[1]銷貨單品號主檔!$A:$D,4,0),"學習周邊")</f>
        <v>0</v>
      </c>
    </row>
    <row r="1647" spans="1:1">
      <c r="A1647">
        <f>IFERROR(VLOOKUP(B1647,[1]銷貨單品號主檔!$A:$D,4,0),"學習周邊")</f>
        <v>0</v>
      </c>
    </row>
    <row r="1648" spans="1:1">
      <c r="A1648">
        <f>IFERROR(VLOOKUP(B1648,[1]銷貨單品號主檔!$A:$D,4,0),"學習周邊")</f>
        <v>0</v>
      </c>
    </row>
    <row r="1649" spans="1:1">
      <c r="A1649">
        <f>IFERROR(VLOOKUP(B1649,[1]銷貨單品號主檔!$A:$D,4,0),"學習周邊")</f>
        <v>0</v>
      </c>
    </row>
    <row r="1650" spans="1:1">
      <c r="A1650">
        <f>IFERROR(VLOOKUP(B1650,[1]銷貨單品號主檔!$A:$D,4,0),"學習周邊")</f>
        <v>0</v>
      </c>
    </row>
    <row r="1651" spans="1:1">
      <c r="A1651">
        <f>IFERROR(VLOOKUP(B1651,[1]銷貨單品號主檔!$A:$D,4,0),"學習周邊")</f>
        <v>0</v>
      </c>
    </row>
    <row r="1652" spans="1:1">
      <c r="A1652">
        <f>IFERROR(VLOOKUP(B1652,[1]銷貨單品號主檔!$A:$D,4,0),"學習周邊")</f>
        <v>0</v>
      </c>
    </row>
    <row r="1653" spans="1:1">
      <c r="A1653">
        <f>IFERROR(VLOOKUP(B1653,[1]銷貨單品號主檔!$A:$D,4,0),"學習周邊")</f>
        <v>0</v>
      </c>
    </row>
    <row r="1654" spans="1:1">
      <c r="A1654">
        <f>IFERROR(VLOOKUP(B1654,[1]銷貨單品號主檔!$A:$D,4,0),"學習周邊")</f>
        <v>0</v>
      </c>
    </row>
    <row r="1655" spans="1:1">
      <c r="A1655">
        <f>IFERROR(VLOOKUP(B1655,[1]銷貨單品號主檔!$A:$D,4,0),"學習周邊")</f>
        <v>0</v>
      </c>
    </row>
    <row r="1656" spans="1:1">
      <c r="A1656">
        <f>IFERROR(VLOOKUP(B1656,[1]銷貨單品號主檔!$A:$D,4,0),"學習周邊")</f>
        <v>0</v>
      </c>
    </row>
    <row r="1657" spans="1:1">
      <c r="A1657">
        <f>IFERROR(VLOOKUP(B1657,[1]銷貨單品號主檔!$A:$D,4,0),"學習周邊")</f>
        <v>0</v>
      </c>
    </row>
    <row r="1658" spans="1:1">
      <c r="A1658">
        <f>IFERROR(VLOOKUP(B1658,[1]銷貨單品號主檔!$A:$D,4,0),"學習周邊")</f>
        <v>0</v>
      </c>
    </row>
    <row r="1659" spans="1:1">
      <c r="A1659">
        <f>IFERROR(VLOOKUP(B1659,[1]銷貨單品號主檔!$A:$D,4,0),"學習周邊")</f>
        <v>0</v>
      </c>
    </row>
    <row r="1660" spans="1:1">
      <c r="A1660">
        <f>IFERROR(VLOOKUP(B1660,[1]銷貨單品號主檔!$A:$D,4,0),"學習周邊")</f>
        <v>0</v>
      </c>
    </row>
    <row r="1661" spans="1:1">
      <c r="A1661">
        <f>IFERROR(VLOOKUP(B1661,[1]銷貨單品號主檔!$A:$D,4,0),"學習周邊")</f>
        <v>0</v>
      </c>
    </row>
    <row r="1662" spans="1:1">
      <c r="A1662">
        <f>IFERROR(VLOOKUP(B1662,[1]銷貨單品號主檔!$A:$D,4,0),"學習周邊")</f>
        <v>0</v>
      </c>
    </row>
    <row r="1663" spans="1:1">
      <c r="A1663">
        <f>IFERROR(VLOOKUP(B1663,[1]銷貨單品號主檔!$A:$D,4,0),"學習周邊")</f>
        <v>0</v>
      </c>
    </row>
    <row r="1664" spans="1:1">
      <c r="A1664">
        <f>IFERROR(VLOOKUP(B1664,[1]銷貨單品號主檔!$A:$D,4,0),"學習周邊")</f>
        <v>0</v>
      </c>
    </row>
    <row r="1665" spans="1:1">
      <c r="A1665">
        <f>IFERROR(VLOOKUP(B1665,[1]銷貨單品號主檔!$A:$D,4,0),"學習周邊")</f>
        <v>0</v>
      </c>
    </row>
    <row r="1666" spans="1:1">
      <c r="A1666">
        <f>IFERROR(VLOOKUP(B1666,[1]銷貨單品號主檔!$A:$D,4,0),"學習周邊")</f>
        <v>0</v>
      </c>
    </row>
    <row r="1667" spans="1:1">
      <c r="A1667">
        <f>IFERROR(VLOOKUP(B1667,[1]銷貨單品號主檔!$A:$D,4,0),"學習周邊")</f>
        <v>0</v>
      </c>
    </row>
    <row r="1668" spans="1:1">
      <c r="A1668">
        <f>IFERROR(VLOOKUP(B1668,[1]銷貨單品號主檔!$A:$D,4,0),"學習周邊")</f>
        <v>0</v>
      </c>
    </row>
    <row r="1669" spans="1:1">
      <c r="A1669">
        <f>IFERROR(VLOOKUP(B1669,[1]銷貨單品號主檔!$A:$D,4,0),"學習周邊")</f>
        <v>0</v>
      </c>
    </row>
    <row r="1670" spans="1:1">
      <c r="A1670">
        <f>IFERROR(VLOOKUP(B1670,[1]銷貨單品號主檔!$A:$D,4,0),"學習周邊")</f>
        <v>0</v>
      </c>
    </row>
    <row r="1671" spans="1:1">
      <c r="A1671">
        <f>IFERROR(VLOOKUP(B1671,[1]銷貨單品號主檔!$A:$D,4,0),"學習周邊")</f>
        <v>0</v>
      </c>
    </row>
    <row r="1672" spans="1:1">
      <c r="A1672">
        <f>IFERROR(VLOOKUP(B1672,[1]銷貨單品號主檔!$A:$D,4,0),"學習周邊")</f>
        <v>0</v>
      </c>
    </row>
    <row r="1673" spans="1:1">
      <c r="A1673">
        <f>IFERROR(VLOOKUP(B1673,[1]銷貨單品號主檔!$A:$D,4,0),"學習周邊")</f>
        <v>0</v>
      </c>
    </row>
    <row r="1674" spans="1:1">
      <c r="A1674">
        <f>IFERROR(VLOOKUP(B1674,[1]銷貨單品號主檔!$A:$D,4,0),"學習周邊")</f>
        <v>0</v>
      </c>
    </row>
    <row r="1675" spans="1:1">
      <c r="A1675">
        <f>IFERROR(VLOOKUP(B1675,[1]銷貨單品號主檔!$A:$D,4,0),"學習周邊")</f>
        <v>0</v>
      </c>
    </row>
    <row r="1676" spans="1:1">
      <c r="A1676">
        <f>IFERROR(VLOOKUP(B1676,[1]銷貨單品號主檔!$A:$D,4,0),"學習周邊")</f>
        <v>0</v>
      </c>
    </row>
    <row r="1677" spans="1:1">
      <c r="A1677">
        <f>IFERROR(VLOOKUP(B1677,[1]銷貨單品號主檔!$A:$D,4,0),"學習周邊")</f>
        <v>0</v>
      </c>
    </row>
    <row r="1678" spans="1:1">
      <c r="A1678">
        <f>IFERROR(VLOOKUP(B1678,[1]銷貨單品號主檔!$A:$D,4,0),"學習周邊")</f>
        <v>0</v>
      </c>
    </row>
    <row r="1679" spans="1:1">
      <c r="A1679">
        <f>IFERROR(VLOOKUP(B1679,[1]銷貨單品號主檔!$A:$D,4,0),"學習周邊")</f>
        <v>0</v>
      </c>
    </row>
    <row r="1680" spans="1:1">
      <c r="A1680">
        <f>IFERROR(VLOOKUP(B1680,[1]銷貨單品號主檔!$A:$D,4,0),"學習周邊")</f>
        <v>0</v>
      </c>
    </row>
    <row r="1681" spans="1:1">
      <c r="A1681">
        <f>IFERROR(VLOOKUP(B1681,[1]銷貨單品號主檔!$A:$D,4,0),"學習周邊")</f>
        <v>0</v>
      </c>
    </row>
    <row r="1682" spans="1:1">
      <c r="A1682">
        <f>IFERROR(VLOOKUP(B1682,[1]銷貨單品號主檔!$A:$D,4,0),"學習周邊")</f>
        <v>0</v>
      </c>
    </row>
    <row r="1683" spans="1:1">
      <c r="A1683">
        <f>IFERROR(VLOOKUP(B1683,[1]銷貨單品號主檔!$A:$D,4,0),"學習周邊")</f>
        <v>0</v>
      </c>
    </row>
    <row r="1684" spans="1:1">
      <c r="A1684">
        <f>IFERROR(VLOOKUP(B1684,[1]銷貨單品號主檔!$A:$D,4,0),"學習周邊")</f>
        <v>0</v>
      </c>
    </row>
    <row r="1685" spans="1:1">
      <c r="A1685">
        <f>IFERROR(VLOOKUP(B1685,[1]銷貨單品號主檔!$A:$D,4,0),"學習周邊")</f>
        <v>0</v>
      </c>
    </row>
    <row r="1686" spans="1:1">
      <c r="A1686">
        <f>IFERROR(VLOOKUP(B1686,[1]銷貨單品號主檔!$A:$D,4,0),"學習周邊")</f>
        <v>0</v>
      </c>
    </row>
    <row r="1687" spans="1:1">
      <c r="A1687">
        <f>IFERROR(VLOOKUP(B1687,[1]銷貨單品號主檔!$A:$D,4,0),"學習周邊")</f>
        <v>0</v>
      </c>
    </row>
    <row r="1688" spans="1:1">
      <c r="A1688">
        <f>IFERROR(VLOOKUP(B1688,[1]銷貨單品號主檔!$A:$D,4,0),"學習周邊")</f>
        <v>0</v>
      </c>
    </row>
    <row r="1689" spans="1:1">
      <c r="A1689">
        <f>IFERROR(VLOOKUP(B1689,[1]銷貨單品號主檔!$A:$D,4,0),"學習周邊")</f>
        <v>0</v>
      </c>
    </row>
    <row r="1690" spans="1:1">
      <c r="A1690">
        <f>IFERROR(VLOOKUP(B1690,[1]銷貨單品號主檔!$A:$D,4,0),"學習周邊")</f>
        <v>0</v>
      </c>
    </row>
    <row r="1691" spans="1:1">
      <c r="A1691">
        <f>IFERROR(VLOOKUP(B1691,[1]銷貨單品號主檔!$A:$D,4,0),"學習周邊")</f>
        <v>0</v>
      </c>
    </row>
    <row r="1692" spans="1:1">
      <c r="A1692">
        <f>IFERROR(VLOOKUP(B1692,[1]銷貨單品號主檔!$A:$D,4,0),"學習周邊")</f>
        <v>0</v>
      </c>
    </row>
    <row r="1693" spans="1:1">
      <c r="A1693">
        <f>IFERROR(VLOOKUP(B1693,[1]銷貨單品號主檔!$A:$D,4,0),"學習周邊")</f>
        <v>0</v>
      </c>
    </row>
    <row r="1694" spans="1:1">
      <c r="A1694">
        <f>IFERROR(VLOOKUP(B1694,[1]銷貨單品號主檔!$A:$D,4,0),"學習周邊")</f>
        <v>0</v>
      </c>
    </row>
    <row r="1695" spans="1:1">
      <c r="A1695">
        <f>IFERROR(VLOOKUP(B1695,[1]銷貨單品號主檔!$A:$D,4,0),"學習周邊")</f>
        <v>0</v>
      </c>
    </row>
    <row r="1696" spans="1:1">
      <c r="A1696">
        <f>IFERROR(VLOOKUP(B1696,[1]銷貨單品號主檔!$A:$D,4,0),"學習周邊")</f>
        <v>0</v>
      </c>
    </row>
    <row r="1697" spans="1:1">
      <c r="A1697">
        <f>IFERROR(VLOOKUP(B1697,[1]銷貨單品號主檔!$A:$D,4,0),"學習周邊")</f>
        <v>0</v>
      </c>
    </row>
    <row r="1698" spans="1:1">
      <c r="A1698">
        <f>IFERROR(VLOOKUP(B1698,[1]銷貨單品號主檔!$A:$D,4,0),"學習周邊")</f>
        <v>0</v>
      </c>
    </row>
    <row r="1699" spans="1:1">
      <c r="A1699">
        <f>IFERROR(VLOOKUP(B1699,[1]銷貨單品號主檔!$A:$D,4,0),"學習周邊")</f>
        <v>0</v>
      </c>
    </row>
    <row r="1700" spans="1:1">
      <c r="A1700">
        <f>IFERROR(VLOOKUP(B1700,[1]銷貨單品號主檔!$A:$D,4,0),"學習周邊")</f>
        <v>0</v>
      </c>
    </row>
    <row r="1701" spans="1:1">
      <c r="A1701">
        <f>IFERROR(VLOOKUP(B1701,[1]銷貨單品號主檔!$A:$D,4,0),"學習周邊")</f>
        <v>0</v>
      </c>
    </row>
    <row r="1702" spans="1:1">
      <c r="A1702">
        <f>IFERROR(VLOOKUP(B1702,[1]銷貨單品號主檔!$A:$D,4,0),"學習周邊")</f>
        <v>0</v>
      </c>
    </row>
    <row r="1703" spans="1:1">
      <c r="A1703">
        <f>IFERROR(VLOOKUP(B1703,[1]銷貨單品號主檔!$A:$D,4,0),"學習周邊")</f>
        <v>0</v>
      </c>
    </row>
    <row r="1704" spans="1:1">
      <c r="A1704">
        <f>IFERROR(VLOOKUP(B1704,[1]銷貨單品號主檔!$A:$D,4,0),"學習周邊")</f>
        <v>0</v>
      </c>
    </row>
    <row r="1705" spans="1:1">
      <c r="A1705">
        <f>IFERROR(VLOOKUP(B1705,[1]銷貨單品號主檔!$A:$D,4,0),"學習周邊")</f>
        <v>0</v>
      </c>
    </row>
    <row r="1706" spans="1:1">
      <c r="A1706">
        <f>IFERROR(VLOOKUP(B1706,[1]銷貨單品號主檔!$A:$D,4,0),"學習周邊")</f>
        <v>0</v>
      </c>
    </row>
    <row r="1707" spans="1:1">
      <c r="A1707">
        <f>IFERROR(VLOOKUP(B1707,[1]銷貨單品號主檔!$A:$D,4,0),"學習周邊")</f>
        <v>0</v>
      </c>
    </row>
    <row r="1708" spans="1:1">
      <c r="A1708">
        <f>IFERROR(VLOOKUP(B1708,[1]銷貨單品號主檔!$A:$D,4,0),"學習周邊")</f>
        <v>0</v>
      </c>
    </row>
    <row r="1709" spans="1:1">
      <c r="A1709">
        <f>IFERROR(VLOOKUP(B1709,[1]銷貨單品號主檔!$A:$D,4,0),"學習周邊")</f>
        <v>0</v>
      </c>
    </row>
    <row r="1710" spans="1:1">
      <c r="A1710">
        <f>IFERROR(VLOOKUP(B1710,[1]銷貨單品號主檔!$A:$D,4,0),"學習周邊")</f>
        <v>0</v>
      </c>
    </row>
    <row r="1711" spans="1:1">
      <c r="A1711">
        <f>IFERROR(VLOOKUP(B1711,[1]銷貨單品號主檔!$A:$D,4,0),"學習周邊")</f>
        <v>0</v>
      </c>
    </row>
    <row r="1712" spans="1:1">
      <c r="A1712">
        <f>IFERROR(VLOOKUP(B1712,[1]銷貨單品號主檔!$A:$D,4,0),"學習周邊")</f>
        <v>0</v>
      </c>
    </row>
    <row r="1713" spans="1:1">
      <c r="A1713">
        <f>IFERROR(VLOOKUP(B1713,[1]銷貨單品號主檔!$A:$D,4,0),"學習周邊")</f>
        <v>0</v>
      </c>
    </row>
    <row r="1714" spans="1:1">
      <c r="A1714">
        <f>IFERROR(VLOOKUP(B1714,[1]銷貨單品號主檔!$A:$D,4,0),"學習周邊")</f>
        <v>0</v>
      </c>
    </row>
    <row r="1715" spans="1:1">
      <c r="A1715">
        <f>IFERROR(VLOOKUP(B1715,[1]銷貨單品號主檔!$A:$D,4,0),"學習周邊")</f>
        <v>0</v>
      </c>
    </row>
    <row r="1716" spans="1:1">
      <c r="A1716">
        <f>IFERROR(VLOOKUP(B1716,[1]銷貨單品號主檔!$A:$D,4,0),"學習周邊")</f>
        <v>0</v>
      </c>
    </row>
    <row r="1717" spans="1:1">
      <c r="A1717">
        <f>IFERROR(VLOOKUP(B1717,[1]銷貨單品號主檔!$A:$D,4,0),"學習周邊")</f>
        <v>0</v>
      </c>
    </row>
    <row r="1718" spans="1:1">
      <c r="A1718">
        <f>IFERROR(VLOOKUP(B1718,[1]銷貨單品號主檔!$A:$D,4,0),"學習周邊")</f>
        <v>0</v>
      </c>
    </row>
    <row r="1719" spans="1:1">
      <c r="A1719">
        <f>IFERROR(VLOOKUP(B1719,[1]銷貨單品號主檔!$A:$D,4,0),"學習周邊")</f>
        <v>0</v>
      </c>
    </row>
    <row r="1720" spans="1:1">
      <c r="A1720">
        <f>IFERROR(VLOOKUP(B1720,[1]銷貨單品號主檔!$A:$D,4,0),"學習周邊")</f>
        <v>0</v>
      </c>
    </row>
    <row r="1721" spans="1:1">
      <c r="A1721">
        <f>IFERROR(VLOOKUP(B1721,[1]銷貨單品號主檔!$A:$D,4,0),"學習周邊")</f>
        <v>0</v>
      </c>
    </row>
    <row r="1722" spans="1:1">
      <c r="A1722">
        <f>IFERROR(VLOOKUP(B1722,[1]銷貨單品號主檔!$A:$D,4,0),"學習周邊")</f>
        <v>0</v>
      </c>
    </row>
    <row r="1723" spans="1:1">
      <c r="A1723">
        <f>IFERROR(VLOOKUP(B1723,[1]銷貨單品號主檔!$A:$D,4,0),"學習周邊")</f>
        <v>0</v>
      </c>
    </row>
    <row r="1724" spans="1:1">
      <c r="A1724">
        <f>IFERROR(VLOOKUP(B1724,[1]銷貨單品號主檔!$A:$D,4,0),"學習周邊")</f>
        <v>0</v>
      </c>
    </row>
    <row r="1725" spans="1:1">
      <c r="A1725">
        <f>IFERROR(VLOOKUP(B1725,[1]銷貨單品號主檔!$A:$D,4,0),"學習周邊")</f>
        <v>0</v>
      </c>
    </row>
  </sheetData>
  <phoneticPr fontId="4" type="noConversion"/>
  <conditionalFormatting sqref="A3:A1725">
    <cfRule type="cellIs" dxfId="82" priority="11" operator="equal">
      <formula>"生活周邊"</formula>
    </cfRule>
    <cfRule type="cellIs" dxfId="81" priority="12" operator="equal">
      <formula>"Mirafeel"</formula>
    </cfRule>
    <cfRule type="cellIs" dxfId="80" priority="13" operator="equal">
      <formula>"學習"</formula>
    </cfRule>
  </conditionalFormatting>
  <conditionalFormatting sqref="C1:C1048576">
    <cfRule type="containsText" dxfId="79" priority="1" operator="containsText" text="(團購)">
      <formula>NOT(ISERROR(SEARCH("(團購)",C1)))</formula>
    </cfRule>
  </conditionalFormatting>
  <pageMargins left="0.7" right="0.7" top="0.75" bottom="0.75" header="0.3" footer="0.3"/>
  <pageSetup paperSize="9" orientation="portrait" horizontalDpi="4294967292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A7FF-26DC-4ABD-B89C-B0A9993AD3D0}">
  <dimension ref="A1:F503"/>
  <sheetViews>
    <sheetView zoomScale="70" zoomScaleNormal="70" workbookViewId="0">
      <selection activeCell="E18" sqref="E18"/>
    </sheetView>
  </sheetViews>
  <sheetFormatPr defaultRowHeight="15.75"/>
  <cols>
    <col min="1" max="1" width="7.77734375" bestFit="1" customWidth="1"/>
    <col min="2" max="2" width="27.6640625" style="23" customWidth="1"/>
    <col min="3" max="3" width="37.44140625" customWidth="1"/>
    <col min="4" max="4" width="13.5546875" style="23" bestFit="1" customWidth="1"/>
    <col min="5" max="5" width="12.6640625" bestFit="1" customWidth="1"/>
    <col min="6" max="6" width="12.33203125" customWidth="1"/>
  </cols>
  <sheetData>
    <row r="1" spans="1:6">
      <c r="B1" t="s">
        <v>42</v>
      </c>
      <c r="C1" s="13" t="s">
        <v>43</v>
      </c>
      <c r="D1"/>
      <c r="F1" s="13" t="s">
        <v>71</v>
      </c>
    </row>
    <row r="2" spans="1:6">
      <c r="B2"/>
      <c r="D2"/>
      <c r="F2" s="26" t="s">
        <v>309</v>
      </c>
    </row>
    <row r="3" spans="1:6" ht="31.5">
      <c r="A3" t="s">
        <v>47</v>
      </c>
      <c r="B3" s="13" t="s">
        <v>50</v>
      </c>
      <c r="C3" t="s">
        <v>51</v>
      </c>
      <c r="D3" t="s">
        <v>365</v>
      </c>
      <c r="E3" s="26" t="s">
        <v>321</v>
      </c>
      <c r="F3" s="26" t="s">
        <v>309</v>
      </c>
    </row>
    <row r="4" spans="1:6">
      <c r="A4" t="str">
        <f>IFERROR(VLOOKUP(B4,[1]銷貨單品號主檔!$A:$D,4,0),"學習周邊")</f>
        <v>學習周邊</v>
      </c>
      <c r="B4" t="s">
        <v>55</v>
      </c>
      <c r="C4" s="11" t="s">
        <v>56</v>
      </c>
      <c r="D4" s="26">
        <v>2</v>
      </c>
      <c r="E4" s="26">
        <v>569.52380952380952</v>
      </c>
      <c r="F4" s="26" t="s">
        <v>309</v>
      </c>
    </row>
    <row r="5" spans="1:6">
      <c r="A5" t="str">
        <f>IFERROR(VLOOKUP(B5,[1]銷貨單品號主檔!$A:$D,4,0),"學習周邊")</f>
        <v>學習周邊</v>
      </c>
      <c r="B5" t="s">
        <v>55</v>
      </c>
      <c r="C5" s="11" t="s">
        <v>60</v>
      </c>
      <c r="D5" s="26">
        <v>1</v>
      </c>
      <c r="E5" s="26">
        <v>284.76190476190476</v>
      </c>
      <c r="F5" s="26" t="s">
        <v>309</v>
      </c>
    </row>
    <row r="6" spans="1:6">
      <c r="A6" t="str">
        <f>IFERROR(VLOOKUP(B6,[1]銷貨單品號主檔!$A:$D,4,0),"學習周邊")</f>
        <v>學習周邊</v>
      </c>
      <c r="B6" t="s">
        <v>55</v>
      </c>
      <c r="C6" s="11" t="s">
        <v>62</v>
      </c>
      <c r="D6" s="26">
        <v>3</v>
      </c>
      <c r="E6" s="26">
        <v>569.52380952380952</v>
      </c>
      <c r="F6" s="26" t="s">
        <v>309</v>
      </c>
    </row>
    <row r="7" spans="1:6">
      <c r="A7" t="str">
        <f>IFERROR(VLOOKUP(B7,[1]銷貨單品號主檔!$A:$D,4,0),"學習周邊")</f>
        <v>學習周邊</v>
      </c>
      <c r="B7" t="s">
        <v>55</v>
      </c>
      <c r="C7" s="11" t="s">
        <v>65</v>
      </c>
      <c r="D7" s="26">
        <v>7</v>
      </c>
      <c r="E7" s="26">
        <v>1423.8095238095239</v>
      </c>
      <c r="F7" s="26" t="s">
        <v>309</v>
      </c>
    </row>
    <row r="8" spans="1:6">
      <c r="A8" t="str">
        <f>IFERROR(VLOOKUP(B8,[1]銷貨單品號主檔!$A:$D,4,0),"學習周邊")</f>
        <v>學習周邊</v>
      </c>
      <c r="B8" t="s">
        <v>55</v>
      </c>
      <c r="C8" s="11" t="s">
        <v>67</v>
      </c>
      <c r="D8" s="26">
        <v>3</v>
      </c>
      <c r="E8" s="26">
        <v>854.28571428571422</v>
      </c>
      <c r="F8" s="26" t="s">
        <v>309</v>
      </c>
    </row>
    <row r="9" spans="1:6">
      <c r="A9" t="str">
        <f>IFERROR(VLOOKUP(B9,[1]銷貨單品號主檔!$A:$D,4,0),"學習周邊")</f>
        <v>學習周邊</v>
      </c>
      <c r="B9" t="s">
        <v>55</v>
      </c>
      <c r="C9" s="11" t="s">
        <v>73</v>
      </c>
      <c r="D9" s="26">
        <v>2</v>
      </c>
      <c r="E9" s="26">
        <v>569.52380952380952</v>
      </c>
      <c r="F9" s="26" t="s">
        <v>309</v>
      </c>
    </row>
    <row r="10" spans="1:6">
      <c r="A10" t="str">
        <f>IFERROR(VLOOKUP(B10,[1]銷貨單品號主檔!$A:$D,4,0),"學習周邊")</f>
        <v>學習周邊</v>
      </c>
      <c r="B10" t="s">
        <v>55</v>
      </c>
      <c r="C10" s="11" t="s">
        <v>59</v>
      </c>
      <c r="D10" s="26">
        <v>7</v>
      </c>
      <c r="E10" s="26">
        <v>1423.8095238095239</v>
      </c>
      <c r="F10" s="26" t="s">
        <v>309</v>
      </c>
    </row>
    <row r="11" spans="1:6">
      <c r="A11" t="str">
        <f>IFERROR(VLOOKUP(B11,[1]銷貨單品號主檔!$A:$D,4,0),"學習周邊")</f>
        <v>學習周邊</v>
      </c>
      <c r="B11" t="s">
        <v>55</v>
      </c>
      <c r="C11" s="11" t="s">
        <v>66</v>
      </c>
      <c r="D11" s="26">
        <v>5</v>
      </c>
      <c r="E11" s="26">
        <v>1139.047619047619</v>
      </c>
      <c r="F11" s="26" t="s">
        <v>309</v>
      </c>
    </row>
    <row r="12" spans="1:6">
      <c r="A12" t="str">
        <f>IFERROR(VLOOKUP(B12,[1]銷貨單品號主檔!$A:$D,4,0),"學習周邊")</f>
        <v>學習周邊</v>
      </c>
      <c r="B12" t="s">
        <v>55</v>
      </c>
      <c r="C12" s="11" t="s">
        <v>76</v>
      </c>
      <c r="D12" s="26">
        <v>1</v>
      </c>
      <c r="E12" s="26">
        <v>284.76190476190476</v>
      </c>
      <c r="F12" s="26" t="s">
        <v>309</v>
      </c>
    </row>
    <row r="13" spans="1:6">
      <c r="A13" t="str">
        <f>IFERROR(VLOOKUP(B13,[1]銷貨單品號主檔!$A:$D,4,0),"學習周邊")</f>
        <v>學習周邊</v>
      </c>
      <c r="B13" t="s">
        <v>55</v>
      </c>
      <c r="C13" s="11" t="s">
        <v>78</v>
      </c>
      <c r="D13" s="26">
        <v>3</v>
      </c>
      <c r="E13" s="26">
        <v>284.76190476190476</v>
      </c>
      <c r="F13" s="26" t="s">
        <v>309</v>
      </c>
    </row>
    <row r="14" spans="1:6">
      <c r="A14" t="str">
        <f>IFERROR(VLOOKUP(B14,[1]銷貨單品號主檔!$A:$D,4,0),"學習周邊")</f>
        <v>學習周邊</v>
      </c>
      <c r="B14" t="s">
        <v>55</v>
      </c>
      <c r="C14" s="11" t="s">
        <v>85</v>
      </c>
      <c r="D14" s="26">
        <v>2</v>
      </c>
      <c r="E14" s="26">
        <v>569.52380952380952</v>
      </c>
      <c r="F14" s="26" t="s">
        <v>309</v>
      </c>
    </row>
    <row r="15" spans="1:6">
      <c r="A15" t="str">
        <f>IFERROR(VLOOKUP(B15,[1]銷貨單品號主檔!$A:$D,4,0),"學習周邊")</f>
        <v>學習周邊</v>
      </c>
      <c r="B15" t="s">
        <v>55</v>
      </c>
      <c r="C15" s="11" t="s">
        <v>87</v>
      </c>
      <c r="D15" s="26">
        <v>1</v>
      </c>
      <c r="E15" s="26">
        <v>284.76190476190476</v>
      </c>
      <c r="F15" s="26" t="s">
        <v>309</v>
      </c>
    </row>
    <row r="16" spans="1:6">
      <c r="A16" t="str">
        <f>IFERROR(VLOOKUP(B16,[1]銷貨單品號主檔!$A:$D,4,0),"學習周邊")</f>
        <v>學習周邊</v>
      </c>
      <c r="B16" t="s">
        <v>55</v>
      </c>
      <c r="C16" s="11" t="s">
        <v>90</v>
      </c>
      <c r="D16" s="26">
        <v>1</v>
      </c>
      <c r="E16" s="26">
        <v>284.76190476190476</v>
      </c>
      <c r="F16" s="26" t="s">
        <v>309</v>
      </c>
    </row>
    <row r="17" spans="1:6">
      <c r="A17" t="str">
        <f>IFERROR(VLOOKUP(B17,[1]銷貨單品號主檔!$A:$D,4,0),"學習周邊")</f>
        <v>學習周邊</v>
      </c>
      <c r="B17" t="s">
        <v>55</v>
      </c>
      <c r="C17" s="11" t="s">
        <v>88</v>
      </c>
      <c r="D17" s="26">
        <v>4</v>
      </c>
      <c r="E17" s="26">
        <v>1139.047619047619</v>
      </c>
      <c r="F17" s="26" t="s">
        <v>309</v>
      </c>
    </row>
    <row r="18" spans="1:6">
      <c r="A18" t="str">
        <f>IFERROR(VLOOKUP(B18,[1]銷貨單品號主檔!$A:$D,4,0),"學習周邊")</f>
        <v>學習周邊</v>
      </c>
      <c r="B18" t="s">
        <v>55</v>
      </c>
      <c r="C18" s="11" t="s">
        <v>53</v>
      </c>
      <c r="D18" s="26">
        <v>4</v>
      </c>
      <c r="E18" s="26">
        <v>854.28571428571422</v>
      </c>
      <c r="F18" s="26" t="s">
        <v>309</v>
      </c>
    </row>
    <row r="19" spans="1:6">
      <c r="A19" t="str">
        <f>IFERROR(VLOOKUP(B19,[1]銷貨單品號主檔!$A:$D,4,0),"學習周邊")</f>
        <v>學習周邊</v>
      </c>
      <c r="B19" t="s">
        <v>55</v>
      </c>
      <c r="C19" s="11" t="s">
        <v>92</v>
      </c>
      <c r="D19" s="26">
        <v>2</v>
      </c>
      <c r="E19" s="26">
        <v>569.52380952380952</v>
      </c>
      <c r="F19" s="26" t="s">
        <v>309</v>
      </c>
    </row>
    <row r="20" spans="1:6">
      <c r="A20" t="str">
        <f>IFERROR(VLOOKUP(B20,[1]銷貨單品號主檔!$A:$D,4,0),"學習周邊")</f>
        <v>學習周邊</v>
      </c>
      <c r="B20" t="s">
        <v>55</v>
      </c>
      <c r="C20" s="11" t="s">
        <v>328</v>
      </c>
      <c r="D20" s="26">
        <v>1</v>
      </c>
      <c r="E20" s="26">
        <v>284.76190476190476</v>
      </c>
      <c r="F20" s="26" t="s">
        <v>309</v>
      </c>
    </row>
    <row r="21" spans="1:6">
      <c r="A21" t="str">
        <f>IFERROR(VLOOKUP(B21,[1]銷貨單品號主檔!$A:$D,4,0),"學習周邊")</f>
        <v>學習周邊</v>
      </c>
      <c r="B21" t="s">
        <v>55</v>
      </c>
      <c r="C21" s="11" t="s">
        <v>329</v>
      </c>
      <c r="D21" s="26">
        <v>6</v>
      </c>
      <c r="E21" s="26">
        <v>1139.047619047619</v>
      </c>
      <c r="F21" s="26" t="s">
        <v>309</v>
      </c>
    </row>
    <row r="22" spans="1:6">
      <c r="A22" t="str">
        <f>IFERROR(VLOOKUP(B22,[1]銷貨單品號主檔!$A:$D,4,0),"學習周邊")</f>
        <v>學習周邊</v>
      </c>
      <c r="B22" t="s">
        <v>55</v>
      </c>
      <c r="C22" s="11" t="s">
        <v>332</v>
      </c>
      <c r="D22" s="26">
        <v>1</v>
      </c>
      <c r="E22" s="26">
        <v>284.76190476190476</v>
      </c>
      <c r="F22" s="26" t="s">
        <v>309</v>
      </c>
    </row>
    <row r="23" spans="1:6">
      <c r="A23" t="str">
        <f>IFERROR(VLOOKUP(B23,[1]銷貨單品號主檔!$A:$D,4,0),"學習周邊")</f>
        <v>學習周邊</v>
      </c>
      <c r="B23" t="s">
        <v>55</v>
      </c>
      <c r="C23" s="11" t="s">
        <v>330</v>
      </c>
      <c r="D23" s="26">
        <v>5</v>
      </c>
      <c r="E23" s="26">
        <v>1139.047619047619</v>
      </c>
      <c r="F23" s="26" t="s">
        <v>309</v>
      </c>
    </row>
    <row r="24" spans="1:6">
      <c r="A24" t="str">
        <f>IFERROR(VLOOKUP(B24,[1]銷貨單品號主檔!$A:$D,4,0),"學習周邊")</f>
        <v>學習周邊</v>
      </c>
      <c r="B24" t="s">
        <v>55</v>
      </c>
      <c r="C24" s="11" t="s">
        <v>331</v>
      </c>
      <c r="D24" s="26">
        <v>1</v>
      </c>
      <c r="E24" s="26">
        <v>284.76190476190476</v>
      </c>
      <c r="F24" s="26" t="s">
        <v>309</v>
      </c>
    </row>
    <row r="25" spans="1:6">
      <c r="A25" t="str">
        <f>IFERROR(VLOOKUP(B25,[1]銷貨單品號主檔!$A:$D,4,0),"學習周邊")</f>
        <v>學習周邊</v>
      </c>
      <c r="B25" t="s">
        <v>55</v>
      </c>
      <c r="C25" s="11" t="s">
        <v>349</v>
      </c>
      <c r="D25" s="26">
        <v>2</v>
      </c>
      <c r="E25" s="26">
        <v>569.52380952380952</v>
      </c>
      <c r="F25" s="26" t="s">
        <v>309</v>
      </c>
    </row>
    <row r="26" spans="1:6">
      <c r="A26" t="str">
        <f>IFERROR(VLOOKUP(B26,[1]銷貨單品號主檔!$A:$D,4,0),"學習周邊")</f>
        <v>學習周邊</v>
      </c>
      <c r="B26" t="s">
        <v>55</v>
      </c>
      <c r="C26" s="11" t="s">
        <v>354</v>
      </c>
      <c r="D26" s="26">
        <v>1</v>
      </c>
      <c r="E26" s="26">
        <v>284.76190476190476</v>
      </c>
      <c r="F26" s="26" t="s">
        <v>309</v>
      </c>
    </row>
    <row r="27" spans="1:6">
      <c r="A27" t="str">
        <f>IFERROR(VLOOKUP(B27,[1]銷貨單品號主檔!$A:$D,4,0),"學習周邊")</f>
        <v>學習周邊</v>
      </c>
      <c r="B27" t="s">
        <v>101</v>
      </c>
      <c r="C27" s="11" t="s">
        <v>62</v>
      </c>
      <c r="D27" s="26">
        <v>1</v>
      </c>
      <c r="E27" s="26">
        <v>951.42857142857144</v>
      </c>
      <c r="F27" s="26" t="s">
        <v>309</v>
      </c>
    </row>
    <row r="28" spans="1:6">
      <c r="A28" t="str">
        <f>IFERROR(VLOOKUP(B28,[1]銷貨單品號主檔!$A:$D,4,0),"學習周邊")</f>
        <v>學習周邊</v>
      </c>
      <c r="B28" t="s">
        <v>101</v>
      </c>
      <c r="C28" s="11" t="s">
        <v>65</v>
      </c>
      <c r="D28" s="26">
        <v>1</v>
      </c>
      <c r="E28" s="26">
        <v>951.42857142857144</v>
      </c>
      <c r="F28" s="26" t="s">
        <v>309</v>
      </c>
    </row>
    <row r="29" spans="1:6">
      <c r="A29" t="str">
        <f>IFERROR(VLOOKUP(B29,[1]銷貨單品號主檔!$A:$D,4,0),"學習周邊")</f>
        <v>學習周邊</v>
      </c>
      <c r="B29" t="s">
        <v>101</v>
      </c>
      <c r="C29" s="11" t="s">
        <v>66</v>
      </c>
      <c r="D29" s="26">
        <v>1</v>
      </c>
      <c r="E29" s="26">
        <v>951.42857142857144</v>
      </c>
      <c r="F29" s="26" t="s">
        <v>309</v>
      </c>
    </row>
    <row r="30" spans="1:6">
      <c r="A30" t="str">
        <f>IFERROR(VLOOKUP(B30,[1]銷貨單品號主檔!$A:$D,4,0),"學習周邊")</f>
        <v>學習周邊</v>
      </c>
      <c r="B30" t="s">
        <v>101</v>
      </c>
      <c r="C30" s="11" t="s">
        <v>78</v>
      </c>
      <c r="D30" s="26">
        <v>2</v>
      </c>
      <c r="E30" s="26">
        <v>1902.8571428571429</v>
      </c>
      <c r="F30" s="26" t="s">
        <v>309</v>
      </c>
    </row>
    <row r="31" spans="1:6">
      <c r="A31" t="str">
        <f>IFERROR(VLOOKUP(B31,[1]銷貨單品號主檔!$A:$D,4,0),"學習周邊")</f>
        <v>學習周邊</v>
      </c>
      <c r="B31" t="s">
        <v>101</v>
      </c>
      <c r="C31" s="11" t="s">
        <v>81</v>
      </c>
      <c r="D31" s="26">
        <v>2</v>
      </c>
      <c r="E31" s="26">
        <v>1902.8571428571429</v>
      </c>
      <c r="F31" s="26" t="s">
        <v>309</v>
      </c>
    </row>
    <row r="32" spans="1:6">
      <c r="A32" t="str">
        <f>IFERROR(VLOOKUP(B32,[1]銷貨單品號主檔!$A:$D,4,0),"學習周邊")</f>
        <v>學習周邊</v>
      </c>
      <c r="B32" t="s">
        <v>101</v>
      </c>
      <c r="C32" s="11" t="s">
        <v>85</v>
      </c>
      <c r="D32" s="26">
        <v>1</v>
      </c>
      <c r="E32" s="26">
        <v>1140.952380952381</v>
      </c>
      <c r="F32" s="26" t="s">
        <v>309</v>
      </c>
    </row>
    <row r="33" spans="1:6">
      <c r="A33" t="str">
        <f>IFERROR(VLOOKUP(B33,[1]銷貨單品號主檔!$A:$D,4,0),"學習周邊")</f>
        <v>學習周邊</v>
      </c>
      <c r="B33" t="s">
        <v>101</v>
      </c>
      <c r="C33" s="11" t="s">
        <v>88</v>
      </c>
      <c r="D33" s="26">
        <v>2</v>
      </c>
      <c r="E33" s="26">
        <v>1902.8571428571429</v>
      </c>
      <c r="F33" s="26" t="s">
        <v>309</v>
      </c>
    </row>
    <row r="34" spans="1:6">
      <c r="A34" t="str">
        <f>IFERROR(VLOOKUP(B34,[1]銷貨單品號主檔!$A:$D,4,0),"學習周邊")</f>
        <v>學習周邊</v>
      </c>
      <c r="B34" t="s">
        <v>101</v>
      </c>
      <c r="C34" s="11" t="s">
        <v>108</v>
      </c>
      <c r="D34" s="26">
        <v>1</v>
      </c>
      <c r="E34" s="26">
        <v>951.42857142857144</v>
      </c>
      <c r="F34" s="26" t="s">
        <v>309</v>
      </c>
    </row>
    <row r="35" spans="1:6">
      <c r="A35" t="str">
        <f>IFERROR(VLOOKUP(B35,[1]銷貨單品號主檔!$A:$D,4,0),"學習周邊")</f>
        <v>學習周邊</v>
      </c>
      <c r="B35" t="s">
        <v>101</v>
      </c>
      <c r="C35" s="11" t="s">
        <v>92</v>
      </c>
      <c r="D35" s="26">
        <v>1</v>
      </c>
      <c r="E35" s="26">
        <v>951.42857142857144</v>
      </c>
      <c r="F35" s="26" t="s">
        <v>309</v>
      </c>
    </row>
    <row r="36" spans="1:6">
      <c r="A36" t="str">
        <f>IFERROR(VLOOKUP(B36,[1]銷貨單品號主檔!$A:$D,4,0),"學習周邊")</f>
        <v>學習周邊</v>
      </c>
      <c r="B36" t="s">
        <v>101</v>
      </c>
      <c r="C36" s="11" t="s">
        <v>329</v>
      </c>
      <c r="D36" s="26">
        <v>2</v>
      </c>
      <c r="E36" s="26">
        <v>1902.8571428571429</v>
      </c>
      <c r="F36" s="26" t="s">
        <v>309</v>
      </c>
    </row>
    <row r="37" spans="1:6">
      <c r="A37" t="str">
        <f>IFERROR(VLOOKUP(B37,[1]銷貨單品號主檔!$A:$D,4,0),"學習周邊")</f>
        <v>學習周邊</v>
      </c>
      <c r="B37" t="s">
        <v>101</v>
      </c>
      <c r="C37" s="11" t="s">
        <v>354</v>
      </c>
      <c r="D37" s="26">
        <v>1</v>
      </c>
      <c r="E37" s="26">
        <v>951.42857142857144</v>
      </c>
      <c r="F37" s="26" t="s">
        <v>309</v>
      </c>
    </row>
    <row r="38" spans="1:6">
      <c r="A38" t="str">
        <f>IFERROR(VLOOKUP(B38,[1]銷貨單品號主檔!$A:$D,4,0),"學習周邊")</f>
        <v>學習周邊</v>
      </c>
      <c r="B38" t="s">
        <v>109</v>
      </c>
      <c r="C38" s="11" t="s">
        <v>76</v>
      </c>
      <c r="D38" s="26">
        <v>1</v>
      </c>
      <c r="E38" s="26">
        <v>1140.952380952381</v>
      </c>
      <c r="F38" s="26" t="s">
        <v>309</v>
      </c>
    </row>
    <row r="39" spans="1:6">
      <c r="A39" t="str">
        <f>IFERROR(VLOOKUP(B39,[1]銷貨單品號主檔!$A:$D,4,0),"學習周邊")</f>
        <v>學習周邊</v>
      </c>
      <c r="B39" t="s">
        <v>110</v>
      </c>
      <c r="C39" s="11" t="s">
        <v>60</v>
      </c>
      <c r="D39" s="26">
        <v>2</v>
      </c>
      <c r="E39" s="26">
        <v>379.04761904761904</v>
      </c>
      <c r="F39" s="26" t="s">
        <v>309</v>
      </c>
    </row>
    <row r="40" spans="1:6">
      <c r="A40" t="str">
        <f>IFERROR(VLOOKUP(B40,[1]銷貨單品號主檔!$A:$D,4,0),"學習周邊")</f>
        <v>學習周邊</v>
      </c>
      <c r="B40" t="s">
        <v>110</v>
      </c>
      <c r="C40" s="11" t="s">
        <v>65</v>
      </c>
      <c r="D40" s="26">
        <v>1</v>
      </c>
      <c r="E40" s="26">
        <v>189.52380952380952</v>
      </c>
      <c r="F40" s="26" t="s">
        <v>309</v>
      </c>
    </row>
    <row r="41" spans="1:6">
      <c r="A41" t="str">
        <f>IFERROR(VLOOKUP(B41,[1]銷貨單品號主檔!$A:$D,4,0),"學習周邊")</f>
        <v>學習周邊</v>
      </c>
      <c r="B41" t="s">
        <v>110</v>
      </c>
      <c r="C41" s="11" t="s">
        <v>73</v>
      </c>
      <c r="D41" s="26">
        <v>1</v>
      </c>
      <c r="E41" s="26">
        <v>189.52380952380952</v>
      </c>
      <c r="F41" s="26" t="s">
        <v>309</v>
      </c>
    </row>
    <row r="42" spans="1:6">
      <c r="A42" t="str">
        <f>IFERROR(VLOOKUP(B42,[1]銷貨單品號主檔!$A:$D,4,0),"學習周邊")</f>
        <v>學習周邊</v>
      </c>
      <c r="B42" t="s">
        <v>110</v>
      </c>
      <c r="C42" s="11" t="s">
        <v>59</v>
      </c>
      <c r="D42" s="26">
        <v>1</v>
      </c>
      <c r="E42" s="26">
        <v>189.52380952380952</v>
      </c>
      <c r="F42" s="26" t="s">
        <v>309</v>
      </c>
    </row>
    <row r="43" spans="1:6">
      <c r="A43" t="str">
        <f>IFERROR(VLOOKUP(B43,[1]銷貨單品號主檔!$A:$D,4,0),"學習周邊")</f>
        <v>學習周邊</v>
      </c>
      <c r="B43" t="s">
        <v>110</v>
      </c>
      <c r="C43" s="11" t="s">
        <v>76</v>
      </c>
      <c r="D43" s="26">
        <v>1</v>
      </c>
      <c r="E43" s="26">
        <v>189.52380952380952</v>
      </c>
      <c r="F43" s="26" t="s">
        <v>309</v>
      </c>
    </row>
    <row r="44" spans="1:6">
      <c r="A44" t="str">
        <f>IFERROR(VLOOKUP(B44,[1]銷貨單品號主檔!$A:$D,4,0),"學習周邊")</f>
        <v>學習周邊</v>
      </c>
      <c r="B44" t="s">
        <v>110</v>
      </c>
      <c r="C44" s="11" t="s">
        <v>85</v>
      </c>
      <c r="D44" s="26">
        <v>1</v>
      </c>
      <c r="E44" s="26">
        <v>189.52380952380952</v>
      </c>
      <c r="F44" s="26" t="s">
        <v>309</v>
      </c>
    </row>
    <row r="45" spans="1:6">
      <c r="A45" t="str">
        <f>IFERROR(VLOOKUP(B45,[1]銷貨單品號主檔!$A:$D,4,0),"學習周邊")</f>
        <v>學習周邊</v>
      </c>
      <c r="B45" t="s">
        <v>110</v>
      </c>
      <c r="C45" s="11" t="s">
        <v>88</v>
      </c>
      <c r="D45" s="26">
        <v>2</v>
      </c>
      <c r="E45" s="26">
        <v>379.04761904761904</v>
      </c>
      <c r="F45" s="26" t="s">
        <v>309</v>
      </c>
    </row>
    <row r="46" spans="1:6">
      <c r="A46" t="str">
        <f>IFERROR(VLOOKUP(B46,[1]銷貨單品號主檔!$A:$D,4,0),"學習周邊")</f>
        <v>學習周邊</v>
      </c>
      <c r="B46" t="s">
        <v>110</v>
      </c>
      <c r="C46" s="11" t="s">
        <v>328</v>
      </c>
      <c r="D46" s="26">
        <v>1</v>
      </c>
      <c r="E46" s="26">
        <v>189.52380952380952</v>
      </c>
      <c r="F46" s="26" t="s">
        <v>309</v>
      </c>
    </row>
    <row r="47" spans="1:6">
      <c r="A47" t="str">
        <f>IFERROR(VLOOKUP(B47,[1]銷貨單品號主檔!$A:$D,4,0),"學習周邊")</f>
        <v>學習周邊</v>
      </c>
      <c r="B47" t="s">
        <v>110</v>
      </c>
      <c r="C47" s="11" t="s">
        <v>329</v>
      </c>
      <c r="D47" s="26">
        <v>1</v>
      </c>
      <c r="E47" s="26">
        <v>189.52380952380952</v>
      </c>
      <c r="F47" s="26" t="s">
        <v>309</v>
      </c>
    </row>
    <row r="48" spans="1:6">
      <c r="A48" t="str">
        <f>IFERROR(VLOOKUP(B48,[1]銷貨單品號主檔!$A:$D,4,0),"學習周邊")</f>
        <v>學習周邊</v>
      </c>
      <c r="B48" t="s">
        <v>110</v>
      </c>
      <c r="C48" s="11" t="s">
        <v>353</v>
      </c>
      <c r="D48" s="26">
        <v>2</v>
      </c>
      <c r="E48" s="26">
        <v>379.04761904761904</v>
      </c>
      <c r="F48" s="26" t="s">
        <v>309</v>
      </c>
    </row>
    <row r="49" spans="1:6">
      <c r="A49" t="str">
        <f>IFERROR(VLOOKUP(B49,[1]銷貨單品號主檔!$A:$D,4,0),"學習周邊")</f>
        <v>學習周邊</v>
      </c>
      <c r="B49" t="s">
        <v>113</v>
      </c>
      <c r="C49" s="11" t="s">
        <v>56</v>
      </c>
      <c r="D49" s="26">
        <v>1</v>
      </c>
      <c r="E49" s="26">
        <v>200</v>
      </c>
      <c r="F49" s="26" t="s">
        <v>309</v>
      </c>
    </row>
    <row r="50" spans="1:6">
      <c r="A50" t="str">
        <f>IFERROR(VLOOKUP(B50,[1]銷貨單品號主檔!$A:$D,4,0),"學習周邊")</f>
        <v>學習周邊</v>
      </c>
      <c r="B50" t="s">
        <v>113</v>
      </c>
      <c r="C50" s="11" t="s">
        <v>60</v>
      </c>
      <c r="D50" s="26">
        <v>1</v>
      </c>
      <c r="E50" s="26">
        <v>200</v>
      </c>
      <c r="F50" s="26" t="s">
        <v>309</v>
      </c>
    </row>
    <row r="51" spans="1:6">
      <c r="A51" t="str">
        <f>IFERROR(VLOOKUP(B51,[1]銷貨單品號主檔!$A:$D,4,0),"學習周邊")</f>
        <v>學習周邊</v>
      </c>
      <c r="B51" t="s">
        <v>113</v>
      </c>
      <c r="C51" s="11" t="s">
        <v>65</v>
      </c>
      <c r="D51" s="26">
        <v>1</v>
      </c>
      <c r="E51" s="26">
        <v>200</v>
      </c>
      <c r="F51" s="26" t="s">
        <v>309</v>
      </c>
    </row>
    <row r="52" spans="1:6">
      <c r="A52" t="str">
        <f>IFERROR(VLOOKUP(B52,[1]銷貨單品號主檔!$A:$D,4,0),"學習周邊")</f>
        <v>學習周邊</v>
      </c>
      <c r="B52" t="s">
        <v>113</v>
      </c>
      <c r="C52" s="11" t="s">
        <v>66</v>
      </c>
      <c r="D52" s="26">
        <v>1</v>
      </c>
      <c r="E52" s="26">
        <v>200</v>
      </c>
      <c r="F52" s="26" t="s">
        <v>309</v>
      </c>
    </row>
    <row r="53" spans="1:6">
      <c r="A53" t="str">
        <f>IFERROR(VLOOKUP(B53,[1]銷貨單品號主檔!$A:$D,4,0),"學習周邊")</f>
        <v>學習周邊</v>
      </c>
      <c r="B53" t="s">
        <v>113</v>
      </c>
      <c r="C53" s="11" t="s">
        <v>88</v>
      </c>
      <c r="D53" s="26">
        <v>1</v>
      </c>
      <c r="E53" s="26">
        <v>200</v>
      </c>
      <c r="F53" s="26" t="s">
        <v>309</v>
      </c>
    </row>
    <row r="54" spans="1:6">
      <c r="A54" t="str">
        <f>IFERROR(VLOOKUP(B54,[1]銷貨單品號主檔!$A:$D,4,0),"學習周邊")</f>
        <v>學習周邊</v>
      </c>
      <c r="B54" t="s">
        <v>113</v>
      </c>
      <c r="C54" s="11" t="s">
        <v>108</v>
      </c>
      <c r="D54" s="26">
        <v>1</v>
      </c>
      <c r="E54" s="26">
        <v>200</v>
      </c>
      <c r="F54" s="26" t="s">
        <v>309</v>
      </c>
    </row>
    <row r="55" spans="1:6">
      <c r="A55" t="str">
        <f>IFERROR(VLOOKUP(B55,[1]銷貨單品號主檔!$A:$D,4,0),"學習周邊")</f>
        <v>學習周邊</v>
      </c>
      <c r="B55" t="s">
        <v>113</v>
      </c>
      <c r="C55" s="11" t="s">
        <v>330</v>
      </c>
      <c r="D55" s="26">
        <v>1</v>
      </c>
      <c r="E55" s="26">
        <v>200</v>
      </c>
      <c r="F55" s="26" t="s">
        <v>309</v>
      </c>
    </row>
    <row r="56" spans="1:6">
      <c r="A56" t="str">
        <f>IFERROR(VLOOKUP(B56,[1]銷貨單品號主檔!$A:$D,4,0),"學習周邊")</f>
        <v>學習周邊</v>
      </c>
      <c r="B56" t="s">
        <v>113</v>
      </c>
      <c r="C56" s="11" t="s">
        <v>353</v>
      </c>
      <c r="D56" s="26">
        <v>1</v>
      </c>
      <c r="E56" s="26">
        <v>200</v>
      </c>
      <c r="F56" s="26" t="s">
        <v>309</v>
      </c>
    </row>
    <row r="57" spans="1:6">
      <c r="A57" t="str">
        <f>IFERROR(VLOOKUP(B57,[1]銷貨單品號主檔!$A:$D,4,0),"學習周邊")</f>
        <v>學習</v>
      </c>
      <c r="B57" t="s">
        <v>118</v>
      </c>
      <c r="C57" s="11" t="s">
        <v>65</v>
      </c>
      <c r="D57" s="26">
        <v>3</v>
      </c>
      <c r="E57" s="26">
        <v>6282.8571428571422</v>
      </c>
      <c r="F57" s="26" t="s">
        <v>309</v>
      </c>
    </row>
    <row r="58" spans="1:6">
      <c r="A58" t="str">
        <f>IFERROR(VLOOKUP(B58,[1]銷貨單品號主檔!$A:$D,4,0),"學習周邊")</f>
        <v>學習</v>
      </c>
      <c r="B58" t="s">
        <v>118</v>
      </c>
      <c r="C58" s="11" t="s">
        <v>67</v>
      </c>
      <c r="D58" s="26">
        <v>2</v>
      </c>
      <c r="E58" s="26">
        <v>4188.5714285714284</v>
      </c>
      <c r="F58" s="26" t="s">
        <v>309</v>
      </c>
    </row>
    <row r="59" spans="1:6">
      <c r="A59" t="str">
        <f>IFERROR(VLOOKUP(B59,[1]銷貨單品號主檔!$A:$D,4,0),"學習周邊")</f>
        <v>學習</v>
      </c>
      <c r="B59" t="s">
        <v>118</v>
      </c>
      <c r="C59" s="11" t="s">
        <v>107</v>
      </c>
      <c r="D59" s="26">
        <v>1</v>
      </c>
      <c r="E59" s="26">
        <v>2094.2857142857142</v>
      </c>
      <c r="F59" s="26" t="s">
        <v>309</v>
      </c>
    </row>
    <row r="60" spans="1:6">
      <c r="A60" t="str">
        <f>IFERROR(VLOOKUP(B60,[1]銷貨單品號主檔!$A:$D,4,0),"學習周邊")</f>
        <v>學習</v>
      </c>
      <c r="B60" t="s">
        <v>118</v>
      </c>
      <c r="C60" s="11" t="s">
        <v>78</v>
      </c>
      <c r="D60" s="26">
        <v>3</v>
      </c>
      <c r="E60" s="26">
        <v>6282.8571428571422</v>
      </c>
      <c r="F60" s="26" t="s">
        <v>309</v>
      </c>
    </row>
    <row r="61" spans="1:6">
      <c r="A61" t="str">
        <f>IFERROR(VLOOKUP(B61,[1]銷貨單品號主檔!$A:$D,4,0),"學習周邊")</f>
        <v>學習</v>
      </c>
      <c r="B61" t="s">
        <v>118</v>
      </c>
      <c r="C61" s="11" t="s">
        <v>88</v>
      </c>
      <c r="D61" s="26">
        <v>3</v>
      </c>
      <c r="E61" s="26">
        <v>6282.8571428571422</v>
      </c>
      <c r="F61" s="26" t="s">
        <v>309</v>
      </c>
    </row>
    <row r="62" spans="1:6">
      <c r="A62" t="str">
        <f>IFERROR(VLOOKUP(B62,[1]銷貨單品號主檔!$A:$D,4,0),"學習周邊")</f>
        <v>學習</v>
      </c>
      <c r="B62" t="s">
        <v>118</v>
      </c>
      <c r="C62" s="11" t="s">
        <v>108</v>
      </c>
      <c r="D62" s="26">
        <v>1</v>
      </c>
      <c r="E62" s="26">
        <v>2094.2857142857142</v>
      </c>
      <c r="F62" s="26" t="s">
        <v>309</v>
      </c>
    </row>
    <row r="63" spans="1:6">
      <c r="A63" t="str">
        <f>IFERROR(VLOOKUP(B63,[1]銷貨單品號主檔!$A:$D,4,0),"學習周邊")</f>
        <v>學習</v>
      </c>
      <c r="B63" t="s">
        <v>118</v>
      </c>
      <c r="C63" s="11" t="s">
        <v>332</v>
      </c>
      <c r="D63" s="26">
        <v>3</v>
      </c>
      <c r="E63" s="26">
        <v>6282.8571428571422</v>
      </c>
      <c r="F63" s="26" t="s">
        <v>309</v>
      </c>
    </row>
    <row r="64" spans="1:6">
      <c r="A64" t="str">
        <f>IFERROR(VLOOKUP(B64,[1]銷貨單品號主檔!$A:$D,4,0),"學習周邊")</f>
        <v>學習</v>
      </c>
      <c r="B64" t="s">
        <v>118</v>
      </c>
      <c r="C64" s="11" t="s">
        <v>331</v>
      </c>
      <c r="D64" s="26">
        <v>1</v>
      </c>
      <c r="E64" s="26">
        <v>2094.2857142857142</v>
      </c>
      <c r="F64" s="26" t="s">
        <v>309</v>
      </c>
    </row>
    <row r="65" spans="1:6">
      <c r="A65" t="str">
        <f>IFERROR(VLOOKUP(B65,[1]銷貨單品號主檔!$A:$D,4,0),"學習周邊")</f>
        <v>學習</v>
      </c>
      <c r="B65" t="s">
        <v>118</v>
      </c>
      <c r="C65" s="11" t="s">
        <v>349</v>
      </c>
      <c r="D65" s="26">
        <v>1</v>
      </c>
      <c r="E65" s="26">
        <v>2094.2857142857142</v>
      </c>
      <c r="F65" s="26" t="s">
        <v>309</v>
      </c>
    </row>
    <row r="66" spans="1:6">
      <c r="A66" t="str">
        <f>IFERROR(VLOOKUP(B66,[1]銷貨單品號主檔!$A:$D,4,0),"學習周邊")</f>
        <v>學習</v>
      </c>
      <c r="B66" t="s">
        <v>118</v>
      </c>
      <c r="C66" s="11" t="s">
        <v>354</v>
      </c>
      <c r="D66" s="26">
        <v>1</v>
      </c>
      <c r="E66" s="26">
        <v>2094.2857142857142</v>
      </c>
      <c r="F66" s="26" t="s">
        <v>309</v>
      </c>
    </row>
    <row r="67" spans="1:6">
      <c r="A67" t="str">
        <f>IFERROR(VLOOKUP(B67,[1]銷貨單品號主檔!$A:$D,4,0),"學習周邊")</f>
        <v>學習周邊</v>
      </c>
      <c r="B67" t="s">
        <v>120</v>
      </c>
      <c r="C67" s="11" t="s">
        <v>56</v>
      </c>
      <c r="D67" s="26">
        <v>1</v>
      </c>
      <c r="E67" s="26">
        <v>665.71428571428567</v>
      </c>
      <c r="F67" s="26" t="s">
        <v>309</v>
      </c>
    </row>
    <row r="68" spans="1:6">
      <c r="A68" t="str">
        <f>IFERROR(VLOOKUP(B68,[1]銷貨單品號主檔!$A:$D,4,0),"學習周邊")</f>
        <v>學習周邊</v>
      </c>
      <c r="B68" t="s">
        <v>120</v>
      </c>
      <c r="C68" s="11" t="s">
        <v>60</v>
      </c>
      <c r="D68" s="26">
        <v>1</v>
      </c>
      <c r="E68" s="26">
        <v>665.71428571428567</v>
      </c>
      <c r="F68" s="26" t="s">
        <v>309</v>
      </c>
    </row>
    <row r="69" spans="1:6">
      <c r="A69" t="str">
        <f>IFERROR(VLOOKUP(B69,[1]銷貨單品號主檔!$A:$D,4,0),"學習周邊")</f>
        <v>學習周邊</v>
      </c>
      <c r="B69" t="s">
        <v>120</v>
      </c>
      <c r="C69" s="11" t="s">
        <v>65</v>
      </c>
      <c r="D69" s="26">
        <v>2</v>
      </c>
      <c r="E69" s="26">
        <v>1331.4285714285713</v>
      </c>
      <c r="F69" s="26" t="s">
        <v>309</v>
      </c>
    </row>
    <row r="70" spans="1:6">
      <c r="A70" t="str">
        <f>IFERROR(VLOOKUP(B70,[1]銷貨單品號主檔!$A:$D,4,0),"學習周邊")</f>
        <v>學習周邊</v>
      </c>
      <c r="B70" t="s">
        <v>120</v>
      </c>
      <c r="C70" s="11" t="s">
        <v>66</v>
      </c>
      <c r="D70" s="26">
        <v>3</v>
      </c>
      <c r="E70" s="26">
        <v>1997.1428571428571</v>
      </c>
      <c r="F70" s="26" t="s">
        <v>309</v>
      </c>
    </row>
    <row r="71" spans="1:6">
      <c r="A71" t="str">
        <f>IFERROR(VLOOKUP(B71,[1]銷貨單品號主檔!$A:$D,4,0),"學習周邊")</f>
        <v>學習周邊</v>
      </c>
      <c r="B71" t="s">
        <v>120</v>
      </c>
      <c r="C71" s="11" t="s">
        <v>81</v>
      </c>
      <c r="D71" s="26">
        <v>1</v>
      </c>
      <c r="E71" s="26">
        <v>665.71428571428567</v>
      </c>
      <c r="F71" s="26" t="s">
        <v>309</v>
      </c>
    </row>
    <row r="72" spans="1:6">
      <c r="A72" t="str">
        <f>IFERROR(VLOOKUP(B72,[1]銷貨單品號主檔!$A:$D,4,0),"學習周邊")</f>
        <v>學習周邊</v>
      </c>
      <c r="B72" t="s">
        <v>120</v>
      </c>
      <c r="C72" s="11" t="s">
        <v>88</v>
      </c>
      <c r="D72" s="26">
        <v>1</v>
      </c>
      <c r="E72" s="26">
        <v>665.71428571428567</v>
      </c>
      <c r="F72" s="26" t="s">
        <v>309</v>
      </c>
    </row>
    <row r="73" spans="1:6">
      <c r="A73" t="str">
        <f>IFERROR(VLOOKUP(B73,[1]銷貨單品號主檔!$A:$D,4,0),"學習周邊")</f>
        <v>學習周邊</v>
      </c>
      <c r="B73" t="s">
        <v>120</v>
      </c>
      <c r="C73" s="11" t="s">
        <v>108</v>
      </c>
      <c r="D73" s="26">
        <v>2</v>
      </c>
      <c r="E73" s="26">
        <v>1331.4285714285713</v>
      </c>
      <c r="F73" s="26" t="s">
        <v>309</v>
      </c>
    </row>
    <row r="74" spans="1:6">
      <c r="A74" t="str">
        <f>IFERROR(VLOOKUP(B74,[1]銷貨單品號主檔!$A:$D,4,0),"學習周邊")</f>
        <v>學習周邊</v>
      </c>
      <c r="B74" t="s">
        <v>120</v>
      </c>
      <c r="C74" s="11" t="s">
        <v>53</v>
      </c>
      <c r="D74" s="26">
        <v>1</v>
      </c>
      <c r="E74" s="26">
        <v>665.71428571428567</v>
      </c>
      <c r="F74" s="26" t="s">
        <v>309</v>
      </c>
    </row>
    <row r="75" spans="1:6">
      <c r="A75" t="str">
        <f>IFERROR(VLOOKUP(B75,[1]銷貨單品號主檔!$A:$D,4,0),"學習周邊")</f>
        <v>學習周邊</v>
      </c>
      <c r="B75" t="s">
        <v>120</v>
      </c>
      <c r="C75" s="11" t="s">
        <v>92</v>
      </c>
      <c r="D75" s="26">
        <v>1</v>
      </c>
      <c r="E75" s="26">
        <v>665.71428571428567</v>
      </c>
      <c r="F75" s="26" t="s">
        <v>309</v>
      </c>
    </row>
    <row r="76" spans="1:6">
      <c r="A76" t="str">
        <f>IFERROR(VLOOKUP(B76,[1]銷貨單品號主檔!$A:$D,4,0),"學習周邊")</f>
        <v>學習周邊</v>
      </c>
      <c r="B76" t="s">
        <v>120</v>
      </c>
      <c r="C76" s="11" t="s">
        <v>326</v>
      </c>
      <c r="D76" s="26">
        <v>3</v>
      </c>
      <c r="E76" s="26">
        <v>1997.1428571428571</v>
      </c>
      <c r="F76" s="26" t="s">
        <v>309</v>
      </c>
    </row>
    <row r="77" spans="1:6">
      <c r="A77" t="str">
        <f>IFERROR(VLOOKUP(B77,[1]銷貨單品號主檔!$A:$D,4,0),"學習周邊")</f>
        <v>學習周邊</v>
      </c>
      <c r="B77" t="s">
        <v>120</v>
      </c>
      <c r="C77" s="11" t="s">
        <v>331</v>
      </c>
      <c r="D77" s="26">
        <v>1</v>
      </c>
      <c r="E77" s="26">
        <v>665.71428571428567</v>
      </c>
      <c r="F77" s="26" t="s">
        <v>309</v>
      </c>
    </row>
    <row r="78" spans="1:6">
      <c r="A78" t="str">
        <f>IFERROR(VLOOKUP(B78,[1]銷貨單品號主檔!$A:$D,4,0),"學習周邊")</f>
        <v>學習周邊</v>
      </c>
      <c r="B78" t="s">
        <v>120</v>
      </c>
      <c r="C78" s="11" t="s">
        <v>349</v>
      </c>
      <c r="D78" s="26">
        <v>1</v>
      </c>
      <c r="E78" s="26">
        <v>665.71428571428567</v>
      </c>
      <c r="F78" s="26" t="s">
        <v>309</v>
      </c>
    </row>
    <row r="79" spans="1:6">
      <c r="A79" t="str">
        <f>IFERROR(VLOOKUP(B79,[1]銷貨單品號主檔!$A:$D,4,0),"學習周邊")</f>
        <v>學習周邊</v>
      </c>
      <c r="B79" t="s">
        <v>123</v>
      </c>
      <c r="C79" s="11" t="s">
        <v>65</v>
      </c>
      <c r="D79" s="26">
        <v>1</v>
      </c>
      <c r="E79" s="26">
        <v>85.714285714285708</v>
      </c>
      <c r="F79" s="26" t="s">
        <v>309</v>
      </c>
    </row>
    <row r="80" spans="1:6">
      <c r="A80" t="str">
        <f>IFERROR(VLOOKUP(B80,[1]銷貨單品號主檔!$A:$D,4,0),"學習周邊")</f>
        <v>生活周邊</v>
      </c>
      <c r="B80" t="s">
        <v>125</v>
      </c>
      <c r="C80" s="11" t="s">
        <v>72</v>
      </c>
      <c r="D80" s="26">
        <v>2</v>
      </c>
      <c r="E80" s="26">
        <v>189.52380952380952</v>
      </c>
      <c r="F80" s="26" t="s">
        <v>309</v>
      </c>
    </row>
    <row r="81" spans="1:6">
      <c r="A81" t="str">
        <f>IFERROR(VLOOKUP(B81,[1]銷貨單品號主檔!$A:$D,4,0),"學習周邊")</f>
        <v>生活周邊</v>
      </c>
      <c r="B81" t="s">
        <v>125</v>
      </c>
      <c r="C81" s="11" t="s">
        <v>85</v>
      </c>
      <c r="D81" s="26">
        <v>2</v>
      </c>
      <c r="E81" s="26">
        <v>189.52380952380952</v>
      </c>
      <c r="F81" s="26" t="s">
        <v>309</v>
      </c>
    </row>
    <row r="82" spans="1:6">
      <c r="A82" t="str">
        <f>IFERROR(VLOOKUP(B82,[1]銷貨單品號主檔!$A:$D,4,0),"學習周邊")</f>
        <v>生活周邊</v>
      </c>
      <c r="B82" t="s">
        <v>125</v>
      </c>
      <c r="C82" s="11" t="s">
        <v>332</v>
      </c>
      <c r="D82" s="26">
        <v>2</v>
      </c>
      <c r="E82" s="26">
        <v>189.52380952380952</v>
      </c>
      <c r="F82" s="26" t="s">
        <v>309</v>
      </c>
    </row>
    <row r="83" spans="1:6">
      <c r="A83" t="str">
        <f>IFERROR(VLOOKUP(B83,[1]銷貨單品號主檔!$A:$D,4,0),"學習周邊")</f>
        <v>學習周邊</v>
      </c>
      <c r="B83" t="s">
        <v>115</v>
      </c>
      <c r="C83" s="11" t="s">
        <v>56</v>
      </c>
      <c r="D83" s="26">
        <v>1</v>
      </c>
      <c r="E83" s="26">
        <v>570.47619047619048</v>
      </c>
      <c r="F83" s="26" t="s">
        <v>309</v>
      </c>
    </row>
    <row r="84" spans="1:6">
      <c r="A84" t="str">
        <f>IFERROR(VLOOKUP(B84,[1]銷貨單品號主檔!$A:$D,4,0),"學習周邊")</f>
        <v>學習周邊</v>
      </c>
      <c r="B84" t="s">
        <v>115</v>
      </c>
      <c r="C84" s="11" t="s">
        <v>65</v>
      </c>
      <c r="D84" s="26">
        <v>1</v>
      </c>
      <c r="E84" s="26">
        <v>570.47619047619048</v>
      </c>
      <c r="F84" s="26" t="s">
        <v>309</v>
      </c>
    </row>
    <row r="85" spans="1:6">
      <c r="A85" t="str">
        <f>IFERROR(VLOOKUP(B85,[1]銷貨單品號主檔!$A:$D,4,0),"學習周邊")</f>
        <v>學習周邊</v>
      </c>
      <c r="B85" t="s">
        <v>115</v>
      </c>
      <c r="C85" s="11" t="s">
        <v>107</v>
      </c>
      <c r="D85" s="26">
        <v>1</v>
      </c>
      <c r="E85" s="26">
        <v>570.47619047619048</v>
      </c>
      <c r="F85" s="26" t="s">
        <v>309</v>
      </c>
    </row>
    <row r="86" spans="1:6">
      <c r="A86" t="str">
        <f>IFERROR(VLOOKUP(B86,[1]銷貨單品號主檔!$A:$D,4,0),"學習周邊")</f>
        <v>學習周邊</v>
      </c>
      <c r="B86" t="s">
        <v>115</v>
      </c>
      <c r="C86" s="11" t="s">
        <v>90</v>
      </c>
      <c r="D86" s="26">
        <v>1</v>
      </c>
      <c r="E86" s="26">
        <v>570.47619047619048</v>
      </c>
      <c r="F86" s="26" t="s">
        <v>309</v>
      </c>
    </row>
    <row r="87" spans="1:6">
      <c r="A87" t="str">
        <f>IFERROR(VLOOKUP(B87,[1]銷貨單品號主檔!$A:$D,4,0),"學習周邊")</f>
        <v>學習周邊</v>
      </c>
      <c r="B87" t="s">
        <v>115</v>
      </c>
      <c r="C87" s="11" t="s">
        <v>88</v>
      </c>
      <c r="D87" s="26">
        <v>2</v>
      </c>
      <c r="E87" s="26">
        <v>1140.952380952381</v>
      </c>
      <c r="F87" s="26" t="s">
        <v>309</v>
      </c>
    </row>
    <row r="88" spans="1:6">
      <c r="A88" t="str">
        <f>IFERROR(VLOOKUP(B88,[1]銷貨單品號主檔!$A:$D,4,0),"學習周邊")</f>
        <v>學習周邊</v>
      </c>
      <c r="B88" t="s">
        <v>115</v>
      </c>
      <c r="C88" s="11" t="s">
        <v>329</v>
      </c>
      <c r="D88" s="26">
        <v>2</v>
      </c>
      <c r="E88" s="26">
        <v>1140.952380952381</v>
      </c>
      <c r="F88" s="26" t="s">
        <v>309</v>
      </c>
    </row>
    <row r="89" spans="1:6">
      <c r="A89" t="str">
        <f>IFERROR(VLOOKUP(B89,[1]銷貨單品號主檔!$A:$D,4,0),"學習周邊")</f>
        <v>學習周邊</v>
      </c>
      <c r="B89" t="s">
        <v>115</v>
      </c>
      <c r="C89" s="11" t="s">
        <v>354</v>
      </c>
      <c r="D89" s="26">
        <v>1</v>
      </c>
      <c r="E89" s="26">
        <v>570.47619047619048</v>
      </c>
      <c r="F89" s="26" t="s">
        <v>309</v>
      </c>
    </row>
    <row r="90" spans="1:6">
      <c r="A90" t="str">
        <f>IFERROR(VLOOKUP(B90,[1]銷貨單品號主檔!$A:$D,4,0),"學習周邊")</f>
        <v>生活周邊</v>
      </c>
      <c r="B90" t="s">
        <v>128</v>
      </c>
      <c r="C90" s="11" t="s">
        <v>62</v>
      </c>
      <c r="D90" s="26">
        <v>1</v>
      </c>
      <c r="E90" s="26">
        <v>760.95238095238096</v>
      </c>
      <c r="F90" s="26" t="s">
        <v>309</v>
      </c>
    </row>
    <row r="91" spans="1:6">
      <c r="A91" t="str">
        <f>IFERROR(VLOOKUP(B91,[1]銷貨單品號主檔!$A:$D,4,0),"學習周邊")</f>
        <v>生活周邊</v>
      </c>
      <c r="B91" t="s">
        <v>129</v>
      </c>
      <c r="C91" s="11" t="s">
        <v>62</v>
      </c>
      <c r="D91" s="26">
        <v>1</v>
      </c>
      <c r="E91" s="26">
        <v>570.47619047619048</v>
      </c>
      <c r="F91" s="26" t="s">
        <v>309</v>
      </c>
    </row>
    <row r="92" spans="1:6">
      <c r="A92" t="str">
        <f>IFERROR(VLOOKUP(B92,[1]銷貨單品號主檔!$A:$D,4,0),"學習周邊")</f>
        <v>生活周邊</v>
      </c>
      <c r="B92" t="s">
        <v>129</v>
      </c>
      <c r="C92" s="11" t="s">
        <v>72</v>
      </c>
      <c r="D92" s="26">
        <v>1</v>
      </c>
      <c r="E92" s="26">
        <v>570.47619047619048</v>
      </c>
      <c r="F92" s="26" t="s">
        <v>309</v>
      </c>
    </row>
    <row r="93" spans="1:6">
      <c r="A93" t="str">
        <f>IFERROR(VLOOKUP(B93,[1]銷貨單品號主檔!$A:$D,4,0),"學習周邊")</f>
        <v>生活周邊</v>
      </c>
      <c r="B93" t="s">
        <v>129</v>
      </c>
      <c r="C93" s="11" t="s">
        <v>83</v>
      </c>
      <c r="D93" s="26">
        <v>1</v>
      </c>
      <c r="E93" s="26">
        <v>570.47619047619048</v>
      </c>
      <c r="F93" s="26" t="s">
        <v>309</v>
      </c>
    </row>
    <row r="94" spans="1:6">
      <c r="A94" t="str">
        <f>IFERROR(VLOOKUP(B94,[1]銷貨單品號主檔!$A:$D,4,0),"學習周邊")</f>
        <v>生活周邊</v>
      </c>
      <c r="B94" t="s">
        <v>129</v>
      </c>
      <c r="C94" s="11" t="s">
        <v>108</v>
      </c>
      <c r="D94" s="26">
        <v>1</v>
      </c>
      <c r="E94" s="26">
        <v>570.47619047619048</v>
      </c>
      <c r="F94" s="26" t="s">
        <v>309</v>
      </c>
    </row>
    <row r="95" spans="1:6">
      <c r="A95" t="str">
        <f>IFERROR(VLOOKUP(B95,[1]銷貨單品號主檔!$A:$D,4,0),"學習周邊")</f>
        <v>生活周邊</v>
      </c>
      <c r="B95" t="s">
        <v>129</v>
      </c>
      <c r="C95" s="11" t="s">
        <v>92</v>
      </c>
      <c r="D95" s="26">
        <v>1</v>
      </c>
      <c r="E95" s="26">
        <v>570.47619047619048</v>
      </c>
      <c r="F95" s="26" t="s">
        <v>309</v>
      </c>
    </row>
    <row r="96" spans="1:6">
      <c r="A96" t="str">
        <f>IFERROR(VLOOKUP(B96,[1]銷貨單品號主檔!$A:$D,4,0),"學習周邊")</f>
        <v>學習</v>
      </c>
      <c r="B96" t="s">
        <v>132</v>
      </c>
      <c r="C96" s="11" t="s">
        <v>56</v>
      </c>
      <c r="D96" s="26">
        <v>1</v>
      </c>
      <c r="E96" s="26">
        <v>3047.6190476190477</v>
      </c>
      <c r="F96" s="26" t="s">
        <v>309</v>
      </c>
    </row>
    <row r="97" spans="1:6">
      <c r="A97" t="str">
        <f>IFERROR(VLOOKUP(B97,[1]銷貨單品號主檔!$A:$D,4,0),"學習周邊")</f>
        <v>學習</v>
      </c>
      <c r="B97" t="s">
        <v>132</v>
      </c>
      <c r="C97" s="11" t="s">
        <v>65</v>
      </c>
      <c r="D97" s="26">
        <v>5</v>
      </c>
      <c r="E97" s="26">
        <v>15238.095238095237</v>
      </c>
      <c r="F97" s="26" t="s">
        <v>309</v>
      </c>
    </row>
    <row r="98" spans="1:6">
      <c r="A98" t="str">
        <f>IFERROR(VLOOKUP(B98,[1]銷貨單品號主檔!$A:$D,4,0),"學習周邊")</f>
        <v>學習</v>
      </c>
      <c r="B98" t="s">
        <v>132</v>
      </c>
      <c r="C98" s="11" t="s">
        <v>67</v>
      </c>
      <c r="D98" s="26">
        <v>1</v>
      </c>
      <c r="E98" s="26">
        <v>3047.6190476190477</v>
      </c>
      <c r="F98" s="26" t="s">
        <v>309</v>
      </c>
    </row>
    <row r="99" spans="1:6">
      <c r="A99" t="str">
        <f>IFERROR(VLOOKUP(B99,[1]銷貨單品號主檔!$A:$D,4,0),"學習周邊")</f>
        <v>學習</v>
      </c>
      <c r="B99" t="s">
        <v>132</v>
      </c>
      <c r="C99" s="11" t="s">
        <v>72</v>
      </c>
      <c r="D99" s="26">
        <v>2</v>
      </c>
      <c r="E99" s="26">
        <v>6095.2380952380954</v>
      </c>
      <c r="F99" s="26" t="s">
        <v>309</v>
      </c>
    </row>
    <row r="100" spans="1:6">
      <c r="A100" t="str">
        <f>IFERROR(VLOOKUP(B100,[1]銷貨單品號主檔!$A:$D,4,0),"學習周邊")</f>
        <v>學習</v>
      </c>
      <c r="B100" t="s">
        <v>132</v>
      </c>
      <c r="C100" s="11" t="s">
        <v>78</v>
      </c>
      <c r="D100" s="26">
        <v>1</v>
      </c>
      <c r="E100" s="26">
        <v>3047.6190476190477</v>
      </c>
      <c r="F100" s="26" t="s">
        <v>309</v>
      </c>
    </row>
    <row r="101" spans="1:6">
      <c r="A101" t="str">
        <f>IFERROR(VLOOKUP(B101,[1]銷貨單品號主檔!$A:$D,4,0),"學習周邊")</f>
        <v>學習</v>
      </c>
      <c r="B101" t="s">
        <v>132</v>
      </c>
      <c r="C101" s="11" t="s">
        <v>88</v>
      </c>
      <c r="D101" s="26">
        <v>2</v>
      </c>
      <c r="E101" s="26">
        <v>6095.2380952380954</v>
      </c>
      <c r="F101" s="26" t="s">
        <v>309</v>
      </c>
    </row>
    <row r="102" spans="1:6">
      <c r="A102" t="str">
        <f>IFERROR(VLOOKUP(B102,[1]銷貨單品號主檔!$A:$D,4,0),"學習周邊")</f>
        <v>學習</v>
      </c>
      <c r="B102" t="s">
        <v>132</v>
      </c>
      <c r="C102" s="11" t="s">
        <v>108</v>
      </c>
      <c r="D102" s="26">
        <v>1</v>
      </c>
      <c r="E102" s="26">
        <v>3047.6190476190477</v>
      </c>
      <c r="F102" s="26" t="s">
        <v>309</v>
      </c>
    </row>
    <row r="103" spans="1:6">
      <c r="A103" t="str">
        <f>IFERROR(VLOOKUP(B103,[1]銷貨單品號主檔!$A:$D,4,0),"學習周邊")</f>
        <v>學習</v>
      </c>
      <c r="B103" t="s">
        <v>132</v>
      </c>
      <c r="C103" s="11" t="s">
        <v>92</v>
      </c>
      <c r="D103" s="26">
        <v>1</v>
      </c>
      <c r="E103" s="26">
        <v>3047.6190476190477</v>
      </c>
      <c r="F103" s="26" t="s">
        <v>309</v>
      </c>
    </row>
    <row r="104" spans="1:6">
      <c r="A104" t="str">
        <f>IFERROR(VLOOKUP(B104,[1]銷貨單品號主檔!$A:$D,4,0),"學習周邊")</f>
        <v>學習</v>
      </c>
      <c r="B104" t="s">
        <v>132</v>
      </c>
      <c r="C104" s="11" t="s">
        <v>332</v>
      </c>
      <c r="D104" s="26">
        <v>1</v>
      </c>
      <c r="E104" s="26">
        <v>3047.6190476190477</v>
      </c>
      <c r="F104" s="26" t="s">
        <v>309</v>
      </c>
    </row>
    <row r="105" spans="1:6">
      <c r="A105" t="str">
        <f>IFERROR(VLOOKUP(B105,[1]銷貨單品號主檔!$A:$D,4,0),"學習周邊")</f>
        <v>學習</v>
      </c>
      <c r="B105" t="s">
        <v>138</v>
      </c>
      <c r="C105" s="11" t="s">
        <v>81</v>
      </c>
      <c r="D105" s="26">
        <v>1</v>
      </c>
      <c r="E105" s="26">
        <v>2283.8095238095239</v>
      </c>
      <c r="F105" s="26" t="s">
        <v>309</v>
      </c>
    </row>
    <row r="106" spans="1:6">
      <c r="A106" t="str">
        <f>IFERROR(VLOOKUP(B106,[1]銷貨單品號主檔!$A:$D,4,0),"學習周邊")</f>
        <v>學習</v>
      </c>
      <c r="B106" t="s">
        <v>138</v>
      </c>
      <c r="C106" s="11" t="s">
        <v>332</v>
      </c>
      <c r="D106" s="26">
        <v>2</v>
      </c>
      <c r="E106" s="26">
        <v>4567.6190476190477</v>
      </c>
      <c r="F106" s="26" t="s">
        <v>309</v>
      </c>
    </row>
    <row r="107" spans="1:6">
      <c r="A107" t="str">
        <f>IFERROR(VLOOKUP(B107,[1]銷貨單品號主檔!$A:$D,4,0),"學習周邊")</f>
        <v>學習周邊</v>
      </c>
      <c r="B107" t="s">
        <v>139</v>
      </c>
      <c r="C107" s="11" t="s">
        <v>65</v>
      </c>
      <c r="D107" s="26">
        <v>3</v>
      </c>
      <c r="E107" s="26">
        <v>322.85714285714283</v>
      </c>
      <c r="F107" s="26" t="s">
        <v>309</v>
      </c>
    </row>
    <row r="108" spans="1:6">
      <c r="A108" t="str">
        <f>IFERROR(VLOOKUP(B108,[1]銷貨單品號主檔!$A:$D,4,0),"學習周邊")</f>
        <v>學習周邊</v>
      </c>
      <c r="B108" t="s">
        <v>139</v>
      </c>
      <c r="C108" s="11" t="s">
        <v>73</v>
      </c>
      <c r="D108" s="26">
        <v>1</v>
      </c>
      <c r="E108" s="26">
        <v>107.61904761904762</v>
      </c>
      <c r="F108" s="26" t="s">
        <v>309</v>
      </c>
    </row>
    <row r="109" spans="1:6">
      <c r="A109" t="str">
        <f>IFERROR(VLOOKUP(B109,[1]銷貨單品號主檔!$A:$D,4,0),"學習周邊")</f>
        <v>學習周邊</v>
      </c>
      <c r="B109" t="s">
        <v>139</v>
      </c>
      <c r="C109" s="11" t="s">
        <v>87</v>
      </c>
      <c r="D109" s="26">
        <v>1</v>
      </c>
      <c r="E109" s="26">
        <v>142.85714285714286</v>
      </c>
      <c r="F109" s="26" t="s">
        <v>309</v>
      </c>
    </row>
    <row r="110" spans="1:6">
      <c r="A110" t="str">
        <f>IFERROR(VLOOKUP(B110,[1]銷貨單品號主檔!$A:$D,4,0),"學習周邊")</f>
        <v>生活周邊</v>
      </c>
      <c r="B110" t="s">
        <v>257</v>
      </c>
      <c r="C110" s="11" t="s">
        <v>329</v>
      </c>
      <c r="D110" s="26">
        <v>1</v>
      </c>
      <c r="E110" s="26">
        <v>1332.3809523809523</v>
      </c>
      <c r="F110" s="26" t="s">
        <v>309</v>
      </c>
    </row>
    <row r="111" spans="1:6">
      <c r="A111" t="str">
        <f>IFERROR(VLOOKUP(B111,[1]銷貨單品號主檔!$A:$D,4,0),"學習周邊")</f>
        <v>學習</v>
      </c>
      <c r="B111" t="s">
        <v>133</v>
      </c>
      <c r="C111" s="11" t="s">
        <v>88</v>
      </c>
      <c r="D111" s="26">
        <v>1</v>
      </c>
      <c r="E111" s="26">
        <v>4571.4285714285716</v>
      </c>
      <c r="F111" s="26" t="s">
        <v>309</v>
      </c>
    </row>
    <row r="112" spans="1:6">
      <c r="A112" t="str">
        <f>IFERROR(VLOOKUP(B112,[1]銷貨單品號主檔!$A:$D,4,0),"學習周邊")</f>
        <v>學習</v>
      </c>
      <c r="B112" t="s">
        <v>141</v>
      </c>
      <c r="C112" s="11" t="s">
        <v>56</v>
      </c>
      <c r="D112" s="26">
        <v>2</v>
      </c>
      <c r="E112" s="26">
        <v>9712.3809523809523</v>
      </c>
      <c r="F112" s="26" t="s">
        <v>309</v>
      </c>
    </row>
    <row r="113" spans="1:6">
      <c r="A113" t="str">
        <f>IFERROR(VLOOKUP(B113,[1]銷貨單品號主檔!$A:$D,4,0),"學習周邊")</f>
        <v>學習</v>
      </c>
      <c r="B113" t="s">
        <v>141</v>
      </c>
      <c r="C113" s="11" t="s">
        <v>65</v>
      </c>
      <c r="D113" s="26">
        <v>4</v>
      </c>
      <c r="E113" s="26">
        <v>19046.666666666664</v>
      </c>
      <c r="F113" s="26" t="s">
        <v>309</v>
      </c>
    </row>
    <row r="114" spans="1:6">
      <c r="A114" t="str">
        <f>IFERROR(VLOOKUP(B114,[1]銷貨單品號主檔!$A:$D,4,0),"學習周邊")</f>
        <v>學習</v>
      </c>
      <c r="B114" t="s">
        <v>141</v>
      </c>
      <c r="C114" s="11" t="s">
        <v>66</v>
      </c>
      <c r="D114" s="26">
        <v>1</v>
      </c>
      <c r="E114" s="26">
        <v>4666.6666666666661</v>
      </c>
      <c r="F114" s="26" t="s">
        <v>309</v>
      </c>
    </row>
    <row r="115" spans="1:6">
      <c r="A115" t="str">
        <f>IFERROR(VLOOKUP(B115,[1]銷貨單品號主檔!$A:$D,4,0),"學習周邊")</f>
        <v>學習</v>
      </c>
      <c r="B115" t="s">
        <v>141</v>
      </c>
      <c r="C115" s="11" t="s">
        <v>78</v>
      </c>
      <c r="D115" s="26">
        <v>1</v>
      </c>
      <c r="E115" s="26">
        <v>4666.6666666666661</v>
      </c>
      <c r="F115" s="26" t="s">
        <v>309</v>
      </c>
    </row>
    <row r="116" spans="1:6">
      <c r="A116" t="str">
        <f>IFERROR(VLOOKUP(B116,[1]銷貨單品號主檔!$A:$D,4,0),"學習周邊")</f>
        <v>學習</v>
      </c>
      <c r="B116" t="s">
        <v>141</v>
      </c>
      <c r="C116" s="11" t="s">
        <v>81</v>
      </c>
      <c r="D116" s="26">
        <v>1</v>
      </c>
      <c r="E116" s="26">
        <v>4856.1904761904761</v>
      </c>
      <c r="F116" s="26" t="s">
        <v>309</v>
      </c>
    </row>
    <row r="117" spans="1:6">
      <c r="A117" t="str">
        <f>IFERROR(VLOOKUP(B117,[1]銷貨單品號主檔!$A:$D,4,0),"學習周邊")</f>
        <v>學習</v>
      </c>
      <c r="B117" t="s">
        <v>141</v>
      </c>
      <c r="C117" s="11" t="s">
        <v>88</v>
      </c>
      <c r="D117" s="26">
        <v>4</v>
      </c>
      <c r="E117" s="26">
        <v>19046.666666666664</v>
      </c>
      <c r="F117" s="26" t="s">
        <v>309</v>
      </c>
    </row>
    <row r="118" spans="1:6">
      <c r="A118" t="str">
        <f>IFERROR(VLOOKUP(B118,[1]銷貨單品號主檔!$A:$D,4,0),"學習周邊")</f>
        <v>學習</v>
      </c>
      <c r="B118" t="s">
        <v>141</v>
      </c>
      <c r="C118" s="11" t="s">
        <v>108</v>
      </c>
      <c r="D118" s="26">
        <v>2</v>
      </c>
      <c r="E118" s="26">
        <v>9333.3333333333321</v>
      </c>
      <c r="F118" s="26" t="s">
        <v>309</v>
      </c>
    </row>
    <row r="119" spans="1:6">
      <c r="A119" t="str">
        <f>IFERROR(VLOOKUP(B119,[1]銷貨單品號主檔!$A:$D,4,0),"學習周邊")</f>
        <v>學習</v>
      </c>
      <c r="B119" t="s">
        <v>141</v>
      </c>
      <c r="C119" s="11" t="s">
        <v>53</v>
      </c>
      <c r="D119" s="26">
        <v>1</v>
      </c>
      <c r="E119" s="26">
        <v>4666.6666666666661</v>
      </c>
      <c r="F119" s="26" t="s">
        <v>309</v>
      </c>
    </row>
    <row r="120" spans="1:6">
      <c r="A120" t="str">
        <f>IFERROR(VLOOKUP(B120,[1]銷貨單品號主檔!$A:$D,4,0),"學習周邊")</f>
        <v>學習</v>
      </c>
      <c r="B120" t="s">
        <v>141</v>
      </c>
      <c r="C120" s="11" t="s">
        <v>326</v>
      </c>
      <c r="D120" s="26">
        <v>1</v>
      </c>
      <c r="E120" s="26">
        <v>4666.6666666666661</v>
      </c>
      <c r="F120" s="26" t="s">
        <v>309</v>
      </c>
    </row>
    <row r="121" spans="1:6">
      <c r="A121" t="str">
        <f>IFERROR(VLOOKUP(B121,[1]銷貨單品號主檔!$A:$D,4,0),"學習周邊")</f>
        <v>學習</v>
      </c>
      <c r="B121" t="s">
        <v>141</v>
      </c>
      <c r="C121" s="11" t="s">
        <v>332</v>
      </c>
      <c r="D121" s="26">
        <v>2</v>
      </c>
      <c r="E121" s="26">
        <v>9333.3333333333321</v>
      </c>
      <c r="F121" s="26" t="s">
        <v>309</v>
      </c>
    </row>
    <row r="122" spans="1:6">
      <c r="A122" t="str">
        <f>IFERROR(VLOOKUP(B122,[1]銷貨單品號主檔!$A:$D,4,0),"學習周邊")</f>
        <v>學習</v>
      </c>
      <c r="B122" t="s">
        <v>141</v>
      </c>
      <c r="C122" s="11" t="s">
        <v>330</v>
      </c>
      <c r="D122" s="26">
        <v>1</v>
      </c>
      <c r="E122" s="26">
        <v>4951.4285714285716</v>
      </c>
      <c r="F122" s="26" t="s">
        <v>309</v>
      </c>
    </row>
    <row r="123" spans="1:6">
      <c r="A123" t="str">
        <f>IFERROR(VLOOKUP(B123,[1]銷貨單品號主檔!$A:$D,4,0),"學習周邊")</f>
        <v>學習</v>
      </c>
      <c r="B123" t="s">
        <v>145</v>
      </c>
      <c r="C123" s="11" t="s">
        <v>72</v>
      </c>
      <c r="D123" s="26">
        <v>1</v>
      </c>
      <c r="E123" s="26">
        <v>4094.2857142857142</v>
      </c>
      <c r="F123" s="26" t="s">
        <v>309</v>
      </c>
    </row>
    <row r="124" spans="1:6">
      <c r="A124" t="str">
        <f>IFERROR(VLOOKUP(B124,[1]銷貨單品號主檔!$A:$D,4,0),"學習周邊")</f>
        <v>學習</v>
      </c>
      <c r="B124" t="s">
        <v>145</v>
      </c>
      <c r="C124" s="11" t="s">
        <v>88</v>
      </c>
      <c r="D124" s="26">
        <v>1</v>
      </c>
      <c r="E124" s="26">
        <v>4094.2857142857142</v>
      </c>
      <c r="F124" s="26" t="s">
        <v>309</v>
      </c>
    </row>
    <row r="125" spans="1:6">
      <c r="A125" t="str">
        <f>IFERROR(VLOOKUP(B125,[1]銷貨單品號主檔!$A:$D,4,0),"學習周邊")</f>
        <v>學習</v>
      </c>
      <c r="B125" t="s">
        <v>145</v>
      </c>
      <c r="C125" s="11" t="s">
        <v>332</v>
      </c>
      <c r="D125" s="26">
        <v>1</v>
      </c>
      <c r="E125" s="26">
        <v>4094.2857142857142</v>
      </c>
      <c r="F125" s="26" t="s">
        <v>309</v>
      </c>
    </row>
    <row r="126" spans="1:6">
      <c r="A126" t="str">
        <f>IFERROR(VLOOKUP(B126,[1]銷貨單品號主檔!$A:$D,4,0),"學習周邊")</f>
        <v>學習</v>
      </c>
      <c r="B126" t="s">
        <v>145</v>
      </c>
      <c r="C126" s="11" t="s">
        <v>331</v>
      </c>
      <c r="D126" s="26">
        <v>1</v>
      </c>
      <c r="E126" s="26">
        <v>4094.2857142857142</v>
      </c>
      <c r="F126" s="26" t="s">
        <v>309</v>
      </c>
    </row>
    <row r="127" spans="1:6">
      <c r="A127" t="str">
        <f>IFERROR(VLOOKUP(B127,[1]銷貨單品號主檔!$A:$D,4,0),"學習周邊")</f>
        <v>學習周邊</v>
      </c>
      <c r="B127" t="s">
        <v>146</v>
      </c>
      <c r="C127" s="11" t="s">
        <v>65</v>
      </c>
      <c r="D127" s="26">
        <v>2</v>
      </c>
      <c r="E127" s="26">
        <v>250.47619047619045</v>
      </c>
      <c r="F127" s="26" t="s">
        <v>309</v>
      </c>
    </row>
    <row r="128" spans="1:6">
      <c r="A128" t="str">
        <f>IFERROR(VLOOKUP(B128,[1]銷貨單品號主檔!$A:$D,4,0),"學習周邊")</f>
        <v>學習周邊</v>
      </c>
      <c r="B128" t="s">
        <v>146</v>
      </c>
      <c r="C128" s="11" t="s">
        <v>73</v>
      </c>
      <c r="D128" s="26">
        <v>1</v>
      </c>
      <c r="E128" s="26">
        <v>107.61904761904762</v>
      </c>
      <c r="F128" s="26" t="s">
        <v>309</v>
      </c>
    </row>
    <row r="129" spans="1:6">
      <c r="A129" t="str">
        <f>IFERROR(VLOOKUP(B129,[1]銷貨單品號主檔!$A:$D,4,0),"學習周邊")</f>
        <v>學習周邊</v>
      </c>
      <c r="B129" t="s">
        <v>146</v>
      </c>
      <c r="C129" s="11" t="s">
        <v>87</v>
      </c>
      <c r="D129" s="26">
        <v>1</v>
      </c>
      <c r="E129" s="26">
        <v>357.14285714285711</v>
      </c>
      <c r="F129" s="26" t="s">
        <v>309</v>
      </c>
    </row>
    <row r="130" spans="1:6">
      <c r="A130" t="str">
        <f>IFERROR(VLOOKUP(B130,[1]銷貨單品號主檔!$A:$D,4,0),"學習周邊")</f>
        <v>學習周邊</v>
      </c>
      <c r="B130" t="s">
        <v>148</v>
      </c>
      <c r="C130" s="11" t="s">
        <v>65</v>
      </c>
      <c r="D130" s="26">
        <v>1</v>
      </c>
      <c r="E130" s="26">
        <v>107.61904761904762</v>
      </c>
      <c r="F130" s="26" t="s">
        <v>309</v>
      </c>
    </row>
    <row r="131" spans="1:6">
      <c r="A131" t="str">
        <f>IFERROR(VLOOKUP(B131,[1]銷貨單品號主檔!$A:$D,4,0),"學習周邊")</f>
        <v>學習周邊</v>
      </c>
      <c r="B131" t="s">
        <v>148</v>
      </c>
      <c r="C131" s="11" t="s">
        <v>73</v>
      </c>
      <c r="D131" s="26">
        <v>1</v>
      </c>
      <c r="E131" s="26">
        <v>107.61904761904762</v>
      </c>
      <c r="F131" s="26" t="s">
        <v>309</v>
      </c>
    </row>
    <row r="132" spans="1:6">
      <c r="A132" t="str">
        <f>IFERROR(VLOOKUP(B132,[1]銷貨單品號主檔!$A:$D,4,0),"學習周邊")</f>
        <v>學習周邊</v>
      </c>
      <c r="B132" t="s">
        <v>148</v>
      </c>
      <c r="C132" s="11" t="s">
        <v>87</v>
      </c>
      <c r="D132" s="26">
        <v>1</v>
      </c>
      <c r="E132" s="26">
        <v>142.85714285714286</v>
      </c>
      <c r="F132" s="26" t="s">
        <v>309</v>
      </c>
    </row>
    <row r="133" spans="1:6">
      <c r="A133" t="str">
        <f>IFERROR(VLOOKUP(B133,[1]銷貨單品號主檔!$A:$D,4,0),"學習周邊")</f>
        <v>學習周邊</v>
      </c>
      <c r="B133" t="s">
        <v>149</v>
      </c>
      <c r="C133" s="11" t="s">
        <v>65</v>
      </c>
      <c r="D133" s="26">
        <v>3</v>
      </c>
      <c r="E133" s="26">
        <v>322.85714285714283</v>
      </c>
      <c r="F133" s="26" t="s">
        <v>309</v>
      </c>
    </row>
    <row r="134" spans="1:6">
      <c r="A134" t="str">
        <f>IFERROR(VLOOKUP(B134,[1]銷貨單品號主檔!$A:$D,4,0),"學習周邊")</f>
        <v>學習周邊</v>
      </c>
      <c r="B134" t="s">
        <v>149</v>
      </c>
      <c r="C134" s="11" t="s">
        <v>73</v>
      </c>
      <c r="D134" s="26">
        <v>1</v>
      </c>
      <c r="E134" s="26">
        <v>107.61904761904762</v>
      </c>
      <c r="F134" s="26" t="s">
        <v>309</v>
      </c>
    </row>
    <row r="135" spans="1:6">
      <c r="A135" t="str">
        <f>IFERROR(VLOOKUP(B135,[1]銷貨單品號主檔!$A:$D,4,0),"學習周邊")</f>
        <v>學習周邊</v>
      </c>
      <c r="B135" t="s">
        <v>149</v>
      </c>
      <c r="C135" s="11" t="s">
        <v>87</v>
      </c>
      <c r="D135" s="26">
        <v>1</v>
      </c>
      <c r="E135" s="26">
        <v>142.85714285714286</v>
      </c>
      <c r="F135" s="26" t="s">
        <v>309</v>
      </c>
    </row>
    <row r="136" spans="1:6">
      <c r="A136" t="str">
        <f>IFERROR(VLOOKUP(B136,[1]銷貨單品號主檔!$A:$D,4,0),"學習周邊")</f>
        <v>學習周邊</v>
      </c>
      <c r="B136" t="s">
        <v>150</v>
      </c>
      <c r="C136" s="11" t="s">
        <v>65</v>
      </c>
      <c r="D136" s="26">
        <v>1</v>
      </c>
      <c r="E136" s="26">
        <v>428.57142857142856</v>
      </c>
      <c r="F136" s="26" t="s">
        <v>309</v>
      </c>
    </row>
    <row r="137" spans="1:6">
      <c r="A137" t="str">
        <f>IFERROR(VLOOKUP(B137,[1]銷貨單品號主檔!$A:$D,4,0),"學習周邊")</f>
        <v>學習周邊</v>
      </c>
      <c r="B137" t="s">
        <v>150</v>
      </c>
      <c r="C137" s="11" t="s">
        <v>107</v>
      </c>
      <c r="D137" s="26">
        <v>2</v>
      </c>
      <c r="E137" s="26">
        <v>857.14285714285711</v>
      </c>
      <c r="F137" s="26" t="s">
        <v>309</v>
      </c>
    </row>
    <row r="138" spans="1:6">
      <c r="A138" t="str">
        <f>IFERROR(VLOOKUP(B138,[1]銷貨單品號主檔!$A:$D,4,0),"學習周邊")</f>
        <v>學習周邊</v>
      </c>
      <c r="B138" t="s">
        <v>135</v>
      </c>
      <c r="C138" s="11" t="s">
        <v>60</v>
      </c>
      <c r="D138" s="26">
        <v>1</v>
      </c>
      <c r="E138" s="26">
        <v>190.47619047619048</v>
      </c>
      <c r="F138" s="26" t="s">
        <v>309</v>
      </c>
    </row>
    <row r="139" spans="1:6">
      <c r="A139" t="str">
        <f>IFERROR(VLOOKUP(B139,[1]銷貨單品號主檔!$A:$D,4,0),"學習周邊")</f>
        <v>學習周邊</v>
      </c>
      <c r="B139" t="s">
        <v>135</v>
      </c>
      <c r="C139" s="11" t="s">
        <v>65</v>
      </c>
      <c r="D139" s="26">
        <v>1</v>
      </c>
      <c r="E139" s="26">
        <v>190.47619047619048</v>
      </c>
      <c r="F139" s="26" t="s">
        <v>309</v>
      </c>
    </row>
    <row r="140" spans="1:6">
      <c r="A140" t="str">
        <f>IFERROR(VLOOKUP(B140,[1]銷貨單品號主檔!$A:$D,4,0),"學習周邊")</f>
        <v>學習周邊</v>
      </c>
      <c r="B140" t="s">
        <v>135</v>
      </c>
      <c r="C140" s="11" t="s">
        <v>67</v>
      </c>
      <c r="D140" s="26">
        <v>1</v>
      </c>
      <c r="E140" s="26">
        <v>190.47619047619048</v>
      </c>
      <c r="F140" s="26" t="s">
        <v>309</v>
      </c>
    </row>
    <row r="141" spans="1:6">
      <c r="A141" t="str">
        <f>IFERROR(VLOOKUP(B141,[1]銷貨單品號主檔!$A:$D,4,0),"學習周邊")</f>
        <v>學習周邊</v>
      </c>
      <c r="B141" t="s">
        <v>135</v>
      </c>
      <c r="C141" s="11" t="s">
        <v>330</v>
      </c>
      <c r="D141" s="26">
        <v>1</v>
      </c>
      <c r="E141" s="26">
        <v>190.47619047619048</v>
      </c>
      <c r="F141" s="26" t="s">
        <v>309</v>
      </c>
    </row>
    <row r="142" spans="1:6">
      <c r="A142" t="str">
        <f>IFERROR(VLOOKUP(B142,[1]銷貨單品號主檔!$A:$D,4,0),"學習周邊")</f>
        <v>學習周邊</v>
      </c>
      <c r="B142" t="s">
        <v>135</v>
      </c>
      <c r="C142" s="11" t="s">
        <v>331</v>
      </c>
      <c r="D142" s="26">
        <v>1</v>
      </c>
      <c r="E142" s="26">
        <v>190.47619047619048</v>
      </c>
      <c r="F142" s="26" t="s">
        <v>309</v>
      </c>
    </row>
    <row r="143" spans="1:6">
      <c r="A143" t="str">
        <f>IFERROR(VLOOKUP(B143,[1]銷貨單品號主檔!$A:$D,4,0),"學習周邊")</f>
        <v>學習</v>
      </c>
      <c r="B143" t="s">
        <v>155</v>
      </c>
      <c r="C143" s="11" t="s">
        <v>59</v>
      </c>
      <c r="D143" s="26">
        <v>1</v>
      </c>
      <c r="E143" s="26">
        <v>4283.8095238095239</v>
      </c>
      <c r="F143" s="26" t="s">
        <v>309</v>
      </c>
    </row>
    <row r="144" spans="1:6">
      <c r="A144" t="str">
        <f>IFERROR(VLOOKUP(B144,[1]銷貨單品號主檔!$A:$D,4,0),"學習周邊")</f>
        <v>學習</v>
      </c>
      <c r="B144" t="s">
        <v>155</v>
      </c>
      <c r="C144" s="11" t="s">
        <v>330</v>
      </c>
      <c r="D144" s="26">
        <v>1</v>
      </c>
      <c r="E144" s="26">
        <v>4283.8095238095239</v>
      </c>
      <c r="F144" s="26" t="s">
        <v>309</v>
      </c>
    </row>
    <row r="145" spans="1:6">
      <c r="A145" t="str">
        <f>IFERROR(VLOOKUP(B145,[1]銷貨單品號主檔!$A:$D,4,0),"學習周邊")</f>
        <v>學習周邊</v>
      </c>
      <c r="B145" t="s">
        <v>156</v>
      </c>
      <c r="C145" s="11" t="s">
        <v>107</v>
      </c>
      <c r="D145" s="26">
        <v>1</v>
      </c>
      <c r="E145" s="26">
        <v>428.57142857142856</v>
      </c>
      <c r="F145" s="26" t="s">
        <v>309</v>
      </c>
    </row>
    <row r="146" spans="1:6">
      <c r="A146" t="str">
        <f>IFERROR(VLOOKUP(B146,[1]銷貨單品號主檔!$A:$D,4,0),"學習周邊")</f>
        <v>學習</v>
      </c>
      <c r="B146" t="s">
        <v>158</v>
      </c>
      <c r="C146" s="11" t="s">
        <v>56</v>
      </c>
      <c r="D146" s="26">
        <v>2</v>
      </c>
      <c r="E146" s="26">
        <v>4569.5238095238092</v>
      </c>
      <c r="F146" s="26" t="s">
        <v>309</v>
      </c>
    </row>
    <row r="147" spans="1:6">
      <c r="A147" t="str">
        <f>IFERROR(VLOOKUP(B147,[1]銷貨單品號主檔!$A:$D,4,0),"學習周邊")</f>
        <v>學習</v>
      </c>
      <c r="B147" t="s">
        <v>158</v>
      </c>
      <c r="C147" s="11" t="s">
        <v>60</v>
      </c>
      <c r="D147" s="26">
        <v>6</v>
      </c>
      <c r="E147" s="26">
        <v>13708.571428571428</v>
      </c>
      <c r="F147" s="26" t="s">
        <v>309</v>
      </c>
    </row>
    <row r="148" spans="1:6">
      <c r="A148" t="str">
        <f>IFERROR(VLOOKUP(B148,[1]銷貨單品號主檔!$A:$D,4,0),"學習周邊")</f>
        <v>學習</v>
      </c>
      <c r="B148" t="s">
        <v>158</v>
      </c>
      <c r="C148" s="11" t="s">
        <v>62</v>
      </c>
      <c r="D148" s="26">
        <v>4</v>
      </c>
      <c r="E148" s="26">
        <v>9139.0476190476184</v>
      </c>
      <c r="F148" s="26" t="s">
        <v>309</v>
      </c>
    </row>
    <row r="149" spans="1:6">
      <c r="A149" t="str">
        <f>IFERROR(VLOOKUP(B149,[1]銷貨單品號主檔!$A:$D,4,0),"學習周邊")</f>
        <v>學習</v>
      </c>
      <c r="B149" t="s">
        <v>158</v>
      </c>
      <c r="C149" s="11" t="s">
        <v>65</v>
      </c>
      <c r="D149" s="26">
        <v>14</v>
      </c>
      <c r="E149" s="26">
        <v>31986.666666666664</v>
      </c>
      <c r="F149" s="26" t="s">
        <v>309</v>
      </c>
    </row>
    <row r="150" spans="1:6">
      <c r="A150" t="str">
        <f>IFERROR(VLOOKUP(B150,[1]銷貨單品號主檔!$A:$D,4,0),"學習周邊")</f>
        <v>學習</v>
      </c>
      <c r="B150" t="s">
        <v>158</v>
      </c>
      <c r="C150" s="11" t="s">
        <v>67</v>
      </c>
      <c r="D150" s="26">
        <v>1</v>
      </c>
      <c r="E150" s="26">
        <v>2284.7619047619046</v>
      </c>
      <c r="F150" s="26" t="s">
        <v>309</v>
      </c>
    </row>
    <row r="151" spans="1:6">
      <c r="A151" t="str">
        <f>IFERROR(VLOOKUP(B151,[1]銷貨單品號主檔!$A:$D,4,0),"學習周邊")</f>
        <v>學習</v>
      </c>
      <c r="B151" t="s">
        <v>158</v>
      </c>
      <c r="C151" s="11" t="s">
        <v>73</v>
      </c>
      <c r="D151" s="26">
        <v>4</v>
      </c>
      <c r="E151" s="26">
        <v>9139.0476190476184</v>
      </c>
      <c r="F151" s="26" t="s">
        <v>309</v>
      </c>
    </row>
    <row r="152" spans="1:6">
      <c r="A152" t="str">
        <f>IFERROR(VLOOKUP(B152,[1]銷貨單品號主檔!$A:$D,4,0),"學習周邊")</f>
        <v>學習</v>
      </c>
      <c r="B152" t="s">
        <v>158</v>
      </c>
      <c r="C152" s="11" t="s">
        <v>59</v>
      </c>
      <c r="D152" s="26">
        <v>1</v>
      </c>
      <c r="E152" s="26">
        <v>2284.7619047619046</v>
      </c>
      <c r="F152" s="26" t="s">
        <v>309</v>
      </c>
    </row>
    <row r="153" spans="1:6">
      <c r="A153" t="str">
        <f>IFERROR(VLOOKUP(B153,[1]銷貨單品號主檔!$A:$D,4,0),"學習周邊")</f>
        <v>學習</v>
      </c>
      <c r="B153" t="s">
        <v>158</v>
      </c>
      <c r="C153" s="11" t="s">
        <v>66</v>
      </c>
      <c r="D153" s="26">
        <v>10</v>
      </c>
      <c r="E153" s="26">
        <v>22847.619047619046</v>
      </c>
      <c r="F153" s="26" t="s">
        <v>309</v>
      </c>
    </row>
    <row r="154" spans="1:6">
      <c r="A154" t="str">
        <f>IFERROR(VLOOKUP(B154,[1]銷貨單品號主檔!$A:$D,4,0),"學習周邊")</f>
        <v>學習</v>
      </c>
      <c r="B154" t="s">
        <v>158</v>
      </c>
      <c r="C154" s="11" t="s">
        <v>107</v>
      </c>
      <c r="D154" s="26">
        <v>6</v>
      </c>
      <c r="E154" s="26">
        <v>13708.571428571428</v>
      </c>
      <c r="F154" s="26" t="s">
        <v>309</v>
      </c>
    </row>
    <row r="155" spans="1:6">
      <c r="A155" t="str">
        <f>IFERROR(VLOOKUP(B155,[1]銷貨單品號主檔!$A:$D,4,0),"學習周邊")</f>
        <v>學習</v>
      </c>
      <c r="B155" t="s">
        <v>158</v>
      </c>
      <c r="C155" s="11" t="s">
        <v>72</v>
      </c>
      <c r="D155" s="26">
        <v>6</v>
      </c>
      <c r="E155" s="26">
        <v>13708.571428571428</v>
      </c>
      <c r="F155" s="26" t="s">
        <v>309</v>
      </c>
    </row>
    <row r="156" spans="1:6">
      <c r="A156" t="str">
        <f>IFERROR(VLOOKUP(B156,[1]銷貨單品號主檔!$A:$D,4,0),"學習周邊")</f>
        <v>學習</v>
      </c>
      <c r="B156" t="s">
        <v>158</v>
      </c>
      <c r="C156" s="11" t="s">
        <v>76</v>
      </c>
      <c r="D156" s="26">
        <v>4</v>
      </c>
      <c r="E156" s="26">
        <v>9139.0476190476184</v>
      </c>
      <c r="F156" s="26" t="s">
        <v>309</v>
      </c>
    </row>
    <row r="157" spans="1:6">
      <c r="A157" t="str">
        <f>IFERROR(VLOOKUP(B157,[1]銷貨單品號主檔!$A:$D,4,0),"學習周邊")</f>
        <v>學習</v>
      </c>
      <c r="B157" t="s">
        <v>158</v>
      </c>
      <c r="C157" s="11" t="s">
        <v>78</v>
      </c>
      <c r="D157" s="26">
        <v>6</v>
      </c>
      <c r="E157" s="26">
        <v>13708.571428571428</v>
      </c>
      <c r="F157" s="26" t="s">
        <v>309</v>
      </c>
    </row>
    <row r="158" spans="1:6">
      <c r="A158" t="str">
        <f>IFERROR(VLOOKUP(B158,[1]銷貨單品號主檔!$A:$D,4,0),"學習周邊")</f>
        <v>學習</v>
      </c>
      <c r="B158" t="s">
        <v>158</v>
      </c>
      <c r="C158" s="11" t="s">
        <v>81</v>
      </c>
      <c r="D158" s="26">
        <v>3</v>
      </c>
      <c r="E158" s="26">
        <v>6854.2857142857138</v>
      </c>
      <c r="F158" s="26" t="s">
        <v>309</v>
      </c>
    </row>
    <row r="159" spans="1:6">
      <c r="A159" t="str">
        <f>IFERROR(VLOOKUP(B159,[1]銷貨單品號主檔!$A:$D,4,0),"學習周邊")</f>
        <v>學習</v>
      </c>
      <c r="B159" t="s">
        <v>158</v>
      </c>
      <c r="C159" s="11" t="s">
        <v>83</v>
      </c>
      <c r="D159" s="26">
        <v>5</v>
      </c>
      <c r="E159" s="26">
        <v>11423.809523809523</v>
      </c>
      <c r="F159" s="26" t="s">
        <v>309</v>
      </c>
    </row>
    <row r="160" spans="1:6">
      <c r="A160" t="str">
        <f>IFERROR(VLOOKUP(B160,[1]銷貨單品號主檔!$A:$D,4,0),"學習周邊")</f>
        <v>學習</v>
      </c>
      <c r="B160" t="s">
        <v>158</v>
      </c>
      <c r="C160" s="11" t="s">
        <v>85</v>
      </c>
      <c r="D160" s="26">
        <v>4</v>
      </c>
      <c r="E160" s="26">
        <v>9139.0476190476184</v>
      </c>
      <c r="F160" s="26" t="s">
        <v>309</v>
      </c>
    </row>
    <row r="161" spans="1:6">
      <c r="A161" t="str">
        <f>IFERROR(VLOOKUP(B161,[1]銷貨單品號主檔!$A:$D,4,0),"學習周邊")</f>
        <v>學習</v>
      </c>
      <c r="B161" t="s">
        <v>158</v>
      </c>
      <c r="C161" s="11" t="s">
        <v>87</v>
      </c>
      <c r="D161" s="26">
        <v>1</v>
      </c>
      <c r="E161" s="26">
        <v>2284.7619047619046</v>
      </c>
      <c r="F161" s="26" t="s">
        <v>309</v>
      </c>
    </row>
    <row r="162" spans="1:6">
      <c r="A162" t="str">
        <f>IFERROR(VLOOKUP(B162,[1]銷貨單品號主檔!$A:$D,4,0),"學習周邊")</f>
        <v>學習</v>
      </c>
      <c r="B162" t="s">
        <v>158</v>
      </c>
      <c r="C162" s="11" t="s">
        <v>90</v>
      </c>
      <c r="D162" s="26">
        <v>3</v>
      </c>
      <c r="E162" s="26">
        <v>6854.2857142857138</v>
      </c>
      <c r="F162" s="26" t="s">
        <v>309</v>
      </c>
    </row>
    <row r="163" spans="1:6">
      <c r="A163" t="str">
        <f>IFERROR(VLOOKUP(B163,[1]銷貨單品號主檔!$A:$D,4,0),"學習周邊")</f>
        <v>學習</v>
      </c>
      <c r="B163" t="s">
        <v>158</v>
      </c>
      <c r="C163" s="11" t="s">
        <v>88</v>
      </c>
      <c r="D163" s="26">
        <v>13</v>
      </c>
      <c r="E163" s="26">
        <v>29701.90476190476</v>
      </c>
      <c r="F163" s="26" t="s">
        <v>309</v>
      </c>
    </row>
    <row r="164" spans="1:6">
      <c r="A164" t="str">
        <f>IFERROR(VLOOKUP(B164,[1]銷貨單品號主檔!$A:$D,4,0),"學習周邊")</f>
        <v>學習</v>
      </c>
      <c r="B164" t="s">
        <v>158</v>
      </c>
      <c r="C164" s="11" t="s">
        <v>108</v>
      </c>
      <c r="D164" s="26">
        <v>3</v>
      </c>
      <c r="E164" s="26">
        <v>6854.2857142857138</v>
      </c>
      <c r="F164" s="26" t="s">
        <v>309</v>
      </c>
    </row>
    <row r="165" spans="1:6">
      <c r="A165" t="str">
        <f>IFERROR(VLOOKUP(B165,[1]銷貨單品號主檔!$A:$D,4,0),"學習周邊")</f>
        <v>學習</v>
      </c>
      <c r="B165" t="s">
        <v>158</v>
      </c>
      <c r="C165" s="11" t="s">
        <v>53</v>
      </c>
      <c r="D165" s="26">
        <v>3</v>
      </c>
      <c r="E165" s="26">
        <v>6854.2857142857138</v>
      </c>
      <c r="F165" s="26" t="s">
        <v>309</v>
      </c>
    </row>
    <row r="166" spans="1:6">
      <c r="A166" t="str">
        <f>IFERROR(VLOOKUP(B166,[1]銷貨單品號主檔!$A:$D,4,0),"學習周邊")</f>
        <v>學習</v>
      </c>
      <c r="B166" t="s">
        <v>158</v>
      </c>
      <c r="C166" s="11" t="s">
        <v>92</v>
      </c>
      <c r="D166" s="26">
        <v>1</v>
      </c>
      <c r="E166" s="26">
        <v>2284.7619047619046</v>
      </c>
      <c r="F166" s="26" t="s">
        <v>309</v>
      </c>
    </row>
    <row r="167" spans="1:6">
      <c r="A167" t="str">
        <f>IFERROR(VLOOKUP(B167,[1]銷貨單品號主檔!$A:$D,4,0),"學習周邊")</f>
        <v>學習</v>
      </c>
      <c r="B167" t="s">
        <v>158</v>
      </c>
      <c r="C167" s="11" t="s">
        <v>326</v>
      </c>
      <c r="D167" s="26">
        <v>7</v>
      </c>
      <c r="E167" s="26">
        <v>15993.333333333332</v>
      </c>
      <c r="F167" s="26" t="s">
        <v>309</v>
      </c>
    </row>
    <row r="168" spans="1:6">
      <c r="A168" t="str">
        <f>IFERROR(VLOOKUP(B168,[1]銷貨單品號主檔!$A:$D,4,0),"學習周邊")</f>
        <v>學習</v>
      </c>
      <c r="B168" t="s">
        <v>158</v>
      </c>
      <c r="C168" s="11" t="s">
        <v>328</v>
      </c>
      <c r="D168" s="26">
        <v>1</v>
      </c>
      <c r="E168" s="26">
        <v>2284.7619047619046</v>
      </c>
      <c r="F168" s="26" t="s">
        <v>309</v>
      </c>
    </row>
    <row r="169" spans="1:6">
      <c r="A169" t="str">
        <f>IFERROR(VLOOKUP(B169,[1]銷貨單品號主檔!$A:$D,4,0),"學習周邊")</f>
        <v>學習</v>
      </c>
      <c r="B169" t="s">
        <v>158</v>
      </c>
      <c r="C169" s="11" t="s">
        <v>329</v>
      </c>
      <c r="D169" s="26">
        <v>2</v>
      </c>
      <c r="E169" s="26">
        <v>4569.5238095238092</v>
      </c>
      <c r="F169" s="26" t="s">
        <v>309</v>
      </c>
    </row>
    <row r="170" spans="1:6">
      <c r="A170" t="str">
        <f>IFERROR(VLOOKUP(B170,[1]銷貨單品號主檔!$A:$D,4,0),"學習周邊")</f>
        <v>學習</v>
      </c>
      <c r="B170" t="s">
        <v>158</v>
      </c>
      <c r="C170" s="11" t="s">
        <v>332</v>
      </c>
      <c r="D170" s="26">
        <v>15</v>
      </c>
      <c r="E170" s="26">
        <v>34271.428571428572</v>
      </c>
      <c r="F170" s="26" t="s">
        <v>309</v>
      </c>
    </row>
    <row r="171" spans="1:6">
      <c r="A171" t="str">
        <f>IFERROR(VLOOKUP(B171,[1]銷貨單品號主檔!$A:$D,4,0),"學習周邊")</f>
        <v>學習</v>
      </c>
      <c r="B171" t="s">
        <v>158</v>
      </c>
      <c r="C171" s="11" t="s">
        <v>330</v>
      </c>
      <c r="D171" s="26">
        <v>1</v>
      </c>
      <c r="E171" s="26">
        <v>2284.7619047619046</v>
      </c>
      <c r="F171" s="26" t="s">
        <v>309</v>
      </c>
    </row>
    <row r="172" spans="1:6">
      <c r="A172" t="str">
        <f>IFERROR(VLOOKUP(B172,[1]銷貨單品號主檔!$A:$D,4,0),"學習周邊")</f>
        <v>學習</v>
      </c>
      <c r="B172" t="s">
        <v>158</v>
      </c>
      <c r="C172" s="11" t="s">
        <v>331</v>
      </c>
      <c r="D172" s="26">
        <v>2</v>
      </c>
      <c r="E172" s="26">
        <v>4569.5238095238092</v>
      </c>
      <c r="F172" s="26" t="s">
        <v>309</v>
      </c>
    </row>
    <row r="173" spans="1:6">
      <c r="A173" t="str">
        <f>IFERROR(VLOOKUP(B173,[1]銷貨單品號主檔!$A:$D,4,0),"學習周邊")</f>
        <v>學習</v>
      </c>
      <c r="B173" t="s">
        <v>158</v>
      </c>
      <c r="C173" s="11" t="s">
        <v>349</v>
      </c>
      <c r="D173" s="26">
        <v>1</v>
      </c>
      <c r="E173" s="26">
        <v>2284.7619047619046</v>
      </c>
      <c r="F173" s="26" t="s">
        <v>309</v>
      </c>
    </row>
    <row r="174" spans="1:6">
      <c r="A174" t="str">
        <f>IFERROR(VLOOKUP(B174,[1]銷貨單品號主檔!$A:$D,4,0),"學習周邊")</f>
        <v>學習</v>
      </c>
      <c r="B174" t="s">
        <v>158</v>
      </c>
      <c r="C174" s="11" t="s">
        <v>354</v>
      </c>
      <c r="D174" s="26">
        <v>3</v>
      </c>
      <c r="E174" s="26">
        <v>6854.2857142857138</v>
      </c>
      <c r="F174" s="26" t="s">
        <v>309</v>
      </c>
    </row>
    <row r="175" spans="1:6">
      <c r="A175" t="str">
        <f>IFERROR(VLOOKUP(B175,[1]銷貨單品號主檔!$A:$D,4,0),"學習周邊")</f>
        <v>學習</v>
      </c>
      <c r="B175" t="s">
        <v>158</v>
      </c>
      <c r="C175" s="11" t="s">
        <v>353</v>
      </c>
      <c r="D175" s="26">
        <v>1</v>
      </c>
      <c r="E175" s="26">
        <v>2284.7619047619046</v>
      </c>
      <c r="F175" s="26" t="s">
        <v>309</v>
      </c>
    </row>
    <row r="176" spans="1:6">
      <c r="A176" t="str">
        <f>IFERROR(VLOOKUP(B176,[1]銷貨單品號主檔!$A:$D,4,0),"學習周邊")</f>
        <v>學習周邊</v>
      </c>
      <c r="B176" t="s">
        <v>172</v>
      </c>
      <c r="C176" s="11" t="s">
        <v>65</v>
      </c>
      <c r="D176" s="26">
        <v>2</v>
      </c>
      <c r="E176" s="26">
        <v>215.23809523809524</v>
      </c>
      <c r="F176" s="26" t="s">
        <v>309</v>
      </c>
    </row>
    <row r="177" spans="1:6">
      <c r="A177" t="str">
        <f>IFERROR(VLOOKUP(B177,[1]銷貨單品號主檔!$A:$D,4,0),"學習周邊")</f>
        <v>學習周邊</v>
      </c>
      <c r="B177" t="s">
        <v>172</v>
      </c>
      <c r="C177" s="11" t="s">
        <v>73</v>
      </c>
      <c r="D177" s="26">
        <v>1</v>
      </c>
      <c r="E177" s="26">
        <v>107.61904761904762</v>
      </c>
      <c r="F177" s="26" t="s">
        <v>309</v>
      </c>
    </row>
    <row r="178" spans="1:6">
      <c r="A178" t="str">
        <f>IFERROR(VLOOKUP(B178,[1]銷貨單品號主檔!$A:$D,4,0),"學習周邊")</f>
        <v>學習周邊</v>
      </c>
      <c r="B178" t="s">
        <v>172</v>
      </c>
      <c r="C178" s="11" t="s">
        <v>88</v>
      </c>
      <c r="D178" s="26">
        <v>1</v>
      </c>
      <c r="E178" s="26">
        <v>357.14285714285711</v>
      </c>
      <c r="F178" s="26" t="s">
        <v>309</v>
      </c>
    </row>
    <row r="179" spans="1:6">
      <c r="A179" t="str">
        <f>IFERROR(VLOOKUP(B179,[1]銷貨單品號主檔!$A:$D,4,0),"學習周邊")</f>
        <v>學習周邊</v>
      </c>
      <c r="B179" t="s">
        <v>172</v>
      </c>
      <c r="C179" s="11" t="s">
        <v>53</v>
      </c>
      <c r="D179" s="26">
        <v>1</v>
      </c>
      <c r="E179" s="26">
        <v>107.61904761904762</v>
      </c>
      <c r="F179" s="26" t="s">
        <v>309</v>
      </c>
    </row>
    <row r="180" spans="1:6">
      <c r="A180" t="str">
        <f>IFERROR(VLOOKUP(B180,[1]銷貨單品號主檔!$A:$D,4,0),"學習周邊")</f>
        <v>學習周邊</v>
      </c>
      <c r="B180" t="s">
        <v>173</v>
      </c>
      <c r="C180" s="11" t="s">
        <v>65</v>
      </c>
      <c r="D180" s="26">
        <v>2</v>
      </c>
      <c r="E180" s="26">
        <v>215.23809523809524</v>
      </c>
      <c r="F180" s="26" t="s">
        <v>309</v>
      </c>
    </row>
    <row r="181" spans="1:6">
      <c r="A181" t="str">
        <f>IFERROR(VLOOKUP(B181,[1]銷貨單品號主檔!$A:$D,4,0),"學習周邊")</f>
        <v>學習周邊</v>
      </c>
      <c r="B181" t="s">
        <v>173</v>
      </c>
      <c r="C181" s="11" t="s">
        <v>67</v>
      </c>
      <c r="D181" s="26">
        <v>1</v>
      </c>
      <c r="E181" s="26">
        <v>357.14285714285711</v>
      </c>
      <c r="F181" s="26" t="s">
        <v>309</v>
      </c>
    </row>
    <row r="182" spans="1:6">
      <c r="A182" t="str">
        <f>IFERROR(VLOOKUP(B182,[1]銷貨單品號主檔!$A:$D,4,0),"學習周邊")</f>
        <v>學習周邊</v>
      </c>
      <c r="B182" t="s">
        <v>173</v>
      </c>
      <c r="C182" s="11" t="s">
        <v>73</v>
      </c>
      <c r="D182" s="26">
        <v>1</v>
      </c>
      <c r="E182" s="26">
        <v>107.61904761904762</v>
      </c>
      <c r="F182" s="26" t="s">
        <v>309</v>
      </c>
    </row>
    <row r="183" spans="1:6">
      <c r="A183" t="str">
        <f>IFERROR(VLOOKUP(B183,[1]銷貨單品號主檔!$A:$D,4,0),"學習周邊")</f>
        <v>學習周邊</v>
      </c>
      <c r="B183" t="s">
        <v>173</v>
      </c>
      <c r="C183" s="11" t="s">
        <v>53</v>
      </c>
      <c r="D183" s="26">
        <v>1</v>
      </c>
      <c r="E183" s="26">
        <v>107.61904761904762</v>
      </c>
      <c r="F183" s="26" t="s">
        <v>309</v>
      </c>
    </row>
    <row r="184" spans="1:6">
      <c r="A184" t="str">
        <f>IFERROR(VLOOKUP(B184,[1]銷貨單品號主檔!$A:$D,4,0),"學習周邊")</f>
        <v>學習周邊</v>
      </c>
      <c r="B184" t="s">
        <v>175</v>
      </c>
      <c r="C184" s="11" t="s">
        <v>65</v>
      </c>
      <c r="D184" s="26">
        <v>2</v>
      </c>
      <c r="E184" s="26">
        <v>445.71428571428572</v>
      </c>
      <c r="F184" s="26" t="s">
        <v>309</v>
      </c>
    </row>
    <row r="185" spans="1:6">
      <c r="A185" t="str">
        <f>IFERROR(VLOOKUP(B185,[1]銷貨單品號主檔!$A:$D,4,0),"學習周邊")</f>
        <v>學習周邊</v>
      </c>
      <c r="B185" t="s">
        <v>175</v>
      </c>
      <c r="C185" s="11" t="s">
        <v>73</v>
      </c>
      <c r="D185" s="26">
        <v>1</v>
      </c>
      <c r="E185" s="26">
        <v>222.85714285714286</v>
      </c>
      <c r="F185" s="26" t="s">
        <v>309</v>
      </c>
    </row>
    <row r="186" spans="1:6">
      <c r="A186" t="str">
        <f>IFERROR(VLOOKUP(B186,[1]銷貨單品號主檔!$A:$D,4,0),"學習周邊")</f>
        <v>學習周邊</v>
      </c>
      <c r="B186" t="s">
        <v>175</v>
      </c>
      <c r="C186" s="11" t="s">
        <v>332</v>
      </c>
      <c r="D186" s="26">
        <v>1</v>
      </c>
      <c r="E186" s="26">
        <v>222.85714285714286</v>
      </c>
      <c r="F186" s="26" t="s">
        <v>309</v>
      </c>
    </row>
    <row r="187" spans="1:6">
      <c r="A187" t="str">
        <f>IFERROR(VLOOKUP(B187,[1]銷貨單品號主檔!$A:$D,4,0),"學習周邊")</f>
        <v>學習周邊</v>
      </c>
      <c r="B187" t="s">
        <v>178</v>
      </c>
      <c r="C187" s="11" t="s">
        <v>65</v>
      </c>
      <c r="D187" s="26">
        <v>2</v>
      </c>
      <c r="E187" s="26">
        <v>445.71428571428572</v>
      </c>
      <c r="F187" s="26" t="s">
        <v>309</v>
      </c>
    </row>
    <row r="188" spans="1:6">
      <c r="A188" t="str">
        <f>IFERROR(VLOOKUP(B188,[1]銷貨單品號主檔!$A:$D,4,0),"學習周邊")</f>
        <v>學習周邊</v>
      </c>
      <c r="B188" t="s">
        <v>178</v>
      </c>
      <c r="C188" s="11" t="s">
        <v>73</v>
      </c>
      <c r="D188" s="26">
        <v>1</v>
      </c>
      <c r="E188" s="26">
        <v>222.85714285714286</v>
      </c>
      <c r="F188" s="26" t="s">
        <v>309</v>
      </c>
    </row>
    <row r="189" spans="1:6">
      <c r="A189" t="str">
        <f>IFERROR(VLOOKUP(B189,[1]銷貨單品號主檔!$A:$D,4,0),"學習周邊")</f>
        <v>學習周邊</v>
      </c>
      <c r="B189" t="s">
        <v>178</v>
      </c>
      <c r="C189" s="11" t="s">
        <v>332</v>
      </c>
      <c r="D189" s="26">
        <v>1</v>
      </c>
      <c r="E189" s="26">
        <v>222.85714285714286</v>
      </c>
      <c r="F189" s="26" t="s">
        <v>309</v>
      </c>
    </row>
    <row r="190" spans="1:6">
      <c r="A190" t="str">
        <f>IFERROR(VLOOKUP(B190,[1]銷貨單品號主檔!$A:$D,4,0),"學習周邊")</f>
        <v>學習周邊</v>
      </c>
      <c r="B190" t="s">
        <v>179</v>
      </c>
      <c r="C190" s="11" t="s">
        <v>65</v>
      </c>
      <c r="D190" s="26">
        <v>2</v>
      </c>
      <c r="E190" s="26">
        <v>445.71428571428572</v>
      </c>
      <c r="F190" s="26" t="s">
        <v>309</v>
      </c>
    </row>
    <row r="191" spans="1:6">
      <c r="A191" t="str">
        <f>IFERROR(VLOOKUP(B191,[1]銷貨單品號主檔!$A:$D,4,0),"學習周邊")</f>
        <v>學習周邊</v>
      </c>
      <c r="B191" t="s">
        <v>179</v>
      </c>
      <c r="C191" s="11" t="s">
        <v>73</v>
      </c>
      <c r="D191" s="26">
        <v>1</v>
      </c>
      <c r="E191" s="26">
        <v>222.85714285714286</v>
      </c>
      <c r="F191" s="26" t="s">
        <v>309</v>
      </c>
    </row>
    <row r="192" spans="1:6">
      <c r="A192" t="str">
        <f>IFERROR(VLOOKUP(B192,[1]銷貨單品號主檔!$A:$D,4,0),"學習周邊")</f>
        <v>學習周邊</v>
      </c>
      <c r="B192" t="s">
        <v>179</v>
      </c>
      <c r="C192" s="11" t="s">
        <v>332</v>
      </c>
      <c r="D192" s="26">
        <v>1</v>
      </c>
      <c r="E192" s="26">
        <v>222.85714285714286</v>
      </c>
      <c r="F192" s="26" t="s">
        <v>309</v>
      </c>
    </row>
    <row r="193" spans="1:6">
      <c r="A193" t="str">
        <f>IFERROR(VLOOKUP(B193,[1]銷貨單品號主檔!$A:$D,4,0),"學習周邊")</f>
        <v>學習周邊</v>
      </c>
      <c r="B193" t="s">
        <v>180</v>
      </c>
      <c r="C193" s="11" t="s">
        <v>65</v>
      </c>
      <c r="D193" s="26">
        <v>2</v>
      </c>
      <c r="E193" s="26">
        <v>445.71428571428572</v>
      </c>
      <c r="F193" s="26" t="s">
        <v>309</v>
      </c>
    </row>
    <row r="194" spans="1:6">
      <c r="A194" t="str">
        <f>IFERROR(VLOOKUP(B194,[1]銷貨單品號主檔!$A:$D,4,0),"學習周邊")</f>
        <v>學習周邊</v>
      </c>
      <c r="B194" t="s">
        <v>180</v>
      </c>
      <c r="C194" s="11" t="s">
        <v>73</v>
      </c>
      <c r="D194" s="26">
        <v>1</v>
      </c>
      <c r="E194" s="26">
        <v>222.85714285714286</v>
      </c>
      <c r="F194" s="26" t="s">
        <v>309</v>
      </c>
    </row>
    <row r="195" spans="1:6">
      <c r="A195" t="str">
        <f>IFERROR(VLOOKUP(B195,[1]銷貨單品號主檔!$A:$D,4,0),"學習周邊")</f>
        <v>學習周邊</v>
      </c>
      <c r="B195" t="s">
        <v>180</v>
      </c>
      <c r="C195" s="11" t="s">
        <v>332</v>
      </c>
      <c r="D195" s="26">
        <v>1</v>
      </c>
      <c r="E195" s="26">
        <v>222.85714285714286</v>
      </c>
      <c r="F195" s="26" t="s">
        <v>309</v>
      </c>
    </row>
    <row r="196" spans="1:6">
      <c r="A196" t="str">
        <f>IFERROR(VLOOKUP(B196,[1]銷貨單品號主檔!$A:$D,4,0),"學習周邊")</f>
        <v>學習周邊</v>
      </c>
      <c r="B196" t="s">
        <v>181</v>
      </c>
      <c r="C196" s="11" t="s">
        <v>65</v>
      </c>
      <c r="D196" s="26">
        <v>2</v>
      </c>
      <c r="E196" s="26">
        <v>445.71428571428572</v>
      </c>
      <c r="F196" s="26" t="s">
        <v>309</v>
      </c>
    </row>
    <row r="197" spans="1:6">
      <c r="A197" t="str">
        <f>IFERROR(VLOOKUP(B197,[1]銷貨單品號主檔!$A:$D,4,0),"學習周邊")</f>
        <v>學習周邊</v>
      </c>
      <c r="B197" t="s">
        <v>181</v>
      </c>
      <c r="C197" s="11" t="s">
        <v>73</v>
      </c>
      <c r="D197" s="26">
        <v>1</v>
      </c>
      <c r="E197" s="26">
        <v>222.85714285714286</v>
      </c>
      <c r="F197" s="26" t="s">
        <v>309</v>
      </c>
    </row>
    <row r="198" spans="1:6">
      <c r="A198" t="str">
        <f>IFERROR(VLOOKUP(B198,[1]銷貨單品號主檔!$A:$D,4,0),"學習周邊")</f>
        <v>學習周邊</v>
      </c>
      <c r="B198" t="s">
        <v>181</v>
      </c>
      <c r="C198" s="11" t="s">
        <v>332</v>
      </c>
      <c r="D198" s="26">
        <v>1</v>
      </c>
      <c r="E198" s="26">
        <v>222.85714285714286</v>
      </c>
      <c r="F198" s="26" t="s">
        <v>309</v>
      </c>
    </row>
    <row r="199" spans="1:6">
      <c r="A199" t="str">
        <f>IFERROR(VLOOKUP(B199,[1]銷貨單品號主檔!$A:$D,4,0),"學習周邊")</f>
        <v>學習</v>
      </c>
      <c r="B199" t="s">
        <v>182</v>
      </c>
      <c r="C199" s="11" t="s">
        <v>56</v>
      </c>
      <c r="D199" s="26">
        <v>1</v>
      </c>
      <c r="E199" s="26">
        <v>2474.2857142857142</v>
      </c>
      <c r="F199" s="26" t="s">
        <v>309</v>
      </c>
    </row>
    <row r="200" spans="1:6">
      <c r="A200" t="str">
        <f>IFERROR(VLOOKUP(B200,[1]銷貨單品號主檔!$A:$D,4,0),"學習周邊")</f>
        <v>學習</v>
      </c>
      <c r="B200" t="s">
        <v>182</v>
      </c>
      <c r="C200" s="11" t="s">
        <v>60</v>
      </c>
      <c r="D200" s="26">
        <v>3</v>
      </c>
      <c r="E200" s="26">
        <v>7422.8571428571422</v>
      </c>
      <c r="F200" s="26" t="s">
        <v>309</v>
      </c>
    </row>
    <row r="201" spans="1:6">
      <c r="A201" t="str">
        <f>IFERROR(VLOOKUP(B201,[1]銷貨單品號主檔!$A:$D,4,0),"學習周邊")</f>
        <v>學習</v>
      </c>
      <c r="B201" t="s">
        <v>182</v>
      </c>
      <c r="C201" s="11" t="s">
        <v>62</v>
      </c>
      <c r="D201" s="26">
        <v>2</v>
      </c>
      <c r="E201" s="26">
        <v>4948.5714285714284</v>
      </c>
      <c r="F201" s="26" t="s">
        <v>309</v>
      </c>
    </row>
    <row r="202" spans="1:6">
      <c r="A202" t="str">
        <f>IFERROR(VLOOKUP(B202,[1]銷貨單品號主檔!$A:$D,4,0),"學習周邊")</f>
        <v>學習</v>
      </c>
      <c r="B202" t="s">
        <v>182</v>
      </c>
      <c r="C202" s="11" t="s">
        <v>65</v>
      </c>
      <c r="D202" s="26">
        <v>13</v>
      </c>
      <c r="E202" s="26">
        <v>32165.714285714283</v>
      </c>
      <c r="F202" s="26" t="s">
        <v>309</v>
      </c>
    </row>
    <row r="203" spans="1:6">
      <c r="A203" t="str">
        <f>IFERROR(VLOOKUP(B203,[1]銷貨單品號主檔!$A:$D,4,0),"學習周邊")</f>
        <v>學習</v>
      </c>
      <c r="B203" t="s">
        <v>182</v>
      </c>
      <c r="C203" s="11" t="s">
        <v>67</v>
      </c>
      <c r="D203" s="26">
        <v>6</v>
      </c>
      <c r="E203" s="26">
        <v>14845.714285714284</v>
      </c>
      <c r="F203" s="26" t="s">
        <v>309</v>
      </c>
    </row>
    <row r="204" spans="1:6">
      <c r="A204" t="str">
        <f>IFERROR(VLOOKUP(B204,[1]銷貨單品號主檔!$A:$D,4,0),"學習周邊")</f>
        <v>學習</v>
      </c>
      <c r="B204" t="s">
        <v>182</v>
      </c>
      <c r="C204" s="11" t="s">
        <v>73</v>
      </c>
      <c r="D204" s="26">
        <v>2</v>
      </c>
      <c r="E204" s="26">
        <v>4948.5714285714284</v>
      </c>
      <c r="F204" s="26" t="s">
        <v>309</v>
      </c>
    </row>
    <row r="205" spans="1:6">
      <c r="A205" t="str">
        <f>IFERROR(VLOOKUP(B205,[1]銷貨單品號主檔!$A:$D,4,0),"學習周邊")</f>
        <v>學習</v>
      </c>
      <c r="B205" t="s">
        <v>182</v>
      </c>
      <c r="C205" s="11" t="s">
        <v>66</v>
      </c>
      <c r="D205" s="26">
        <v>1</v>
      </c>
      <c r="E205" s="26">
        <v>2474.2857142857142</v>
      </c>
      <c r="F205" s="26" t="s">
        <v>309</v>
      </c>
    </row>
    <row r="206" spans="1:6">
      <c r="A206" t="str">
        <f>IFERROR(VLOOKUP(B206,[1]銷貨單品號主檔!$A:$D,4,0),"學習周邊")</f>
        <v>學習</v>
      </c>
      <c r="B206" t="s">
        <v>182</v>
      </c>
      <c r="C206" s="11" t="s">
        <v>107</v>
      </c>
      <c r="D206" s="26">
        <v>2</v>
      </c>
      <c r="E206" s="26">
        <v>4948.5714285714284</v>
      </c>
      <c r="F206" s="26" t="s">
        <v>309</v>
      </c>
    </row>
    <row r="207" spans="1:6">
      <c r="A207" t="str">
        <f>IFERROR(VLOOKUP(B207,[1]銷貨單品號主檔!$A:$D,4,0),"學習周邊")</f>
        <v>學習</v>
      </c>
      <c r="B207" t="s">
        <v>182</v>
      </c>
      <c r="C207" s="11" t="s">
        <v>85</v>
      </c>
      <c r="D207" s="26">
        <v>2</v>
      </c>
      <c r="E207" s="26">
        <v>4948.5714285714284</v>
      </c>
      <c r="F207" s="26" t="s">
        <v>309</v>
      </c>
    </row>
    <row r="208" spans="1:6">
      <c r="A208" t="str">
        <f>IFERROR(VLOOKUP(B208,[1]銷貨單品號主檔!$A:$D,4,0),"學習周邊")</f>
        <v>學習</v>
      </c>
      <c r="B208" t="s">
        <v>182</v>
      </c>
      <c r="C208" s="11" t="s">
        <v>90</v>
      </c>
      <c r="D208" s="26">
        <v>1</v>
      </c>
      <c r="E208" s="26">
        <v>2474.2857142857142</v>
      </c>
      <c r="F208" s="26" t="s">
        <v>309</v>
      </c>
    </row>
    <row r="209" spans="1:6">
      <c r="A209" t="str">
        <f>IFERROR(VLOOKUP(B209,[1]銷貨單品號主檔!$A:$D,4,0),"學習周邊")</f>
        <v>學習</v>
      </c>
      <c r="B209" t="s">
        <v>182</v>
      </c>
      <c r="C209" s="11" t="s">
        <v>88</v>
      </c>
      <c r="D209" s="26">
        <v>6</v>
      </c>
      <c r="E209" s="26">
        <v>14845.714285714284</v>
      </c>
      <c r="F209" s="26" t="s">
        <v>309</v>
      </c>
    </row>
    <row r="210" spans="1:6">
      <c r="A210" t="str">
        <f>IFERROR(VLOOKUP(B210,[1]銷貨單品號主檔!$A:$D,4,0),"學習周邊")</f>
        <v>學習</v>
      </c>
      <c r="B210" t="s">
        <v>182</v>
      </c>
      <c r="C210" s="11" t="s">
        <v>92</v>
      </c>
      <c r="D210" s="26">
        <v>4</v>
      </c>
      <c r="E210" s="26">
        <v>9897.1428571428569</v>
      </c>
      <c r="F210" s="26" t="s">
        <v>309</v>
      </c>
    </row>
    <row r="211" spans="1:6">
      <c r="A211" t="str">
        <f>IFERROR(VLOOKUP(B211,[1]銷貨單品號主檔!$A:$D,4,0),"學習周邊")</f>
        <v>學習</v>
      </c>
      <c r="B211" t="s">
        <v>182</v>
      </c>
      <c r="C211" s="11" t="s">
        <v>326</v>
      </c>
      <c r="D211" s="26">
        <v>1</v>
      </c>
      <c r="E211" s="26">
        <v>2474.2857142857142</v>
      </c>
      <c r="F211" s="26" t="s">
        <v>309</v>
      </c>
    </row>
    <row r="212" spans="1:6">
      <c r="A212" t="str">
        <f>IFERROR(VLOOKUP(B212,[1]銷貨單品號主檔!$A:$D,4,0),"學習周邊")</f>
        <v>學習</v>
      </c>
      <c r="B212" t="s">
        <v>182</v>
      </c>
      <c r="C212" s="11" t="s">
        <v>328</v>
      </c>
      <c r="D212" s="26">
        <v>1</v>
      </c>
      <c r="E212" s="26">
        <v>2474.2857142857142</v>
      </c>
      <c r="F212" s="26" t="s">
        <v>309</v>
      </c>
    </row>
    <row r="213" spans="1:6">
      <c r="A213" t="str">
        <f>IFERROR(VLOOKUP(B213,[1]銷貨單品號主檔!$A:$D,4,0),"學習周邊")</f>
        <v>學習</v>
      </c>
      <c r="B213" t="s">
        <v>182</v>
      </c>
      <c r="C213" s="11" t="s">
        <v>329</v>
      </c>
      <c r="D213" s="26">
        <v>1</v>
      </c>
      <c r="E213" s="26">
        <v>2474.2857142857142</v>
      </c>
      <c r="F213" s="26" t="s">
        <v>309</v>
      </c>
    </row>
    <row r="214" spans="1:6">
      <c r="A214" t="str">
        <f>IFERROR(VLOOKUP(B214,[1]銷貨單品號主檔!$A:$D,4,0),"學習周邊")</f>
        <v>學習</v>
      </c>
      <c r="B214" t="s">
        <v>182</v>
      </c>
      <c r="C214" s="11" t="s">
        <v>332</v>
      </c>
      <c r="D214" s="26">
        <v>3</v>
      </c>
      <c r="E214" s="26">
        <v>7422.8571428571422</v>
      </c>
      <c r="F214" s="26" t="s">
        <v>309</v>
      </c>
    </row>
    <row r="215" spans="1:6">
      <c r="A215" t="str">
        <f>IFERROR(VLOOKUP(B215,[1]銷貨單品號主檔!$A:$D,4,0),"學習周邊")</f>
        <v>學習</v>
      </c>
      <c r="B215" t="s">
        <v>182</v>
      </c>
      <c r="C215" s="11" t="s">
        <v>330</v>
      </c>
      <c r="D215" s="26">
        <v>5</v>
      </c>
      <c r="E215" s="26">
        <v>12371.428571428571</v>
      </c>
      <c r="F215" s="26" t="s">
        <v>309</v>
      </c>
    </row>
    <row r="216" spans="1:6">
      <c r="A216" t="str">
        <f>IFERROR(VLOOKUP(B216,[1]銷貨單品號主檔!$A:$D,4,0),"學習周邊")</f>
        <v>學習</v>
      </c>
      <c r="B216" t="s">
        <v>182</v>
      </c>
      <c r="C216" s="11" t="s">
        <v>331</v>
      </c>
      <c r="D216" s="26">
        <v>2</v>
      </c>
      <c r="E216" s="26">
        <v>4948.5714285714284</v>
      </c>
      <c r="F216" s="26" t="s">
        <v>309</v>
      </c>
    </row>
    <row r="217" spans="1:6">
      <c r="A217" t="str">
        <f>IFERROR(VLOOKUP(B217,[1]銷貨單品號主檔!$A:$D,4,0),"學習周邊")</f>
        <v>學習</v>
      </c>
      <c r="B217" t="s">
        <v>182</v>
      </c>
      <c r="C217" s="11" t="s">
        <v>349</v>
      </c>
      <c r="D217" s="26">
        <v>1</v>
      </c>
      <c r="E217" s="26">
        <v>2474.2857142857142</v>
      </c>
      <c r="F217" s="26" t="s">
        <v>309</v>
      </c>
    </row>
    <row r="218" spans="1:6">
      <c r="A218" t="str">
        <f>IFERROR(VLOOKUP(B218,[1]銷貨單品號主檔!$A:$D,4,0),"學習周邊")</f>
        <v>學習</v>
      </c>
      <c r="B218" t="s">
        <v>182</v>
      </c>
      <c r="C218" s="11" t="s">
        <v>354</v>
      </c>
      <c r="D218" s="26">
        <v>1</v>
      </c>
      <c r="E218" s="26">
        <v>2474.2857142857142</v>
      </c>
      <c r="F218" s="26" t="s">
        <v>309</v>
      </c>
    </row>
    <row r="219" spans="1:6">
      <c r="A219" t="str">
        <f>IFERROR(VLOOKUP(B219,[1]銷貨單品號主檔!$A:$D,4,0),"學習周邊")</f>
        <v>學習</v>
      </c>
      <c r="B219" t="s">
        <v>182</v>
      </c>
      <c r="C219" s="11" t="s">
        <v>353</v>
      </c>
      <c r="D219" s="26">
        <v>2</v>
      </c>
      <c r="E219" s="26">
        <v>4948.5714285714284</v>
      </c>
      <c r="F219" s="26" t="s">
        <v>309</v>
      </c>
    </row>
    <row r="220" spans="1:6">
      <c r="A220" t="str">
        <f>IFERROR(VLOOKUP(B220,[1]銷貨單品號主檔!$A:$D,4,0),"學習周邊")</f>
        <v>學習周邊</v>
      </c>
      <c r="B220" t="s">
        <v>185</v>
      </c>
      <c r="C220" s="11" t="s">
        <v>56</v>
      </c>
      <c r="D220" s="26">
        <v>1</v>
      </c>
      <c r="E220" s="26">
        <v>1046.6666666666665</v>
      </c>
      <c r="F220" s="26" t="s">
        <v>309</v>
      </c>
    </row>
    <row r="221" spans="1:6">
      <c r="A221" t="str">
        <f>IFERROR(VLOOKUP(B221,[1]銷貨單品號主檔!$A:$D,4,0),"學習周邊")</f>
        <v>學習周邊</v>
      </c>
      <c r="B221" t="s">
        <v>190</v>
      </c>
      <c r="C221" s="11" t="s">
        <v>65</v>
      </c>
      <c r="D221" s="26">
        <v>3</v>
      </c>
      <c r="E221" s="26">
        <v>333.33333333333331</v>
      </c>
      <c r="F221" s="26" t="s">
        <v>309</v>
      </c>
    </row>
    <row r="222" spans="1:6">
      <c r="A222" t="str">
        <f>IFERROR(VLOOKUP(B222,[1]銷貨單品號主檔!$A:$D,4,0),"學習周邊")</f>
        <v>學習周邊</v>
      </c>
      <c r="B222" t="s">
        <v>190</v>
      </c>
      <c r="C222" s="11" t="s">
        <v>66</v>
      </c>
      <c r="D222" s="26">
        <v>1</v>
      </c>
      <c r="E222" s="26">
        <v>333.33333333333331</v>
      </c>
      <c r="F222" s="26" t="s">
        <v>309</v>
      </c>
    </row>
    <row r="223" spans="1:6">
      <c r="A223" t="str">
        <f>IFERROR(VLOOKUP(B223,[1]銷貨單品號主檔!$A:$D,4,0),"學習周邊")</f>
        <v>學習周邊</v>
      </c>
      <c r="B223" t="s">
        <v>190</v>
      </c>
      <c r="C223" s="11" t="s">
        <v>88</v>
      </c>
      <c r="D223" s="26">
        <v>1</v>
      </c>
      <c r="E223" s="26">
        <v>333.33333333333331</v>
      </c>
      <c r="F223" s="26" t="s">
        <v>309</v>
      </c>
    </row>
    <row r="224" spans="1:6">
      <c r="A224" t="str">
        <f>IFERROR(VLOOKUP(B224,[1]銷貨單品號主檔!$A:$D,4,0),"學習周邊")</f>
        <v>學習周邊</v>
      </c>
      <c r="B224" t="s">
        <v>190</v>
      </c>
      <c r="C224" s="11" t="s">
        <v>53</v>
      </c>
      <c r="D224" s="26">
        <v>3</v>
      </c>
      <c r="E224" s="26">
        <v>100</v>
      </c>
      <c r="F224" s="26" t="s">
        <v>309</v>
      </c>
    </row>
    <row r="225" spans="1:6">
      <c r="A225" t="str">
        <f>IFERROR(VLOOKUP(B225,[1]銷貨單品號主檔!$A:$D,4,0),"學習周邊")</f>
        <v>學習周邊</v>
      </c>
      <c r="B225" t="s">
        <v>195</v>
      </c>
      <c r="C225" s="11" t="s">
        <v>65</v>
      </c>
      <c r="D225" s="26">
        <v>3</v>
      </c>
      <c r="E225" s="26">
        <v>814.28571428571422</v>
      </c>
      <c r="F225" s="26" t="s">
        <v>309</v>
      </c>
    </row>
    <row r="226" spans="1:6">
      <c r="A226" t="str">
        <f>IFERROR(VLOOKUP(B226,[1]銷貨單品號主檔!$A:$D,4,0),"學習周邊")</f>
        <v>學習周邊</v>
      </c>
      <c r="B226" t="s">
        <v>197</v>
      </c>
      <c r="C226" s="11" t="s">
        <v>73</v>
      </c>
      <c r="D226" s="26">
        <v>1</v>
      </c>
      <c r="E226" s="26">
        <v>85.714285714285708</v>
      </c>
      <c r="F226" s="26" t="s">
        <v>309</v>
      </c>
    </row>
    <row r="227" spans="1:6">
      <c r="A227" t="str">
        <f>IFERROR(VLOOKUP(B227,[1]銷貨單品號主檔!$A:$D,4,0),"學習周邊")</f>
        <v>學習周邊</v>
      </c>
      <c r="B227" t="s">
        <v>197</v>
      </c>
      <c r="C227" s="11" t="s">
        <v>76</v>
      </c>
      <c r="D227" s="26">
        <v>1</v>
      </c>
      <c r="E227" s="26">
        <v>85.714285714285708</v>
      </c>
      <c r="F227" s="26" t="s">
        <v>309</v>
      </c>
    </row>
    <row r="228" spans="1:6">
      <c r="A228" t="str">
        <f>IFERROR(VLOOKUP(B228,[1]銷貨單品號主檔!$A:$D,4,0),"學習周邊")</f>
        <v>學習周邊</v>
      </c>
      <c r="B228" t="s">
        <v>199</v>
      </c>
      <c r="C228" s="11" t="s">
        <v>73</v>
      </c>
      <c r="D228" s="26">
        <v>1</v>
      </c>
      <c r="E228" s="26">
        <v>85.714285714285708</v>
      </c>
      <c r="F228" s="26" t="s">
        <v>309</v>
      </c>
    </row>
    <row r="229" spans="1:6">
      <c r="A229" t="str">
        <f>IFERROR(VLOOKUP(B229,[1]銷貨單品號主檔!$A:$D,4,0),"學習周邊")</f>
        <v>學習周邊</v>
      </c>
      <c r="B229" t="s">
        <v>199</v>
      </c>
      <c r="C229" s="11" t="s">
        <v>107</v>
      </c>
      <c r="D229" s="26">
        <v>1</v>
      </c>
      <c r="E229" s="26">
        <v>284.76190476190476</v>
      </c>
      <c r="F229" s="26" t="s">
        <v>309</v>
      </c>
    </row>
    <row r="230" spans="1:6">
      <c r="A230" t="str">
        <f>IFERROR(VLOOKUP(B230,[1]銷貨單品號主檔!$A:$D,4,0),"學習周邊")</f>
        <v>學習周邊</v>
      </c>
      <c r="B230" t="s">
        <v>199</v>
      </c>
      <c r="C230" s="11" t="s">
        <v>76</v>
      </c>
      <c r="D230" s="26">
        <v>1</v>
      </c>
      <c r="E230" s="26">
        <v>85.714285714285708</v>
      </c>
      <c r="F230" s="26" t="s">
        <v>309</v>
      </c>
    </row>
    <row r="231" spans="1:6">
      <c r="A231" t="str">
        <f>IFERROR(VLOOKUP(B231,[1]銷貨單品號主檔!$A:$D,4,0),"學習周邊")</f>
        <v>學習周邊</v>
      </c>
      <c r="B231" t="s">
        <v>201</v>
      </c>
      <c r="C231" s="11" t="s">
        <v>73</v>
      </c>
      <c r="D231" s="26">
        <v>1</v>
      </c>
      <c r="E231" s="26">
        <v>85.714285714285708</v>
      </c>
      <c r="F231" s="26" t="s">
        <v>309</v>
      </c>
    </row>
    <row r="232" spans="1:6">
      <c r="A232" t="str">
        <f>IFERROR(VLOOKUP(B232,[1]銷貨單品號主檔!$A:$D,4,0),"學習周邊")</f>
        <v>學習周邊</v>
      </c>
      <c r="B232" t="s">
        <v>201</v>
      </c>
      <c r="C232" s="11" t="s">
        <v>76</v>
      </c>
      <c r="D232" s="26">
        <v>1</v>
      </c>
      <c r="E232" s="26">
        <v>85.714285714285708</v>
      </c>
      <c r="F232" s="26" t="s">
        <v>309</v>
      </c>
    </row>
    <row r="233" spans="1:6">
      <c r="A233" t="str">
        <f>IFERROR(VLOOKUP(B233,[1]銷貨單品號主檔!$A:$D,4,0),"學習周邊")</f>
        <v>學習周邊</v>
      </c>
      <c r="B233" t="s">
        <v>203</v>
      </c>
      <c r="C233" s="11" t="s">
        <v>65</v>
      </c>
      <c r="D233" s="26">
        <v>2</v>
      </c>
      <c r="E233" s="26">
        <v>200</v>
      </c>
      <c r="F233" s="26" t="s">
        <v>309</v>
      </c>
    </row>
    <row r="234" spans="1:6">
      <c r="A234" t="str">
        <f>IFERROR(VLOOKUP(B234,[1]銷貨單品號主檔!$A:$D,4,0),"學習周邊")</f>
        <v>學習周邊</v>
      </c>
      <c r="B234" t="s">
        <v>203</v>
      </c>
      <c r="C234" s="11" t="s">
        <v>76</v>
      </c>
      <c r="D234" s="26">
        <v>1</v>
      </c>
      <c r="E234" s="26">
        <v>85.714285714285708</v>
      </c>
      <c r="F234" s="26" t="s">
        <v>309</v>
      </c>
    </row>
    <row r="235" spans="1:6">
      <c r="A235" t="str">
        <f>IFERROR(VLOOKUP(B235,[1]銷貨單品號主檔!$A:$D,4,0),"學習周邊")</f>
        <v>學習周邊</v>
      </c>
      <c r="B235" t="s">
        <v>203</v>
      </c>
      <c r="C235" s="11" t="s">
        <v>85</v>
      </c>
      <c r="D235" s="26">
        <v>1</v>
      </c>
      <c r="E235" s="26">
        <v>285.71428571428572</v>
      </c>
      <c r="F235" s="26" t="s">
        <v>309</v>
      </c>
    </row>
    <row r="236" spans="1:6">
      <c r="A236" t="str">
        <f>IFERROR(VLOOKUP(B236,[1]銷貨單品號主檔!$A:$D,4,0),"學習周邊")</f>
        <v>學習周邊</v>
      </c>
      <c r="B236" t="s">
        <v>206</v>
      </c>
      <c r="C236" s="11" t="s">
        <v>65</v>
      </c>
      <c r="D236" s="26">
        <v>1</v>
      </c>
      <c r="E236" s="26">
        <v>85.714285714285708</v>
      </c>
      <c r="F236" s="26" t="s">
        <v>309</v>
      </c>
    </row>
    <row r="237" spans="1:6">
      <c r="A237" t="str">
        <f>IFERROR(VLOOKUP(B237,[1]銷貨單品號主檔!$A:$D,4,0),"學習周邊")</f>
        <v>學習周邊</v>
      </c>
      <c r="B237" t="s">
        <v>206</v>
      </c>
      <c r="C237" s="11" t="s">
        <v>73</v>
      </c>
      <c r="D237" s="26">
        <v>1</v>
      </c>
      <c r="E237" s="26">
        <v>85.714285714285708</v>
      </c>
      <c r="F237" s="26" t="s">
        <v>309</v>
      </c>
    </row>
    <row r="238" spans="1:6">
      <c r="A238" t="str">
        <f>IFERROR(VLOOKUP(B238,[1]銷貨單品號主檔!$A:$D,4,0),"學習周邊")</f>
        <v>學習周邊</v>
      </c>
      <c r="B238" t="s">
        <v>206</v>
      </c>
      <c r="C238" s="11" t="s">
        <v>353</v>
      </c>
      <c r="D238" s="26">
        <v>1</v>
      </c>
      <c r="E238" s="26">
        <v>285.71428571428572</v>
      </c>
      <c r="F238" s="26" t="s">
        <v>309</v>
      </c>
    </row>
    <row r="239" spans="1:6">
      <c r="A239" t="str">
        <f>IFERROR(VLOOKUP(B239,[1]銷貨單品號主檔!$A:$D,4,0),"學習周邊")</f>
        <v>學習周邊</v>
      </c>
      <c r="B239" t="s">
        <v>208</v>
      </c>
      <c r="C239" s="11" t="s">
        <v>107</v>
      </c>
      <c r="D239" s="26">
        <v>1</v>
      </c>
      <c r="E239" s="26">
        <v>284.76190476190476</v>
      </c>
      <c r="F239" s="26" t="s">
        <v>309</v>
      </c>
    </row>
    <row r="240" spans="1:6">
      <c r="A240" t="str">
        <f>IFERROR(VLOOKUP(B240,[1]銷貨單品號主檔!$A:$D,4,0),"學習周邊")</f>
        <v>學習周邊</v>
      </c>
      <c r="B240" t="s">
        <v>208</v>
      </c>
      <c r="C240" s="11" t="s">
        <v>76</v>
      </c>
      <c r="D240" s="26">
        <v>1</v>
      </c>
      <c r="E240" s="26">
        <v>85.714285714285708</v>
      </c>
      <c r="F240" s="26" t="s">
        <v>309</v>
      </c>
    </row>
    <row r="241" spans="1:6">
      <c r="A241" t="str">
        <f>IFERROR(VLOOKUP(B241,[1]銷貨單品號主檔!$A:$D,4,0),"學習周邊")</f>
        <v>學習周邊</v>
      </c>
      <c r="B241" t="s">
        <v>210</v>
      </c>
      <c r="C241" s="11" t="s">
        <v>67</v>
      </c>
      <c r="D241" s="26">
        <v>1</v>
      </c>
      <c r="E241" s="26">
        <v>657.14285714285711</v>
      </c>
      <c r="F241" s="26" t="s">
        <v>309</v>
      </c>
    </row>
    <row r="242" spans="1:6">
      <c r="A242" t="str">
        <f>IFERROR(VLOOKUP(B242,[1]銷貨單品號主檔!$A:$D,4,0),"學習周邊")</f>
        <v>學習周邊</v>
      </c>
      <c r="B242" t="s">
        <v>210</v>
      </c>
      <c r="C242" s="11" t="s">
        <v>107</v>
      </c>
      <c r="D242" s="26">
        <v>1</v>
      </c>
      <c r="E242" s="26">
        <v>657.14285714285711</v>
      </c>
      <c r="F242" s="26" t="s">
        <v>309</v>
      </c>
    </row>
    <row r="243" spans="1:6">
      <c r="A243" t="str">
        <f>IFERROR(VLOOKUP(B243,[1]銷貨單品號主檔!$A:$D,4,0),"學習周邊")</f>
        <v>學習周邊</v>
      </c>
      <c r="B243" t="s">
        <v>210</v>
      </c>
      <c r="C243" s="11" t="s">
        <v>81</v>
      </c>
      <c r="D243" s="26">
        <v>1</v>
      </c>
      <c r="E243" s="26">
        <v>657.14285714285711</v>
      </c>
      <c r="F243" s="26" t="s">
        <v>309</v>
      </c>
    </row>
    <row r="244" spans="1:6">
      <c r="A244" t="str">
        <f>IFERROR(VLOOKUP(B244,[1]銷貨單品號主檔!$A:$D,4,0),"學習周邊")</f>
        <v>學習周邊</v>
      </c>
      <c r="B244" t="s">
        <v>210</v>
      </c>
      <c r="C244" s="11" t="s">
        <v>88</v>
      </c>
      <c r="D244" s="26">
        <v>1</v>
      </c>
      <c r="E244" s="26">
        <v>657.14285714285711</v>
      </c>
      <c r="F244" s="26" t="s">
        <v>309</v>
      </c>
    </row>
    <row r="245" spans="1:6">
      <c r="A245" t="str">
        <f>IFERROR(VLOOKUP(B245,[1]銷貨單品號主檔!$A:$D,4,0),"學習周邊")</f>
        <v>學習周邊</v>
      </c>
      <c r="B245" t="s">
        <v>210</v>
      </c>
      <c r="C245" s="11" t="s">
        <v>328</v>
      </c>
      <c r="D245" s="26">
        <v>1</v>
      </c>
      <c r="E245" s="26">
        <v>657.14285714285711</v>
      </c>
      <c r="F245" s="26" t="s">
        <v>309</v>
      </c>
    </row>
    <row r="246" spans="1:6">
      <c r="A246" t="str">
        <f>IFERROR(VLOOKUP(B246,[1]銷貨單品號主檔!$A:$D,4,0),"學習周邊")</f>
        <v>學習周邊</v>
      </c>
      <c r="B246" t="s">
        <v>210</v>
      </c>
      <c r="C246" s="11" t="s">
        <v>329</v>
      </c>
      <c r="D246" s="26">
        <v>2</v>
      </c>
      <c r="E246" s="26">
        <v>1314.2857142857142</v>
      </c>
      <c r="F246" s="26" t="s">
        <v>309</v>
      </c>
    </row>
    <row r="247" spans="1:6">
      <c r="A247" t="str">
        <f>IFERROR(VLOOKUP(B247,[1]銷貨單品號主檔!$A:$D,4,0),"學習周邊")</f>
        <v>學習</v>
      </c>
      <c r="B247" t="s">
        <v>214</v>
      </c>
      <c r="C247" s="11" t="s">
        <v>60</v>
      </c>
      <c r="D247" s="26">
        <v>1</v>
      </c>
      <c r="E247" s="26">
        <v>2856.1904761904761</v>
      </c>
      <c r="F247" s="26" t="s">
        <v>309</v>
      </c>
    </row>
    <row r="248" spans="1:6">
      <c r="A248" t="str">
        <f>IFERROR(VLOOKUP(B248,[1]銷貨單品號主檔!$A:$D,4,0),"學習周邊")</f>
        <v>學習</v>
      </c>
      <c r="B248" t="s">
        <v>214</v>
      </c>
      <c r="C248" s="11" t="s">
        <v>65</v>
      </c>
      <c r="D248" s="26">
        <v>6</v>
      </c>
      <c r="E248" s="26">
        <v>17137.142857142855</v>
      </c>
      <c r="F248" s="26" t="s">
        <v>309</v>
      </c>
    </row>
    <row r="249" spans="1:6">
      <c r="A249" t="str">
        <f>IFERROR(VLOOKUP(B249,[1]銷貨單品號主檔!$A:$D,4,0),"學習周邊")</f>
        <v>學習</v>
      </c>
      <c r="B249" t="s">
        <v>214</v>
      </c>
      <c r="C249" s="11" t="s">
        <v>73</v>
      </c>
      <c r="D249" s="26">
        <v>1</v>
      </c>
      <c r="E249" s="26">
        <v>2856.1904761904761</v>
      </c>
      <c r="F249" s="26" t="s">
        <v>309</v>
      </c>
    </row>
    <row r="250" spans="1:6">
      <c r="A250" t="str">
        <f>IFERROR(VLOOKUP(B250,[1]銷貨單品號主檔!$A:$D,4,0),"學習周邊")</f>
        <v>學習</v>
      </c>
      <c r="B250" t="s">
        <v>214</v>
      </c>
      <c r="C250" s="11" t="s">
        <v>59</v>
      </c>
      <c r="D250" s="26">
        <v>2</v>
      </c>
      <c r="E250" s="26">
        <v>5712.3809523809523</v>
      </c>
      <c r="F250" s="26" t="s">
        <v>309</v>
      </c>
    </row>
    <row r="251" spans="1:6">
      <c r="A251" t="str">
        <f>IFERROR(VLOOKUP(B251,[1]銷貨單品號主檔!$A:$D,4,0),"學習周邊")</f>
        <v>學習</v>
      </c>
      <c r="B251" t="s">
        <v>214</v>
      </c>
      <c r="C251" s="11" t="s">
        <v>66</v>
      </c>
      <c r="D251" s="26">
        <v>2</v>
      </c>
      <c r="E251" s="26">
        <v>5712.3809523809523</v>
      </c>
      <c r="F251" s="26" t="s">
        <v>309</v>
      </c>
    </row>
    <row r="252" spans="1:6">
      <c r="A252" t="str">
        <f>IFERROR(VLOOKUP(B252,[1]銷貨單品號主檔!$A:$D,4,0),"學習周邊")</f>
        <v>學習</v>
      </c>
      <c r="B252" t="s">
        <v>214</v>
      </c>
      <c r="C252" s="11" t="s">
        <v>107</v>
      </c>
      <c r="D252" s="26">
        <v>1</v>
      </c>
      <c r="E252" s="26">
        <v>2856.1904761904761</v>
      </c>
      <c r="F252" s="26" t="s">
        <v>309</v>
      </c>
    </row>
    <row r="253" spans="1:6">
      <c r="A253" t="str">
        <f>IFERROR(VLOOKUP(B253,[1]銷貨單品號主檔!$A:$D,4,0),"學習周邊")</f>
        <v>學習</v>
      </c>
      <c r="B253" t="s">
        <v>214</v>
      </c>
      <c r="C253" s="11" t="s">
        <v>76</v>
      </c>
      <c r="D253" s="26">
        <v>1</v>
      </c>
      <c r="E253" s="26">
        <v>2856.1904761904761</v>
      </c>
      <c r="F253" s="26" t="s">
        <v>309</v>
      </c>
    </row>
    <row r="254" spans="1:6">
      <c r="A254" t="str">
        <f>IFERROR(VLOOKUP(B254,[1]銷貨單品號主檔!$A:$D,4,0),"學習周邊")</f>
        <v>學習</v>
      </c>
      <c r="B254" t="s">
        <v>214</v>
      </c>
      <c r="C254" s="11" t="s">
        <v>78</v>
      </c>
      <c r="D254" s="26">
        <v>1</v>
      </c>
      <c r="E254" s="26">
        <v>2856.1904761904761</v>
      </c>
      <c r="F254" s="26" t="s">
        <v>309</v>
      </c>
    </row>
    <row r="255" spans="1:6">
      <c r="A255" t="str">
        <f>IFERROR(VLOOKUP(B255,[1]銷貨單品號主檔!$A:$D,4,0),"學習周邊")</f>
        <v>學習</v>
      </c>
      <c r="B255" t="s">
        <v>214</v>
      </c>
      <c r="C255" s="11" t="s">
        <v>81</v>
      </c>
      <c r="D255" s="26">
        <v>1</v>
      </c>
      <c r="E255" s="26">
        <v>2856.1904761904761</v>
      </c>
      <c r="F255" s="26" t="s">
        <v>309</v>
      </c>
    </row>
    <row r="256" spans="1:6">
      <c r="A256" t="str">
        <f>IFERROR(VLOOKUP(B256,[1]銷貨單品號主檔!$A:$D,4,0),"學習周邊")</f>
        <v>學習</v>
      </c>
      <c r="B256" t="s">
        <v>214</v>
      </c>
      <c r="C256" s="11" t="s">
        <v>87</v>
      </c>
      <c r="D256" s="26">
        <v>1</v>
      </c>
      <c r="E256" s="26">
        <v>2856.1904761904761</v>
      </c>
      <c r="F256" s="26" t="s">
        <v>309</v>
      </c>
    </row>
    <row r="257" spans="1:6">
      <c r="A257" t="str">
        <f>IFERROR(VLOOKUP(B257,[1]銷貨單品號主檔!$A:$D,4,0),"學習周邊")</f>
        <v>學習</v>
      </c>
      <c r="B257" t="s">
        <v>214</v>
      </c>
      <c r="C257" s="11" t="s">
        <v>88</v>
      </c>
      <c r="D257" s="26">
        <v>3</v>
      </c>
      <c r="E257" s="26">
        <v>8568.5714285714275</v>
      </c>
      <c r="F257" s="26" t="s">
        <v>309</v>
      </c>
    </row>
    <row r="258" spans="1:6">
      <c r="A258" t="str">
        <f>IFERROR(VLOOKUP(B258,[1]銷貨單品號主檔!$A:$D,4,0),"學習周邊")</f>
        <v>學習</v>
      </c>
      <c r="B258" t="s">
        <v>214</v>
      </c>
      <c r="C258" s="11" t="s">
        <v>108</v>
      </c>
      <c r="D258" s="26">
        <v>3</v>
      </c>
      <c r="E258" s="26">
        <v>8568.5714285714275</v>
      </c>
      <c r="F258" s="26" t="s">
        <v>309</v>
      </c>
    </row>
    <row r="259" spans="1:6">
      <c r="A259" t="str">
        <f>IFERROR(VLOOKUP(B259,[1]銷貨單品號主檔!$A:$D,4,0),"學習周邊")</f>
        <v>學習</v>
      </c>
      <c r="B259" t="s">
        <v>214</v>
      </c>
      <c r="C259" s="11" t="s">
        <v>53</v>
      </c>
      <c r="D259" s="26">
        <v>3</v>
      </c>
      <c r="E259" s="26">
        <v>8568.5714285714275</v>
      </c>
      <c r="F259" s="26" t="s">
        <v>309</v>
      </c>
    </row>
    <row r="260" spans="1:6">
      <c r="A260" t="str">
        <f>IFERROR(VLOOKUP(B260,[1]銷貨單品號主檔!$A:$D,4,0),"學習周邊")</f>
        <v>學習</v>
      </c>
      <c r="B260" t="s">
        <v>214</v>
      </c>
      <c r="C260" s="11" t="s">
        <v>92</v>
      </c>
      <c r="D260" s="26">
        <v>1</v>
      </c>
      <c r="E260" s="26">
        <v>2856.1904761904761</v>
      </c>
      <c r="F260" s="26" t="s">
        <v>309</v>
      </c>
    </row>
    <row r="261" spans="1:6">
      <c r="A261" t="str">
        <f>IFERROR(VLOOKUP(B261,[1]銷貨單品號主檔!$A:$D,4,0),"學習周邊")</f>
        <v>學習</v>
      </c>
      <c r="B261" t="s">
        <v>214</v>
      </c>
      <c r="C261" s="11" t="s">
        <v>326</v>
      </c>
      <c r="D261" s="26">
        <v>2</v>
      </c>
      <c r="E261" s="26">
        <v>5712.3809523809523</v>
      </c>
      <c r="F261" s="26" t="s">
        <v>309</v>
      </c>
    </row>
    <row r="262" spans="1:6">
      <c r="A262" t="str">
        <f>IFERROR(VLOOKUP(B262,[1]銷貨單品號主檔!$A:$D,4,0),"學習周邊")</f>
        <v>學習</v>
      </c>
      <c r="B262" t="s">
        <v>214</v>
      </c>
      <c r="C262" s="11" t="s">
        <v>328</v>
      </c>
      <c r="D262" s="26">
        <v>1</v>
      </c>
      <c r="E262" s="26">
        <v>2856.1904761904761</v>
      </c>
      <c r="F262" s="26" t="s">
        <v>309</v>
      </c>
    </row>
    <row r="263" spans="1:6">
      <c r="A263" t="str">
        <f>IFERROR(VLOOKUP(B263,[1]銷貨單品號主檔!$A:$D,4,0),"學習周邊")</f>
        <v>學習</v>
      </c>
      <c r="B263" t="s">
        <v>214</v>
      </c>
      <c r="C263" s="11" t="s">
        <v>329</v>
      </c>
      <c r="D263" s="26">
        <v>1</v>
      </c>
      <c r="E263" s="26">
        <v>2856.1904761904761</v>
      </c>
      <c r="F263" s="26" t="s">
        <v>309</v>
      </c>
    </row>
    <row r="264" spans="1:6">
      <c r="A264" t="str">
        <f>IFERROR(VLOOKUP(B264,[1]銷貨單品號主檔!$A:$D,4,0),"學習周邊")</f>
        <v>學習</v>
      </c>
      <c r="B264" t="s">
        <v>214</v>
      </c>
      <c r="C264" s="11" t="s">
        <v>332</v>
      </c>
      <c r="D264" s="26">
        <v>5</v>
      </c>
      <c r="E264" s="26">
        <v>14280.95238095238</v>
      </c>
      <c r="F264" s="26" t="s">
        <v>309</v>
      </c>
    </row>
    <row r="265" spans="1:6">
      <c r="A265" t="str">
        <f>IFERROR(VLOOKUP(B265,[1]銷貨單品號主檔!$A:$D,4,0),"學習周邊")</f>
        <v>學習</v>
      </c>
      <c r="B265" t="s">
        <v>214</v>
      </c>
      <c r="C265" s="11" t="s">
        <v>330</v>
      </c>
      <c r="D265" s="26">
        <v>1</v>
      </c>
      <c r="E265" s="26">
        <v>2856.1904761904761</v>
      </c>
      <c r="F265" s="26" t="s">
        <v>309</v>
      </c>
    </row>
    <row r="266" spans="1:6">
      <c r="A266" t="str">
        <f>IFERROR(VLOOKUP(B266,[1]銷貨單品號主檔!$A:$D,4,0),"學習周邊")</f>
        <v>生活周邊</v>
      </c>
      <c r="B266" t="s">
        <v>157</v>
      </c>
      <c r="C266" s="11" t="s">
        <v>88</v>
      </c>
      <c r="D266" s="26">
        <v>2</v>
      </c>
      <c r="E266" s="26">
        <v>1712.3809523809523</v>
      </c>
      <c r="F266" s="26" t="s">
        <v>309</v>
      </c>
    </row>
    <row r="267" spans="1:6">
      <c r="A267" t="str">
        <f>IFERROR(VLOOKUP(B267,[1]銷貨單品號主檔!$A:$D,4,0),"學習周邊")</f>
        <v>生活周邊</v>
      </c>
      <c r="B267" t="s">
        <v>157</v>
      </c>
      <c r="C267" s="11" t="s">
        <v>92</v>
      </c>
      <c r="D267" s="26">
        <v>1</v>
      </c>
      <c r="E267" s="26">
        <v>856.19047619047615</v>
      </c>
      <c r="F267" s="26" t="s">
        <v>309</v>
      </c>
    </row>
    <row r="268" spans="1:6">
      <c r="A268" t="str">
        <f>IFERROR(VLOOKUP(B268,[1]銷貨單品號主檔!$A:$D,4,0),"學習周邊")</f>
        <v>學習</v>
      </c>
      <c r="B268" t="s">
        <v>216</v>
      </c>
      <c r="C268" s="11" t="s">
        <v>62</v>
      </c>
      <c r="D268" s="26">
        <v>1</v>
      </c>
      <c r="E268" s="26">
        <v>2664.7619047619046</v>
      </c>
      <c r="F268" s="26" t="s">
        <v>309</v>
      </c>
    </row>
    <row r="269" spans="1:6">
      <c r="A269" t="str">
        <f>IFERROR(VLOOKUP(B269,[1]銷貨單品號主檔!$A:$D,4,0),"學習周邊")</f>
        <v>學習</v>
      </c>
      <c r="B269" t="s">
        <v>216</v>
      </c>
      <c r="C269" s="11" t="s">
        <v>73</v>
      </c>
      <c r="D269" s="26">
        <v>1</v>
      </c>
      <c r="E269" s="26">
        <v>2664.7619047619046</v>
      </c>
      <c r="F269" s="26" t="s">
        <v>309</v>
      </c>
    </row>
    <row r="270" spans="1:6">
      <c r="A270" t="str">
        <f>IFERROR(VLOOKUP(B270,[1]銷貨單品號主檔!$A:$D,4,0),"學習周邊")</f>
        <v>學習</v>
      </c>
      <c r="B270" t="s">
        <v>216</v>
      </c>
      <c r="C270" s="11" t="s">
        <v>66</v>
      </c>
      <c r="D270" s="26">
        <v>1</v>
      </c>
      <c r="E270" s="26">
        <v>2664.7619047619046</v>
      </c>
      <c r="F270" s="26" t="s">
        <v>309</v>
      </c>
    </row>
    <row r="271" spans="1:6">
      <c r="A271" t="str">
        <f>IFERROR(VLOOKUP(B271,[1]銷貨單品號主檔!$A:$D,4,0),"學習周邊")</f>
        <v>學習</v>
      </c>
      <c r="B271" t="s">
        <v>216</v>
      </c>
      <c r="C271" s="11" t="s">
        <v>83</v>
      </c>
      <c r="D271" s="26">
        <v>1</v>
      </c>
      <c r="E271" s="26">
        <v>2664.7619047619046</v>
      </c>
      <c r="F271" s="26" t="s">
        <v>309</v>
      </c>
    </row>
    <row r="272" spans="1:6">
      <c r="A272" t="str">
        <f>IFERROR(VLOOKUP(B272,[1]銷貨單品號主檔!$A:$D,4,0),"學習周邊")</f>
        <v>學習</v>
      </c>
      <c r="B272" t="s">
        <v>111</v>
      </c>
      <c r="C272" s="11" t="s">
        <v>66</v>
      </c>
      <c r="D272" s="26">
        <v>1</v>
      </c>
      <c r="E272" s="26">
        <v>4285.7142857142853</v>
      </c>
      <c r="F272" s="26" t="s">
        <v>309</v>
      </c>
    </row>
    <row r="273" spans="1:6">
      <c r="A273" t="str">
        <f>IFERROR(VLOOKUP(B273,[1]銷貨單品號主檔!$A:$D,4,0),"學習周邊")</f>
        <v>學習</v>
      </c>
      <c r="B273" t="s">
        <v>111</v>
      </c>
      <c r="C273" s="11" t="s">
        <v>88</v>
      </c>
      <c r="D273" s="26">
        <v>1</v>
      </c>
      <c r="E273" s="26">
        <v>4285.7142857142853</v>
      </c>
      <c r="F273" s="26" t="s">
        <v>309</v>
      </c>
    </row>
    <row r="274" spans="1:6">
      <c r="A274" t="str">
        <f>IFERROR(VLOOKUP(B274,[1]銷貨單品號主檔!$A:$D,4,0),"學習周邊")</f>
        <v>學習</v>
      </c>
      <c r="B274" t="s">
        <v>111</v>
      </c>
      <c r="C274" s="11" t="s">
        <v>108</v>
      </c>
      <c r="D274" s="26">
        <v>1</v>
      </c>
      <c r="E274" s="26">
        <v>4285.7142857142853</v>
      </c>
      <c r="F274" s="26" t="s">
        <v>309</v>
      </c>
    </row>
    <row r="275" spans="1:6">
      <c r="A275" t="str">
        <f>IFERROR(VLOOKUP(B275,[1]銷貨單品號主檔!$A:$D,4,0),"學習周邊")</f>
        <v>學習</v>
      </c>
      <c r="B275" t="s">
        <v>111</v>
      </c>
      <c r="C275" s="11" t="s">
        <v>332</v>
      </c>
      <c r="D275" s="26">
        <v>1</v>
      </c>
      <c r="E275" s="26">
        <v>4285.7142857142853</v>
      </c>
      <c r="F275" s="26" t="s">
        <v>309</v>
      </c>
    </row>
    <row r="276" spans="1:6">
      <c r="A276" t="str">
        <f>IFERROR(VLOOKUP(B276,[1]銷貨單品號主檔!$A:$D,4,0),"學習周邊")</f>
        <v>學習</v>
      </c>
      <c r="B276" t="s">
        <v>221</v>
      </c>
      <c r="C276" s="11" t="s">
        <v>65</v>
      </c>
      <c r="D276" s="26">
        <v>1</v>
      </c>
      <c r="E276" s="26">
        <v>4760</v>
      </c>
      <c r="F276" s="26" t="s">
        <v>309</v>
      </c>
    </row>
    <row r="277" spans="1:6">
      <c r="A277" t="str">
        <f>IFERROR(VLOOKUP(B277,[1]銷貨單品號主檔!$A:$D,4,0),"學習周邊")</f>
        <v>學習</v>
      </c>
      <c r="B277" t="s">
        <v>221</v>
      </c>
      <c r="C277" s="11" t="s">
        <v>72</v>
      </c>
      <c r="D277" s="26">
        <v>1</v>
      </c>
      <c r="E277" s="26">
        <v>4760</v>
      </c>
      <c r="F277" s="26" t="s">
        <v>309</v>
      </c>
    </row>
    <row r="278" spans="1:6">
      <c r="A278" t="str">
        <f>IFERROR(VLOOKUP(B278,[1]銷貨單品號主檔!$A:$D,4,0),"學習周邊")</f>
        <v>學習</v>
      </c>
      <c r="B278" t="s">
        <v>222</v>
      </c>
      <c r="C278" s="11" t="s">
        <v>60</v>
      </c>
      <c r="D278" s="26">
        <v>1</v>
      </c>
      <c r="E278" s="26">
        <v>3047.6190476190477</v>
      </c>
      <c r="F278" s="26" t="s">
        <v>309</v>
      </c>
    </row>
    <row r="279" spans="1:6">
      <c r="A279" t="str">
        <f>IFERROR(VLOOKUP(B279,[1]銷貨單品號主檔!$A:$D,4,0),"學習周邊")</f>
        <v>學習</v>
      </c>
      <c r="B279" t="s">
        <v>222</v>
      </c>
      <c r="C279" s="11" t="s">
        <v>62</v>
      </c>
      <c r="D279" s="26">
        <v>1</v>
      </c>
      <c r="E279" s="26">
        <v>3047.6190476190477</v>
      </c>
      <c r="F279" s="26" t="s">
        <v>309</v>
      </c>
    </row>
    <row r="280" spans="1:6">
      <c r="A280" t="str">
        <f>IFERROR(VLOOKUP(B280,[1]銷貨單品號主檔!$A:$D,4,0),"學習周邊")</f>
        <v>學習</v>
      </c>
      <c r="B280" t="s">
        <v>222</v>
      </c>
      <c r="C280" s="11" t="s">
        <v>65</v>
      </c>
      <c r="D280" s="26">
        <v>9</v>
      </c>
      <c r="E280" s="26">
        <v>27428.571428571428</v>
      </c>
      <c r="F280" s="26" t="s">
        <v>309</v>
      </c>
    </row>
    <row r="281" spans="1:6">
      <c r="A281" t="str">
        <f>IFERROR(VLOOKUP(B281,[1]銷貨單品號主檔!$A:$D,4,0),"學習周邊")</f>
        <v>學習</v>
      </c>
      <c r="B281" t="s">
        <v>222</v>
      </c>
      <c r="C281" s="11" t="s">
        <v>67</v>
      </c>
      <c r="D281" s="26">
        <v>2</v>
      </c>
      <c r="E281" s="26">
        <v>6095.2380952380954</v>
      </c>
      <c r="F281" s="26" t="s">
        <v>309</v>
      </c>
    </row>
    <row r="282" spans="1:6">
      <c r="A282" t="str">
        <f>IFERROR(VLOOKUP(B282,[1]銷貨單品號主檔!$A:$D,4,0),"學習周邊")</f>
        <v>學習</v>
      </c>
      <c r="B282" t="s">
        <v>222</v>
      </c>
      <c r="C282" s="11" t="s">
        <v>73</v>
      </c>
      <c r="D282" s="26">
        <v>1</v>
      </c>
      <c r="E282" s="26">
        <v>3047.6190476190477</v>
      </c>
      <c r="F282" s="26" t="s">
        <v>309</v>
      </c>
    </row>
    <row r="283" spans="1:6">
      <c r="A283" t="str">
        <f>IFERROR(VLOOKUP(B283,[1]銷貨單品號主檔!$A:$D,4,0),"學習周邊")</f>
        <v>學習</v>
      </c>
      <c r="B283" t="s">
        <v>222</v>
      </c>
      <c r="C283" s="11" t="s">
        <v>66</v>
      </c>
      <c r="D283" s="26">
        <v>2</v>
      </c>
      <c r="E283" s="26">
        <v>6095.2380952380954</v>
      </c>
      <c r="F283" s="26" t="s">
        <v>309</v>
      </c>
    </row>
    <row r="284" spans="1:6">
      <c r="A284" t="str">
        <f>IFERROR(VLOOKUP(B284,[1]銷貨單品號主檔!$A:$D,4,0),"學習周邊")</f>
        <v>學習</v>
      </c>
      <c r="B284" t="s">
        <v>222</v>
      </c>
      <c r="C284" s="11" t="s">
        <v>107</v>
      </c>
      <c r="D284" s="26">
        <v>2</v>
      </c>
      <c r="E284" s="26">
        <v>6095.2380952380954</v>
      </c>
      <c r="F284" s="26" t="s">
        <v>309</v>
      </c>
    </row>
    <row r="285" spans="1:6">
      <c r="A285" t="str">
        <f>IFERROR(VLOOKUP(B285,[1]銷貨單品號主檔!$A:$D,4,0),"學習周邊")</f>
        <v>學習</v>
      </c>
      <c r="B285" t="s">
        <v>222</v>
      </c>
      <c r="C285" s="11" t="s">
        <v>72</v>
      </c>
      <c r="D285" s="26">
        <v>1</v>
      </c>
      <c r="E285" s="26">
        <v>3047.6190476190477</v>
      </c>
      <c r="F285" s="26" t="s">
        <v>309</v>
      </c>
    </row>
    <row r="286" spans="1:6">
      <c r="A286" t="str">
        <f>IFERROR(VLOOKUP(B286,[1]銷貨單品號主檔!$A:$D,4,0),"學習周邊")</f>
        <v>學習</v>
      </c>
      <c r="B286" t="s">
        <v>222</v>
      </c>
      <c r="C286" s="11" t="s">
        <v>78</v>
      </c>
      <c r="D286" s="26">
        <v>4</v>
      </c>
      <c r="E286" s="26">
        <v>12190.476190476191</v>
      </c>
      <c r="F286" s="26" t="s">
        <v>309</v>
      </c>
    </row>
    <row r="287" spans="1:6">
      <c r="A287" t="str">
        <f>IFERROR(VLOOKUP(B287,[1]銷貨單品號主檔!$A:$D,4,0),"學習周邊")</f>
        <v>學習</v>
      </c>
      <c r="B287" t="s">
        <v>222</v>
      </c>
      <c r="C287" s="11" t="s">
        <v>81</v>
      </c>
      <c r="D287" s="26">
        <v>1</v>
      </c>
      <c r="E287" s="26">
        <v>3047.6190476190477</v>
      </c>
      <c r="F287" s="26" t="s">
        <v>309</v>
      </c>
    </row>
    <row r="288" spans="1:6">
      <c r="A288" t="str">
        <f>IFERROR(VLOOKUP(B288,[1]銷貨單品號主檔!$A:$D,4,0),"學習周邊")</f>
        <v>學習</v>
      </c>
      <c r="B288" t="s">
        <v>222</v>
      </c>
      <c r="C288" s="11" t="s">
        <v>85</v>
      </c>
      <c r="D288" s="26">
        <v>2</v>
      </c>
      <c r="E288" s="26">
        <v>6095.2380952380954</v>
      </c>
      <c r="F288" s="26" t="s">
        <v>309</v>
      </c>
    </row>
    <row r="289" spans="1:6">
      <c r="A289" t="str">
        <f>IFERROR(VLOOKUP(B289,[1]銷貨單品號主檔!$A:$D,4,0),"學習周邊")</f>
        <v>學習</v>
      </c>
      <c r="B289" t="s">
        <v>222</v>
      </c>
      <c r="C289" s="11" t="s">
        <v>87</v>
      </c>
      <c r="D289" s="26">
        <v>1</v>
      </c>
      <c r="E289" s="26">
        <v>3047.6190476190477</v>
      </c>
      <c r="F289" s="26" t="s">
        <v>309</v>
      </c>
    </row>
    <row r="290" spans="1:6">
      <c r="A290" t="str">
        <f>IFERROR(VLOOKUP(B290,[1]銷貨單品號主檔!$A:$D,4,0),"學習周邊")</f>
        <v>學習</v>
      </c>
      <c r="B290" t="s">
        <v>222</v>
      </c>
      <c r="C290" s="11" t="s">
        <v>88</v>
      </c>
      <c r="D290" s="26">
        <v>3</v>
      </c>
      <c r="E290" s="26">
        <v>9142.8571428571431</v>
      </c>
      <c r="F290" s="26" t="s">
        <v>309</v>
      </c>
    </row>
    <row r="291" spans="1:6">
      <c r="A291" t="str">
        <f>IFERROR(VLOOKUP(B291,[1]銷貨單品號主檔!$A:$D,4,0),"學習周邊")</f>
        <v>學習</v>
      </c>
      <c r="B291" t="s">
        <v>222</v>
      </c>
      <c r="C291" s="11" t="s">
        <v>108</v>
      </c>
      <c r="D291" s="26">
        <v>4</v>
      </c>
      <c r="E291" s="26">
        <v>12190.476190476191</v>
      </c>
      <c r="F291" s="26" t="s">
        <v>309</v>
      </c>
    </row>
    <row r="292" spans="1:6">
      <c r="A292" t="str">
        <f>IFERROR(VLOOKUP(B292,[1]銷貨單品號主檔!$A:$D,4,0),"學習周邊")</f>
        <v>學習</v>
      </c>
      <c r="B292" t="s">
        <v>222</v>
      </c>
      <c r="C292" s="11" t="s">
        <v>53</v>
      </c>
      <c r="D292" s="26">
        <v>1</v>
      </c>
      <c r="E292" s="26">
        <v>3047.6190476190477</v>
      </c>
      <c r="F292" s="26" t="s">
        <v>309</v>
      </c>
    </row>
    <row r="293" spans="1:6">
      <c r="A293" t="str">
        <f>IFERROR(VLOOKUP(B293,[1]銷貨單品號主檔!$A:$D,4,0),"學習周邊")</f>
        <v>學習</v>
      </c>
      <c r="B293" t="s">
        <v>222</v>
      </c>
      <c r="C293" s="11" t="s">
        <v>92</v>
      </c>
      <c r="D293" s="26">
        <v>1</v>
      </c>
      <c r="E293" s="26">
        <v>3047.6190476190477</v>
      </c>
      <c r="F293" s="26" t="s">
        <v>309</v>
      </c>
    </row>
    <row r="294" spans="1:6">
      <c r="A294" t="str">
        <f>IFERROR(VLOOKUP(B294,[1]銷貨單品號主檔!$A:$D,4,0),"學習周邊")</f>
        <v>學習</v>
      </c>
      <c r="B294" t="s">
        <v>222</v>
      </c>
      <c r="C294" s="11" t="s">
        <v>329</v>
      </c>
      <c r="D294" s="26">
        <v>1</v>
      </c>
      <c r="E294" s="26">
        <v>3047.6190476190477</v>
      </c>
      <c r="F294" s="26" t="s">
        <v>309</v>
      </c>
    </row>
    <row r="295" spans="1:6">
      <c r="A295" t="str">
        <f>IFERROR(VLOOKUP(B295,[1]銷貨單品號主檔!$A:$D,4,0),"學習周邊")</f>
        <v>學習</v>
      </c>
      <c r="B295" t="s">
        <v>222</v>
      </c>
      <c r="C295" s="11" t="s">
        <v>332</v>
      </c>
      <c r="D295" s="26">
        <v>6</v>
      </c>
      <c r="E295" s="26">
        <v>18285.714285714286</v>
      </c>
      <c r="F295" s="26" t="s">
        <v>309</v>
      </c>
    </row>
    <row r="296" spans="1:6">
      <c r="A296" t="str">
        <f>IFERROR(VLOOKUP(B296,[1]銷貨單品號主檔!$A:$D,4,0),"學習周邊")</f>
        <v>學習</v>
      </c>
      <c r="B296" t="s">
        <v>222</v>
      </c>
      <c r="C296" s="11" t="s">
        <v>354</v>
      </c>
      <c r="D296" s="26">
        <v>1</v>
      </c>
      <c r="E296" s="26">
        <v>3047.6190476190477</v>
      </c>
      <c r="F296" s="26" t="s">
        <v>309</v>
      </c>
    </row>
    <row r="297" spans="1:6">
      <c r="A297" t="str">
        <f>IFERROR(VLOOKUP(B297,[1]銷貨單品號主檔!$A:$D,4,0),"學習周邊")</f>
        <v>學習</v>
      </c>
      <c r="B297" t="s">
        <v>225</v>
      </c>
      <c r="C297" s="11" t="s">
        <v>60</v>
      </c>
      <c r="D297" s="26">
        <v>1</v>
      </c>
      <c r="E297" s="26">
        <v>2855.238095238095</v>
      </c>
      <c r="F297" s="26" t="s">
        <v>309</v>
      </c>
    </row>
    <row r="298" spans="1:6">
      <c r="A298" t="str">
        <f>IFERROR(VLOOKUP(B298,[1]銷貨單品號主檔!$A:$D,4,0),"學習周邊")</f>
        <v>學習</v>
      </c>
      <c r="B298" t="s">
        <v>225</v>
      </c>
      <c r="C298" s="11" t="s">
        <v>62</v>
      </c>
      <c r="D298" s="26">
        <v>2</v>
      </c>
      <c r="E298" s="26">
        <v>5710.4761904761899</v>
      </c>
      <c r="F298" s="26" t="s">
        <v>309</v>
      </c>
    </row>
    <row r="299" spans="1:6">
      <c r="A299" t="str">
        <f>IFERROR(VLOOKUP(B299,[1]銷貨單品號主檔!$A:$D,4,0),"學習周邊")</f>
        <v>學習</v>
      </c>
      <c r="B299" t="s">
        <v>225</v>
      </c>
      <c r="C299" s="11" t="s">
        <v>65</v>
      </c>
      <c r="D299" s="26">
        <v>3</v>
      </c>
      <c r="E299" s="26">
        <v>8565.7142857142862</v>
      </c>
      <c r="F299" s="26" t="s">
        <v>309</v>
      </c>
    </row>
    <row r="300" spans="1:6">
      <c r="A300" t="str">
        <f>IFERROR(VLOOKUP(B300,[1]銷貨單品號主檔!$A:$D,4,0),"學習周邊")</f>
        <v>學習</v>
      </c>
      <c r="B300" t="s">
        <v>225</v>
      </c>
      <c r="C300" s="11" t="s">
        <v>67</v>
      </c>
      <c r="D300" s="26">
        <v>2</v>
      </c>
      <c r="E300" s="26">
        <v>5710.4761904761899</v>
      </c>
      <c r="F300" s="26" t="s">
        <v>309</v>
      </c>
    </row>
    <row r="301" spans="1:6">
      <c r="A301" t="str">
        <f>IFERROR(VLOOKUP(B301,[1]銷貨單品號主檔!$A:$D,4,0),"學習周邊")</f>
        <v>學習</v>
      </c>
      <c r="B301" t="s">
        <v>225</v>
      </c>
      <c r="C301" s="11" t="s">
        <v>73</v>
      </c>
      <c r="D301" s="26">
        <v>2</v>
      </c>
      <c r="E301" s="26">
        <v>5710.4761904761899</v>
      </c>
      <c r="F301" s="26" t="s">
        <v>309</v>
      </c>
    </row>
    <row r="302" spans="1:6">
      <c r="A302" t="str">
        <f>IFERROR(VLOOKUP(B302,[1]銷貨單品號主檔!$A:$D,4,0),"學習周邊")</f>
        <v>學習</v>
      </c>
      <c r="B302" t="s">
        <v>225</v>
      </c>
      <c r="C302" s="11" t="s">
        <v>72</v>
      </c>
      <c r="D302" s="26">
        <v>1</v>
      </c>
      <c r="E302" s="26">
        <v>2855.238095238095</v>
      </c>
      <c r="F302" s="26" t="s">
        <v>309</v>
      </c>
    </row>
    <row r="303" spans="1:6">
      <c r="A303" t="str">
        <f>IFERROR(VLOOKUP(B303,[1]銷貨單品號主檔!$A:$D,4,0),"學習周邊")</f>
        <v>學習</v>
      </c>
      <c r="B303" t="s">
        <v>225</v>
      </c>
      <c r="C303" s="11" t="s">
        <v>81</v>
      </c>
      <c r="D303" s="26">
        <v>3</v>
      </c>
      <c r="E303" s="26">
        <v>8565.7142857142862</v>
      </c>
      <c r="F303" s="26" t="s">
        <v>309</v>
      </c>
    </row>
    <row r="304" spans="1:6">
      <c r="A304" t="str">
        <f>IFERROR(VLOOKUP(B304,[1]銷貨單品號主檔!$A:$D,4,0),"學習周邊")</f>
        <v>學習</v>
      </c>
      <c r="B304" t="s">
        <v>225</v>
      </c>
      <c r="C304" s="11" t="s">
        <v>87</v>
      </c>
      <c r="D304" s="26">
        <v>1</v>
      </c>
      <c r="E304" s="26">
        <v>2855.238095238095</v>
      </c>
      <c r="F304" s="26" t="s">
        <v>309</v>
      </c>
    </row>
    <row r="305" spans="1:6">
      <c r="A305" t="str">
        <f>IFERROR(VLOOKUP(B305,[1]銷貨單品號主檔!$A:$D,4,0),"學習周邊")</f>
        <v>學習</v>
      </c>
      <c r="B305" t="s">
        <v>225</v>
      </c>
      <c r="C305" s="11" t="s">
        <v>108</v>
      </c>
      <c r="D305" s="26">
        <v>1</v>
      </c>
      <c r="E305" s="26">
        <v>2855.238095238095</v>
      </c>
      <c r="F305" s="26" t="s">
        <v>309</v>
      </c>
    </row>
    <row r="306" spans="1:6">
      <c r="A306" t="str">
        <f>IFERROR(VLOOKUP(B306,[1]銷貨單品號主檔!$A:$D,4,0),"學習周邊")</f>
        <v>學習</v>
      </c>
      <c r="B306" t="s">
        <v>225</v>
      </c>
      <c r="C306" s="11" t="s">
        <v>53</v>
      </c>
      <c r="D306" s="26">
        <v>1</v>
      </c>
      <c r="E306" s="26">
        <v>2855.238095238095</v>
      </c>
      <c r="F306" s="26" t="s">
        <v>309</v>
      </c>
    </row>
    <row r="307" spans="1:6">
      <c r="A307" t="str">
        <f>IFERROR(VLOOKUP(B307,[1]銷貨單品號主檔!$A:$D,4,0),"學習周邊")</f>
        <v>學習</v>
      </c>
      <c r="B307" t="s">
        <v>225</v>
      </c>
      <c r="C307" s="11" t="s">
        <v>328</v>
      </c>
      <c r="D307" s="26">
        <v>1</v>
      </c>
      <c r="E307" s="26">
        <v>2855.238095238095</v>
      </c>
      <c r="F307" s="26" t="s">
        <v>309</v>
      </c>
    </row>
    <row r="308" spans="1:6">
      <c r="A308" t="str">
        <f>IFERROR(VLOOKUP(B308,[1]銷貨單品號主檔!$A:$D,4,0),"學習周邊")</f>
        <v>學習</v>
      </c>
      <c r="B308" t="s">
        <v>226</v>
      </c>
      <c r="C308" s="11" t="s">
        <v>65</v>
      </c>
      <c r="D308" s="26">
        <v>1</v>
      </c>
      <c r="E308" s="26">
        <v>2285.7142857142858</v>
      </c>
      <c r="F308" s="26" t="s">
        <v>309</v>
      </c>
    </row>
    <row r="309" spans="1:6">
      <c r="A309" t="str">
        <f>IFERROR(VLOOKUP(B309,[1]銷貨單品號主檔!$A:$D,4,0),"學習周邊")</f>
        <v>學習周邊</v>
      </c>
      <c r="B309" t="s">
        <v>228</v>
      </c>
      <c r="C309" s="11" t="s">
        <v>66</v>
      </c>
      <c r="D309" s="26">
        <v>1</v>
      </c>
      <c r="E309" s="26">
        <v>4951.4285714285716</v>
      </c>
      <c r="F309" s="26" t="s">
        <v>309</v>
      </c>
    </row>
    <row r="310" spans="1:6">
      <c r="A310" t="str">
        <f>IFERROR(VLOOKUP(B310,[1]銷貨單品號主檔!$A:$D,4,0),"學習周邊")</f>
        <v>學習周邊</v>
      </c>
      <c r="B310" t="s">
        <v>229</v>
      </c>
      <c r="C310" s="11" t="s">
        <v>85</v>
      </c>
      <c r="D310" s="26">
        <v>3</v>
      </c>
      <c r="E310" s="26">
        <v>760</v>
      </c>
      <c r="F310" s="26" t="s">
        <v>309</v>
      </c>
    </row>
    <row r="311" spans="1:6">
      <c r="A311" t="str">
        <f>IFERROR(VLOOKUP(B311,[1]銷貨單品號主檔!$A:$D,4,0),"學習周邊")</f>
        <v>學習周邊</v>
      </c>
      <c r="B311" t="s">
        <v>229</v>
      </c>
      <c r="C311" s="11" t="s">
        <v>88</v>
      </c>
      <c r="D311" s="26">
        <v>1</v>
      </c>
      <c r="E311" s="26">
        <v>380</v>
      </c>
      <c r="F311" s="26" t="s">
        <v>309</v>
      </c>
    </row>
    <row r="312" spans="1:6">
      <c r="A312" t="str">
        <f>IFERROR(VLOOKUP(B312,[1]銷貨單品號主檔!$A:$D,4,0),"學習周邊")</f>
        <v>學習周邊</v>
      </c>
      <c r="B312" t="s">
        <v>229</v>
      </c>
      <c r="C312" s="11" t="s">
        <v>332</v>
      </c>
      <c r="D312" s="26">
        <v>1</v>
      </c>
      <c r="E312" s="26">
        <v>495.23809523809524</v>
      </c>
      <c r="F312" s="26" t="s">
        <v>309</v>
      </c>
    </row>
    <row r="313" spans="1:6">
      <c r="A313" t="str">
        <f>IFERROR(VLOOKUP(B313,[1]銷貨單品號主檔!$A:$D,4,0),"學習周邊")</f>
        <v>生活周邊</v>
      </c>
      <c r="B313" t="s">
        <v>230</v>
      </c>
      <c r="C313" s="11" t="s">
        <v>88</v>
      </c>
      <c r="D313" s="26">
        <v>2</v>
      </c>
      <c r="E313" s="26">
        <v>2283.8095238095239</v>
      </c>
      <c r="F313" s="26" t="s">
        <v>309</v>
      </c>
    </row>
    <row r="314" spans="1:6">
      <c r="A314" t="str">
        <f>IFERROR(VLOOKUP(B314,[1]銷貨單品號主檔!$A:$D,4,0),"學習周邊")</f>
        <v>生活周邊</v>
      </c>
      <c r="B314" t="s">
        <v>230</v>
      </c>
      <c r="C314" s="11" t="s">
        <v>108</v>
      </c>
      <c r="D314" s="26">
        <v>1</v>
      </c>
      <c r="E314" s="26">
        <v>1141.9047619047619</v>
      </c>
      <c r="F314" s="26" t="s">
        <v>309</v>
      </c>
    </row>
    <row r="315" spans="1:6">
      <c r="A315" t="str">
        <f>IFERROR(VLOOKUP(B315,[1]銷貨單品號主檔!$A:$D,4,0),"學習周邊")</f>
        <v>生活周邊</v>
      </c>
      <c r="B315" t="s">
        <v>230</v>
      </c>
      <c r="C315" s="11" t="s">
        <v>328</v>
      </c>
      <c r="D315" s="26">
        <v>1</v>
      </c>
      <c r="E315" s="26">
        <v>1141.9047619047619</v>
      </c>
      <c r="F315" s="26" t="s">
        <v>309</v>
      </c>
    </row>
    <row r="316" spans="1:6">
      <c r="A316" t="str">
        <f>IFERROR(VLOOKUP(B316,[1]銷貨單品號主檔!$A:$D,4,0),"學習周邊")</f>
        <v>生活周邊</v>
      </c>
      <c r="B316" t="s">
        <v>230</v>
      </c>
      <c r="C316" s="11" t="s">
        <v>332</v>
      </c>
      <c r="D316" s="26">
        <v>1</v>
      </c>
      <c r="E316" s="26">
        <v>1141.9047619047619</v>
      </c>
      <c r="F316" s="26" t="s">
        <v>309</v>
      </c>
    </row>
    <row r="317" spans="1:6">
      <c r="A317" t="str">
        <f>IFERROR(VLOOKUP(B317,[1]銷貨單品號主檔!$A:$D,4,0),"學習周邊")</f>
        <v>生活周邊</v>
      </c>
      <c r="B317" t="s">
        <v>231</v>
      </c>
      <c r="C317" s="11" t="s">
        <v>88</v>
      </c>
      <c r="D317" s="26">
        <v>2</v>
      </c>
      <c r="E317" s="26">
        <v>2093.333333333333</v>
      </c>
      <c r="F317" s="26" t="s">
        <v>309</v>
      </c>
    </row>
    <row r="318" spans="1:6">
      <c r="A318" t="str">
        <f>IFERROR(VLOOKUP(B318,[1]銷貨單品號主檔!$A:$D,4,0),"學習周邊")</f>
        <v>生活周邊</v>
      </c>
      <c r="B318" t="s">
        <v>231</v>
      </c>
      <c r="C318" s="11" t="s">
        <v>329</v>
      </c>
      <c r="D318" s="26">
        <v>1</v>
      </c>
      <c r="E318" s="26">
        <v>1046.6666666666665</v>
      </c>
      <c r="F318" s="26" t="s">
        <v>309</v>
      </c>
    </row>
    <row r="319" spans="1:6">
      <c r="A319" t="str">
        <f>IFERROR(VLOOKUP(B319,[1]銷貨單品號主檔!$A:$D,4,0),"學習周邊")</f>
        <v>生活周邊</v>
      </c>
      <c r="B319" t="s">
        <v>232</v>
      </c>
      <c r="C319" s="11" t="s">
        <v>108</v>
      </c>
      <c r="D319" s="26">
        <v>1</v>
      </c>
      <c r="E319" s="26">
        <v>856.19047619047615</v>
      </c>
      <c r="F319" s="26" t="s">
        <v>309</v>
      </c>
    </row>
    <row r="320" spans="1:6">
      <c r="A320" t="str">
        <f>IFERROR(VLOOKUP(B320,[1]銷貨單品號主檔!$A:$D,4,0),"學習周邊")</f>
        <v>生活周邊</v>
      </c>
      <c r="B320" t="s">
        <v>232</v>
      </c>
      <c r="C320" s="11" t="s">
        <v>328</v>
      </c>
      <c r="D320" s="26">
        <v>1</v>
      </c>
      <c r="E320" s="26">
        <v>856.19047619047615</v>
      </c>
      <c r="F320" s="26" t="s">
        <v>309</v>
      </c>
    </row>
    <row r="321" spans="1:6">
      <c r="A321" t="str">
        <f>IFERROR(VLOOKUP(B321,[1]銷貨單品號主檔!$A:$D,4,0),"學習周邊")</f>
        <v>生活周邊</v>
      </c>
      <c r="B321" t="s">
        <v>232</v>
      </c>
      <c r="C321" s="11" t="s">
        <v>332</v>
      </c>
      <c r="D321" s="26">
        <v>2</v>
      </c>
      <c r="E321" s="26">
        <v>1712.3809523809523</v>
      </c>
      <c r="F321" s="26" t="s">
        <v>309</v>
      </c>
    </row>
    <row r="322" spans="1:6">
      <c r="A322" t="str">
        <f>IFERROR(VLOOKUP(B322,[1]銷貨單品號主檔!$A:$D,4,0),"學習周邊")</f>
        <v>生活周邊</v>
      </c>
      <c r="B322" t="s">
        <v>193</v>
      </c>
      <c r="C322" s="11" t="s">
        <v>108</v>
      </c>
      <c r="D322" s="26">
        <v>1</v>
      </c>
      <c r="E322" s="26">
        <v>284.76190476190476</v>
      </c>
      <c r="F322" s="26" t="s">
        <v>309</v>
      </c>
    </row>
    <row r="323" spans="1:6">
      <c r="A323" t="str">
        <f>IFERROR(VLOOKUP(B323,[1]銷貨單品號主檔!$A:$D,4,0),"學習周邊")</f>
        <v>生活周邊</v>
      </c>
      <c r="B323" t="s">
        <v>169</v>
      </c>
      <c r="C323" s="11" t="s">
        <v>108</v>
      </c>
      <c r="D323" s="26">
        <v>1</v>
      </c>
      <c r="E323" s="26">
        <v>380</v>
      </c>
      <c r="F323" s="26" t="s">
        <v>309</v>
      </c>
    </row>
    <row r="324" spans="1:6">
      <c r="A324" t="str">
        <f>IFERROR(VLOOKUP(B324,[1]銷貨單品號主檔!$A:$D,4,0),"學習周邊")</f>
        <v>生活周邊</v>
      </c>
      <c r="B324" t="s">
        <v>169</v>
      </c>
      <c r="C324" s="11" t="s">
        <v>53</v>
      </c>
      <c r="D324" s="26">
        <v>1</v>
      </c>
      <c r="E324" s="26">
        <v>380</v>
      </c>
      <c r="F324" s="26" t="s">
        <v>309</v>
      </c>
    </row>
    <row r="325" spans="1:6">
      <c r="A325" t="str">
        <f>IFERROR(VLOOKUP(B325,[1]銷貨單品號主檔!$A:$D,4,0),"學習周邊")</f>
        <v>學習</v>
      </c>
      <c r="B325" t="s">
        <v>345</v>
      </c>
      <c r="C325" s="11" t="s">
        <v>92</v>
      </c>
      <c r="D325" s="26">
        <v>1</v>
      </c>
      <c r="E325" s="26">
        <v>5045.7142857142853</v>
      </c>
      <c r="F325" s="26" t="s">
        <v>309</v>
      </c>
    </row>
    <row r="326" spans="1:6">
      <c r="A326" t="str">
        <f>IFERROR(VLOOKUP(B326,[1]銷貨單品號主檔!$A:$D,4,0),"學習周邊")</f>
        <v>學習周邊</v>
      </c>
      <c r="B326" t="s">
        <v>333</v>
      </c>
      <c r="C326" s="11" t="s">
        <v>329</v>
      </c>
      <c r="D326" s="26">
        <v>1</v>
      </c>
      <c r="E326" s="26">
        <v>752.38095238095229</v>
      </c>
      <c r="F326" s="26" t="s">
        <v>309</v>
      </c>
    </row>
    <row r="327" spans="1:6">
      <c r="A327">
        <f>IFERROR(VLOOKUP(B327,[1]銷貨單品號主檔!$A:$D,4,0),"學習周邊")</f>
        <v>0</v>
      </c>
      <c r="B327"/>
      <c r="D327"/>
      <c r="F327" s="26" t="s">
        <v>309</v>
      </c>
    </row>
    <row r="328" spans="1:6">
      <c r="A328">
        <f>IFERROR(VLOOKUP(B328,[1]銷貨單品號主檔!$A:$D,4,0),"學習周邊")</f>
        <v>0</v>
      </c>
      <c r="B328"/>
      <c r="D328"/>
      <c r="F328" s="26" t="s">
        <v>309</v>
      </c>
    </row>
    <row r="329" spans="1:6">
      <c r="A329">
        <f>IFERROR(VLOOKUP(B329,[1]銷貨單品號主檔!$A:$D,4,0),"學習周邊")</f>
        <v>0</v>
      </c>
      <c r="B329"/>
      <c r="D329"/>
      <c r="F329" s="26" t="s">
        <v>309</v>
      </c>
    </row>
    <row r="330" spans="1:6">
      <c r="A330">
        <f>IFERROR(VLOOKUP(B330,[1]銷貨單品號主檔!$A:$D,4,0),"學習周邊")</f>
        <v>0</v>
      </c>
      <c r="B330"/>
      <c r="D330"/>
      <c r="F330" s="26" t="s">
        <v>309</v>
      </c>
    </row>
    <row r="331" spans="1:6">
      <c r="A331">
        <f>IFERROR(VLOOKUP(B331,[1]銷貨單品號主檔!$A:$D,4,0),"學習周邊")</f>
        <v>0</v>
      </c>
      <c r="B331"/>
      <c r="D331"/>
      <c r="F331" s="26" t="s">
        <v>309</v>
      </c>
    </row>
    <row r="332" spans="1:6">
      <c r="A332">
        <f>IFERROR(VLOOKUP(B332,[1]銷貨單品號主檔!$A:$D,4,0),"學習周邊")</f>
        <v>0</v>
      </c>
      <c r="B332"/>
      <c r="D332"/>
      <c r="F332" s="26" t="s">
        <v>309</v>
      </c>
    </row>
    <row r="333" spans="1:6">
      <c r="A333">
        <f>IFERROR(VLOOKUP(B333,[1]銷貨單品號主檔!$A:$D,4,0),"學習周邊")</f>
        <v>0</v>
      </c>
      <c r="B333"/>
      <c r="D333"/>
      <c r="F333" s="26" t="s">
        <v>309</v>
      </c>
    </row>
    <row r="334" spans="1:6">
      <c r="A334">
        <f>IFERROR(VLOOKUP(B334,[1]銷貨單品號主檔!$A:$D,4,0),"學習周邊")</f>
        <v>0</v>
      </c>
      <c r="B334"/>
      <c r="D334"/>
      <c r="F334" s="26" t="s">
        <v>309</v>
      </c>
    </row>
    <row r="335" spans="1:6">
      <c r="A335">
        <f>IFERROR(VLOOKUP(B335,[1]銷貨單品號主檔!$A:$D,4,0),"學習周邊")</f>
        <v>0</v>
      </c>
      <c r="B335"/>
      <c r="D335"/>
      <c r="F335" s="26" t="s">
        <v>309</v>
      </c>
    </row>
    <row r="336" spans="1:6">
      <c r="A336">
        <f>IFERROR(VLOOKUP(B336,[1]銷貨單品號主檔!$A:$D,4,0),"學習周邊")</f>
        <v>0</v>
      </c>
      <c r="B336"/>
      <c r="D336"/>
      <c r="F336" s="26" t="s">
        <v>309</v>
      </c>
    </row>
    <row r="337" spans="1:6">
      <c r="A337">
        <f>IFERROR(VLOOKUP(B337,[1]銷貨單品號主檔!$A:$D,4,0),"學習周邊")</f>
        <v>0</v>
      </c>
      <c r="B337"/>
      <c r="D337"/>
      <c r="F337" s="26" t="s">
        <v>309</v>
      </c>
    </row>
    <row r="338" spans="1:6">
      <c r="A338">
        <f>IFERROR(VLOOKUP(B338,[1]銷貨單品號主檔!$A:$D,4,0),"學習周邊")</f>
        <v>0</v>
      </c>
      <c r="B338"/>
      <c r="D338"/>
      <c r="F338" s="26" t="s">
        <v>309</v>
      </c>
    </row>
    <row r="339" spans="1:6">
      <c r="A339">
        <f>IFERROR(VLOOKUP(B339,[1]銷貨單品號主檔!$A:$D,4,0),"學習周邊")</f>
        <v>0</v>
      </c>
      <c r="B339"/>
      <c r="D339"/>
      <c r="F339" s="26" t="s">
        <v>309</v>
      </c>
    </row>
    <row r="340" spans="1:6">
      <c r="A340">
        <f>IFERROR(VLOOKUP(B340,[1]銷貨單品號主檔!$A:$D,4,0),"學習周邊")</f>
        <v>0</v>
      </c>
      <c r="B340"/>
      <c r="D340"/>
      <c r="F340" s="26" t="s">
        <v>309</v>
      </c>
    </row>
    <row r="341" spans="1:6">
      <c r="A341">
        <f>IFERROR(VLOOKUP(B341,[1]銷貨單品號主檔!$A:$D,4,0),"學習周邊")</f>
        <v>0</v>
      </c>
      <c r="B341"/>
      <c r="D341"/>
      <c r="F341" s="26" t="s">
        <v>309</v>
      </c>
    </row>
    <row r="342" spans="1:6">
      <c r="A342">
        <f>IFERROR(VLOOKUP(B342,[1]銷貨單品號主檔!$A:$D,4,0),"學習周邊")</f>
        <v>0</v>
      </c>
      <c r="B342"/>
      <c r="D342"/>
      <c r="F342" s="26" t="s">
        <v>309</v>
      </c>
    </row>
    <row r="343" spans="1:6">
      <c r="A343">
        <f>IFERROR(VLOOKUP(B343,[1]銷貨單品號主檔!$A:$D,4,0),"學習周邊")</f>
        <v>0</v>
      </c>
      <c r="B343"/>
      <c r="D343"/>
      <c r="F343" s="26" t="s">
        <v>309</v>
      </c>
    </row>
    <row r="344" spans="1:6">
      <c r="A344">
        <f>IFERROR(VLOOKUP(B344,[1]銷貨單品號主檔!$A:$D,4,0),"學習周邊")</f>
        <v>0</v>
      </c>
      <c r="B344"/>
      <c r="D344"/>
      <c r="F344" s="26" t="s">
        <v>309</v>
      </c>
    </row>
    <row r="345" spans="1:6">
      <c r="A345">
        <f>IFERROR(VLOOKUP(B345,[1]銷貨單品號主檔!$A:$D,4,0),"學習周邊")</f>
        <v>0</v>
      </c>
      <c r="B345"/>
      <c r="D345"/>
      <c r="F345" s="26" t="s">
        <v>309</v>
      </c>
    </row>
    <row r="346" spans="1:6">
      <c r="A346">
        <f>IFERROR(VLOOKUP(B346,[1]銷貨單品號主檔!$A:$D,4,0),"學習周邊")</f>
        <v>0</v>
      </c>
      <c r="B346"/>
      <c r="D346"/>
      <c r="F346" s="26" t="s">
        <v>309</v>
      </c>
    </row>
    <row r="347" spans="1:6">
      <c r="A347">
        <f>IFERROR(VLOOKUP(B347,[1]銷貨單品號主檔!$A:$D,4,0),"學習周邊")</f>
        <v>0</v>
      </c>
      <c r="B347"/>
      <c r="D347"/>
      <c r="F347" s="26" t="s">
        <v>309</v>
      </c>
    </row>
    <row r="348" spans="1:6">
      <c r="A348">
        <f>IFERROR(VLOOKUP(B348,[1]銷貨單品號主檔!$A:$D,4,0),"學習周邊")</f>
        <v>0</v>
      </c>
      <c r="B348"/>
      <c r="D348"/>
      <c r="F348" s="26" t="s">
        <v>309</v>
      </c>
    </row>
    <row r="349" spans="1:6">
      <c r="A349">
        <f>IFERROR(VLOOKUP(B349,[1]銷貨單品號主檔!$A:$D,4,0),"學習周邊")</f>
        <v>0</v>
      </c>
      <c r="B349"/>
      <c r="D349"/>
      <c r="F349" s="26" t="s">
        <v>309</v>
      </c>
    </row>
    <row r="350" spans="1:6">
      <c r="A350">
        <f>IFERROR(VLOOKUP(B350,[1]銷貨單品號主檔!$A:$D,4,0),"學習周邊")</f>
        <v>0</v>
      </c>
      <c r="B350"/>
      <c r="D350"/>
      <c r="F350" s="26" t="s">
        <v>309</v>
      </c>
    </row>
    <row r="351" spans="1:6">
      <c r="A351">
        <f>IFERROR(VLOOKUP(B351,[1]銷貨單品號主檔!$A:$D,4,0),"學習周邊")</f>
        <v>0</v>
      </c>
      <c r="B351"/>
      <c r="D351"/>
      <c r="F351" s="26" t="s">
        <v>309</v>
      </c>
    </row>
    <row r="352" spans="1:6">
      <c r="A352">
        <f>IFERROR(VLOOKUP(B352,[1]銷貨單品號主檔!$A:$D,4,0),"學習周邊")</f>
        <v>0</v>
      </c>
      <c r="B352"/>
      <c r="D352"/>
      <c r="F352" s="26" t="s">
        <v>309</v>
      </c>
    </row>
    <row r="353" spans="1:6">
      <c r="A353">
        <f>IFERROR(VLOOKUP(B353,[1]銷貨單品號主檔!$A:$D,4,0),"學習周邊")</f>
        <v>0</v>
      </c>
      <c r="B353"/>
      <c r="D353"/>
      <c r="F353" s="26" t="s">
        <v>309</v>
      </c>
    </row>
    <row r="354" spans="1:6">
      <c r="A354">
        <f>IFERROR(VLOOKUP(B354,[1]銷貨單品號主檔!$A:$D,4,0),"學習周邊")</f>
        <v>0</v>
      </c>
      <c r="B354"/>
      <c r="D354"/>
      <c r="F354" s="26" t="s">
        <v>309</v>
      </c>
    </row>
    <row r="355" spans="1:6">
      <c r="A355">
        <f>IFERROR(VLOOKUP(B355,[1]銷貨單品號主檔!$A:$D,4,0),"學習周邊")</f>
        <v>0</v>
      </c>
      <c r="B355"/>
      <c r="D355"/>
      <c r="F355" s="26" t="s">
        <v>309</v>
      </c>
    </row>
    <row r="356" spans="1:6">
      <c r="A356">
        <f>IFERROR(VLOOKUP(B356,[1]銷貨單品號主檔!$A:$D,4,0),"學習周邊")</f>
        <v>0</v>
      </c>
      <c r="B356"/>
      <c r="D356"/>
      <c r="F356" s="26" t="s">
        <v>309</v>
      </c>
    </row>
    <row r="357" spans="1:6">
      <c r="A357">
        <f>IFERROR(VLOOKUP(B357,[1]銷貨單品號主檔!$A:$D,4,0),"學習周邊")</f>
        <v>0</v>
      </c>
      <c r="B357"/>
      <c r="D357"/>
      <c r="F357" s="26" t="s">
        <v>309</v>
      </c>
    </row>
    <row r="358" spans="1:6">
      <c r="A358">
        <f>IFERROR(VLOOKUP(B358,[1]銷貨單品號主檔!$A:$D,4,0),"學習周邊")</f>
        <v>0</v>
      </c>
      <c r="B358"/>
      <c r="D358"/>
      <c r="F358" s="26" t="s">
        <v>309</v>
      </c>
    </row>
    <row r="359" spans="1:6">
      <c r="A359">
        <f>IFERROR(VLOOKUP(B359,[1]銷貨單品號主檔!$A:$D,4,0),"學習周邊")</f>
        <v>0</v>
      </c>
      <c r="B359"/>
      <c r="D359"/>
      <c r="F359" s="26" t="s">
        <v>309</v>
      </c>
    </row>
    <row r="360" spans="1:6">
      <c r="A360">
        <f>IFERROR(VLOOKUP(B360,[1]銷貨單品號主檔!$A:$D,4,0),"學習周邊")</f>
        <v>0</v>
      </c>
      <c r="B360"/>
      <c r="D360"/>
      <c r="F360" s="26" t="s">
        <v>309</v>
      </c>
    </row>
    <row r="361" spans="1:6">
      <c r="A361">
        <f>IFERROR(VLOOKUP(B361,[1]銷貨單品號主檔!$A:$D,4,0),"學習周邊")</f>
        <v>0</v>
      </c>
      <c r="B361"/>
      <c r="D361"/>
      <c r="F361" s="26" t="s">
        <v>309</v>
      </c>
    </row>
    <row r="362" spans="1:6">
      <c r="A362">
        <f>IFERROR(VLOOKUP(B362,[1]銷貨單品號主檔!$A:$D,4,0),"學習周邊")</f>
        <v>0</v>
      </c>
      <c r="B362"/>
      <c r="D362"/>
      <c r="F362" s="26" t="s">
        <v>309</v>
      </c>
    </row>
    <row r="363" spans="1:6">
      <c r="A363">
        <f>IFERROR(VLOOKUP(B363,[1]銷貨單品號主檔!$A:$D,4,0),"學習周邊")</f>
        <v>0</v>
      </c>
      <c r="B363"/>
      <c r="D363"/>
      <c r="F363" s="26" t="s">
        <v>309</v>
      </c>
    </row>
    <row r="364" spans="1:6">
      <c r="A364">
        <f>IFERROR(VLOOKUP(B364,[1]銷貨單品號主檔!$A:$D,4,0),"學習周邊")</f>
        <v>0</v>
      </c>
      <c r="B364"/>
      <c r="D364"/>
      <c r="F364" s="26" t="s">
        <v>309</v>
      </c>
    </row>
    <row r="365" spans="1:6">
      <c r="A365">
        <f>IFERROR(VLOOKUP(B365,[1]銷貨單品號主檔!$A:$D,4,0),"學習周邊")</f>
        <v>0</v>
      </c>
      <c r="B365"/>
      <c r="D365"/>
      <c r="F365" s="26" t="s">
        <v>309</v>
      </c>
    </row>
    <row r="366" spans="1:6">
      <c r="A366">
        <f>IFERROR(VLOOKUP(B366,[1]銷貨單品號主檔!$A:$D,4,0),"學習周邊")</f>
        <v>0</v>
      </c>
      <c r="B366"/>
      <c r="D366"/>
      <c r="F366" s="26" t="s">
        <v>309</v>
      </c>
    </row>
    <row r="367" spans="1:6">
      <c r="A367">
        <f>IFERROR(VLOOKUP(B367,[1]銷貨單品號主檔!$A:$D,4,0),"學習周邊")</f>
        <v>0</v>
      </c>
      <c r="B367"/>
      <c r="D367"/>
      <c r="F367" s="26" t="s">
        <v>309</v>
      </c>
    </row>
    <row r="368" spans="1:6">
      <c r="A368">
        <f>IFERROR(VLOOKUP(B368,[1]銷貨單品號主檔!$A:$D,4,0),"學習周邊")</f>
        <v>0</v>
      </c>
      <c r="B368"/>
      <c r="D368"/>
      <c r="F368" s="26" t="s">
        <v>309</v>
      </c>
    </row>
    <row r="369" spans="1:6">
      <c r="A369">
        <f>IFERROR(VLOOKUP(B369,[1]銷貨單品號主檔!$A:$D,4,0),"學習周邊")</f>
        <v>0</v>
      </c>
      <c r="B369"/>
      <c r="D369"/>
      <c r="F369" s="26" t="s">
        <v>309</v>
      </c>
    </row>
    <row r="370" spans="1:6">
      <c r="A370">
        <f>IFERROR(VLOOKUP(B370,[1]銷貨單品號主檔!$A:$D,4,0),"學習周邊")</f>
        <v>0</v>
      </c>
      <c r="B370"/>
      <c r="D370"/>
      <c r="F370" s="26" t="s">
        <v>309</v>
      </c>
    </row>
    <row r="371" spans="1:6">
      <c r="A371">
        <f>IFERROR(VLOOKUP(B371,[1]銷貨單品號主檔!$A:$D,4,0),"學習周邊")</f>
        <v>0</v>
      </c>
      <c r="B371"/>
      <c r="D371"/>
      <c r="F371" s="26" t="s">
        <v>309</v>
      </c>
    </row>
    <row r="372" spans="1:6">
      <c r="A372">
        <f>IFERROR(VLOOKUP(B372,[1]銷貨單品號主檔!$A:$D,4,0),"學習周邊")</f>
        <v>0</v>
      </c>
      <c r="B372"/>
      <c r="D372"/>
      <c r="F372" s="26" t="s">
        <v>309</v>
      </c>
    </row>
    <row r="373" spans="1:6">
      <c r="A373">
        <f>IFERROR(VLOOKUP(B373,[1]銷貨單品號主檔!$A:$D,4,0),"學習周邊")</f>
        <v>0</v>
      </c>
      <c r="B373"/>
      <c r="D373"/>
      <c r="F373" s="26" t="s">
        <v>309</v>
      </c>
    </row>
    <row r="374" spans="1:6">
      <c r="A374">
        <f>IFERROR(VLOOKUP(B374,[1]銷貨單品號主檔!$A:$D,4,0),"學習周邊")</f>
        <v>0</v>
      </c>
      <c r="B374"/>
      <c r="D374"/>
      <c r="F374" s="26" t="s">
        <v>309</v>
      </c>
    </row>
    <row r="375" spans="1:6">
      <c r="A375">
        <f>IFERROR(VLOOKUP(B375,[1]銷貨單品號主檔!$A:$D,4,0),"學習周邊")</f>
        <v>0</v>
      </c>
      <c r="B375"/>
      <c r="D375"/>
      <c r="F375" s="26" t="s">
        <v>309</v>
      </c>
    </row>
    <row r="376" spans="1:6">
      <c r="A376">
        <f>IFERROR(VLOOKUP(B376,[1]銷貨單品號主檔!$A:$D,4,0),"學習周邊")</f>
        <v>0</v>
      </c>
      <c r="B376"/>
      <c r="D376"/>
      <c r="F376" s="26" t="s">
        <v>309</v>
      </c>
    </row>
    <row r="377" spans="1:6">
      <c r="A377">
        <f>IFERROR(VLOOKUP(B377,[1]銷貨單品號主檔!$A:$D,4,0),"學習周邊")</f>
        <v>0</v>
      </c>
      <c r="B377"/>
      <c r="D377"/>
      <c r="F377" s="26" t="s">
        <v>309</v>
      </c>
    </row>
    <row r="378" spans="1:6">
      <c r="A378">
        <f>IFERROR(VLOOKUP(B378,[1]銷貨單品號主檔!$A:$D,4,0),"學習周邊")</f>
        <v>0</v>
      </c>
      <c r="B378"/>
      <c r="D378"/>
      <c r="F378" s="26" t="s">
        <v>309</v>
      </c>
    </row>
    <row r="379" spans="1:6">
      <c r="A379">
        <f>IFERROR(VLOOKUP(B379,[1]銷貨單品號主檔!$A:$D,4,0),"學習周邊")</f>
        <v>0</v>
      </c>
      <c r="B379"/>
      <c r="D379"/>
      <c r="F379" s="26" t="s">
        <v>309</v>
      </c>
    </row>
    <row r="380" spans="1:6">
      <c r="A380">
        <f>IFERROR(VLOOKUP(B380,[1]銷貨單品號主檔!$A:$D,4,0),"學習周邊")</f>
        <v>0</v>
      </c>
      <c r="B380"/>
      <c r="D380"/>
      <c r="F380" s="26" t="s">
        <v>309</v>
      </c>
    </row>
    <row r="381" spans="1:6">
      <c r="A381">
        <f>IFERROR(VLOOKUP(B381,[1]銷貨單品號主檔!$A:$D,4,0),"學習周邊")</f>
        <v>0</v>
      </c>
      <c r="B381"/>
      <c r="D381"/>
      <c r="F381" s="26" t="s">
        <v>309</v>
      </c>
    </row>
    <row r="382" spans="1:6">
      <c r="A382">
        <f>IFERROR(VLOOKUP(B382,[1]銷貨單品號主檔!$A:$D,4,0),"學習周邊")</f>
        <v>0</v>
      </c>
      <c r="B382"/>
      <c r="D382"/>
      <c r="F382" s="26" t="s">
        <v>309</v>
      </c>
    </row>
    <row r="383" spans="1:6">
      <c r="A383">
        <f>IFERROR(VLOOKUP(B383,[1]銷貨單品號主檔!$A:$D,4,0),"學習周邊")</f>
        <v>0</v>
      </c>
      <c r="B383"/>
      <c r="D383"/>
      <c r="F383" s="26" t="s">
        <v>309</v>
      </c>
    </row>
    <row r="384" spans="1:6">
      <c r="A384">
        <f>IFERROR(VLOOKUP(B384,[1]銷貨單品號主檔!$A:$D,4,0),"學習周邊")</f>
        <v>0</v>
      </c>
      <c r="B384"/>
      <c r="D384"/>
      <c r="F384" s="26" t="s">
        <v>309</v>
      </c>
    </row>
    <row r="385" spans="1:6">
      <c r="A385">
        <f>IFERROR(VLOOKUP(B385,[1]銷貨單品號主檔!$A:$D,4,0),"學習周邊")</f>
        <v>0</v>
      </c>
      <c r="B385"/>
      <c r="D385"/>
      <c r="F385" s="26" t="s">
        <v>309</v>
      </c>
    </row>
    <row r="386" spans="1:6">
      <c r="A386">
        <f>IFERROR(VLOOKUP(B386,[1]銷貨單品號主檔!$A:$D,4,0),"學習周邊")</f>
        <v>0</v>
      </c>
      <c r="B386"/>
      <c r="D386"/>
      <c r="F386" s="26" t="s">
        <v>309</v>
      </c>
    </row>
    <row r="387" spans="1:6">
      <c r="A387">
        <f>IFERROR(VLOOKUP(B387,[1]銷貨單品號主檔!$A:$D,4,0),"學習周邊")</f>
        <v>0</v>
      </c>
      <c r="B387"/>
      <c r="D387"/>
      <c r="F387" s="26" t="s">
        <v>309</v>
      </c>
    </row>
    <row r="388" spans="1:6">
      <c r="A388">
        <f>IFERROR(VLOOKUP(B388,[1]銷貨單品號主檔!$A:$D,4,0),"學習周邊")</f>
        <v>0</v>
      </c>
      <c r="B388"/>
      <c r="D388"/>
      <c r="F388" s="26" t="s">
        <v>309</v>
      </c>
    </row>
    <row r="389" spans="1:6">
      <c r="A389">
        <f>IFERROR(VLOOKUP(B389,[1]銷貨單品號主檔!$A:$D,4,0),"學習周邊")</f>
        <v>0</v>
      </c>
      <c r="B389"/>
      <c r="D389"/>
      <c r="F389" s="26" t="s">
        <v>309</v>
      </c>
    </row>
    <row r="390" spans="1:6">
      <c r="A390">
        <f>IFERROR(VLOOKUP(B390,[1]銷貨單品號主檔!$A:$D,4,0),"學習周邊")</f>
        <v>0</v>
      </c>
      <c r="B390"/>
      <c r="D390"/>
      <c r="F390" s="26" t="s">
        <v>309</v>
      </c>
    </row>
    <row r="391" spans="1:6">
      <c r="A391">
        <f>IFERROR(VLOOKUP(B391,[1]銷貨單品號主檔!$A:$D,4,0),"學習周邊")</f>
        <v>0</v>
      </c>
      <c r="B391"/>
      <c r="D391"/>
      <c r="F391" s="26" t="s">
        <v>309</v>
      </c>
    </row>
    <row r="392" spans="1:6">
      <c r="A392">
        <f>IFERROR(VLOOKUP(B392,[1]銷貨單品號主檔!$A:$D,4,0),"學習周邊")</f>
        <v>0</v>
      </c>
      <c r="B392"/>
      <c r="D392"/>
      <c r="F392" s="26" t="s">
        <v>309</v>
      </c>
    </row>
    <row r="393" spans="1:6">
      <c r="A393">
        <f>IFERROR(VLOOKUP(B393,[1]銷貨單品號主檔!$A:$D,4,0),"學習周邊")</f>
        <v>0</v>
      </c>
      <c r="B393"/>
      <c r="D393"/>
      <c r="F393" s="26" t="s">
        <v>309</v>
      </c>
    </row>
    <row r="394" spans="1:6">
      <c r="A394">
        <f>IFERROR(VLOOKUP(B394,[1]銷貨單品號主檔!$A:$D,4,0),"學習周邊")</f>
        <v>0</v>
      </c>
      <c r="B394"/>
      <c r="D394"/>
      <c r="F394" s="26" t="s">
        <v>309</v>
      </c>
    </row>
    <row r="395" spans="1:6">
      <c r="A395">
        <f>IFERROR(VLOOKUP(B395,[1]銷貨單品號主檔!$A:$D,4,0),"學習周邊")</f>
        <v>0</v>
      </c>
      <c r="B395"/>
      <c r="D395"/>
      <c r="F395" s="26" t="s">
        <v>309</v>
      </c>
    </row>
    <row r="396" spans="1:6">
      <c r="A396">
        <f>IFERROR(VLOOKUP(B396,[1]銷貨單品號主檔!$A:$D,4,0),"學習周邊")</f>
        <v>0</v>
      </c>
      <c r="B396"/>
      <c r="D396"/>
      <c r="F396" s="26" t="s">
        <v>309</v>
      </c>
    </row>
    <row r="397" spans="1:6">
      <c r="A397">
        <f>IFERROR(VLOOKUP(B397,[1]銷貨單品號主檔!$A:$D,4,0),"學習周邊")</f>
        <v>0</v>
      </c>
      <c r="B397"/>
      <c r="D397"/>
      <c r="F397" s="26" t="s">
        <v>309</v>
      </c>
    </row>
    <row r="398" spans="1:6">
      <c r="A398">
        <f>IFERROR(VLOOKUP(B398,[1]銷貨單品號主檔!$A:$D,4,0),"學習周邊")</f>
        <v>0</v>
      </c>
      <c r="B398"/>
      <c r="D398"/>
      <c r="F398" s="26" t="s">
        <v>309</v>
      </c>
    </row>
    <row r="399" spans="1:6">
      <c r="A399">
        <f>IFERROR(VLOOKUP(B399,[1]銷貨單品號主檔!$A:$D,4,0),"學習周邊")</f>
        <v>0</v>
      </c>
      <c r="B399"/>
      <c r="D399"/>
      <c r="F399" s="26" t="s">
        <v>309</v>
      </c>
    </row>
    <row r="400" spans="1:6">
      <c r="A400">
        <f>IFERROR(VLOOKUP(B400,[1]銷貨單品號主檔!$A:$D,4,0),"學習周邊")</f>
        <v>0</v>
      </c>
      <c r="B400"/>
      <c r="D400"/>
      <c r="F400" s="26" t="s">
        <v>309</v>
      </c>
    </row>
    <row r="401" spans="1:6">
      <c r="A401">
        <f>IFERROR(VLOOKUP(B401,[1]銷貨單品號主檔!$A:$D,4,0),"學習周邊")</f>
        <v>0</v>
      </c>
      <c r="B401"/>
      <c r="D401"/>
      <c r="F401" s="26" t="s">
        <v>309</v>
      </c>
    </row>
    <row r="402" spans="1:6">
      <c r="A402">
        <f>IFERROR(VLOOKUP(B402,[1]銷貨單品號主檔!$A:$D,4,0),"學習周邊")</f>
        <v>0</v>
      </c>
      <c r="B402"/>
      <c r="D402"/>
      <c r="F402" s="26" t="s">
        <v>309</v>
      </c>
    </row>
    <row r="403" spans="1:6">
      <c r="A403">
        <f>IFERROR(VLOOKUP(B403,[1]銷貨單品號主檔!$A:$D,4,0),"學習周邊")</f>
        <v>0</v>
      </c>
      <c r="B403"/>
      <c r="D403"/>
      <c r="F403" s="26" t="s">
        <v>309</v>
      </c>
    </row>
    <row r="404" spans="1:6">
      <c r="A404">
        <f>IFERROR(VLOOKUP(B404,[1]銷貨單品號主檔!$A:$D,4,0),"學習周邊")</f>
        <v>0</v>
      </c>
      <c r="B404"/>
      <c r="D404"/>
      <c r="F404" s="26" t="s">
        <v>309</v>
      </c>
    </row>
    <row r="405" spans="1:6">
      <c r="A405">
        <f>IFERROR(VLOOKUP(B405,[1]銷貨單品號主檔!$A:$D,4,0),"學習周邊")</f>
        <v>0</v>
      </c>
      <c r="B405"/>
      <c r="D405"/>
      <c r="F405" s="26" t="s">
        <v>309</v>
      </c>
    </row>
    <row r="406" spans="1:6">
      <c r="A406">
        <f>IFERROR(VLOOKUP(B406,[1]銷貨單品號主檔!$A:$D,4,0),"學習周邊")</f>
        <v>0</v>
      </c>
      <c r="B406"/>
      <c r="D406"/>
      <c r="F406" s="26" t="s">
        <v>309</v>
      </c>
    </row>
    <row r="407" spans="1:6">
      <c r="A407">
        <f>IFERROR(VLOOKUP(B407,[1]銷貨單品號主檔!$A:$D,4,0),"學習周邊")</f>
        <v>0</v>
      </c>
      <c r="B407"/>
      <c r="D407"/>
      <c r="F407" s="26" t="s">
        <v>309</v>
      </c>
    </row>
    <row r="408" spans="1:6">
      <c r="A408">
        <f>IFERROR(VLOOKUP(B408,[1]銷貨單品號主檔!$A:$D,4,0),"學習周邊")</f>
        <v>0</v>
      </c>
      <c r="B408"/>
      <c r="D408"/>
      <c r="F408" s="26" t="s">
        <v>309</v>
      </c>
    </row>
    <row r="409" spans="1:6">
      <c r="A409">
        <f>IFERROR(VLOOKUP(B409,[1]銷貨單品號主檔!$A:$D,4,0),"學習周邊")</f>
        <v>0</v>
      </c>
      <c r="B409"/>
      <c r="D409"/>
      <c r="F409" s="26" t="s">
        <v>309</v>
      </c>
    </row>
    <row r="410" spans="1:6">
      <c r="A410">
        <f>IFERROR(VLOOKUP(B410,[1]銷貨單品號主檔!$A:$D,4,0),"學習周邊")</f>
        <v>0</v>
      </c>
      <c r="B410"/>
      <c r="D410"/>
      <c r="F410" s="26" t="s">
        <v>309</v>
      </c>
    </row>
    <row r="411" spans="1:6">
      <c r="A411">
        <f>IFERROR(VLOOKUP(B411,[1]銷貨單品號主檔!$A:$D,4,0),"學習周邊")</f>
        <v>0</v>
      </c>
      <c r="F411" s="26" t="s">
        <v>309</v>
      </c>
    </row>
    <row r="412" spans="1:6">
      <c r="A412">
        <f>IFERROR(VLOOKUP(B412,[1]銷貨單品號主檔!$A:$D,4,0),"學習周邊")</f>
        <v>0</v>
      </c>
      <c r="F412" s="26" t="s">
        <v>309</v>
      </c>
    </row>
    <row r="413" spans="1:6">
      <c r="A413">
        <f>IFERROR(VLOOKUP(B413,[1]銷貨單品號主檔!$A:$D,4,0),"學習周邊")</f>
        <v>0</v>
      </c>
      <c r="F413" s="26" t="s">
        <v>309</v>
      </c>
    </row>
    <row r="414" spans="1:6">
      <c r="A414">
        <f>IFERROR(VLOOKUP(B414,[1]銷貨單品號主檔!$A:$D,4,0),"學習周邊")</f>
        <v>0</v>
      </c>
      <c r="F414" s="26" t="s">
        <v>309</v>
      </c>
    </row>
    <row r="415" spans="1:6">
      <c r="A415">
        <f>IFERROR(VLOOKUP(B415,[1]銷貨單品號主檔!$A:$D,4,0),"學習周邊")</f>
        <v>0</v>
      </c>
      <c r="F415" s="26" t="s">
        <v>309</v>
      </c>
    </row>
    <row r="416" spans="1:6">
      <c r="A416">
        <f>IFERROR(VLOOKUP(B416,[1]銷貨單品號主檔!$A:$D,4,0),"學習周邊")</f>
        <v>0</v>
      </c>
      <c r="F416" s="26" t="s">
        <v>309</v>
      </c>
    </row>
    <row r="417" spans="1:6">
      <c r="A417">
        <f>IFERROR(VLOOKUP(B417,[1]銷貨單品號主檔!$A:$D,4,0),"學習周邊")</f>
        <v>0</v>
      </c>
      <c r="F417" s="26" t="s">
        <v>309</v>
      </c>
    </row>
    <row r="418" spans="1:6">
      <c r="A418">
        <f>IFERROR(VLOOKUP(B418,[1]銷貨單品號主檔!$A:$D,4,0),"學習周邊")</f>
        <v>0</v>
      </c>
      <c r="F418" s="26" t="s">
        <v>309</v>
      </c>
    </row>
    <row r="419" spans="1:6">
      <c r="A419">
        <f>IFERROR(VLOOKUP(B419,[1]銷貨單品號主檔!$A:$D,4,0),"學習周邊")</f>
        <v>0</v>
      </c>
      <c r="F419" s="26" t="s">
        <v>309</v>
      </c>
    </row>
    <row r="420" spans="1:6">
      <c r="A420">
        <f>IFERROR(VLOOKUP(B420,[1]銷貨單品號主檔!$A:$D,4,0),"學習周邊")</f>
        <v>0</v>
      </c>
      <c r="F420" s="26" t="s">
        <v>309</v>
      </c>
    </row>
    <row r="421" spans="1:6">
      <c r="A421">
        <f>IFERROR(VLOOKUP(B421,[1]銷貨單品號主檔!$A:$D,4,0),"學習周邊")</f>
        <v>0</v>
      </c>
      <c r="F421" s="26" t="s">
        <v>309</v>
      </c>
    </row>
    <row r="422" spans="1:6">
      <c r="A422">
        <f>IFERROR(VLOOKUP(B422,[1]銷貨單品號主檔!$A:$D,4,0),"學習周邊")</f>
        <v>0</v>
      </c>
      <c r="F422" s="26" t="s">
        <v>309</v>
      </c>
    </row>
    <row r="423" spans="1:6">
      <c r="A423">
        <f>IFERROR(VLOOKUP(B423,[1]銷貨單品號主檔!$A:$D,4,0),"學習周邊")</f>
        <v>0</v>
      </c>
      <c r="F423" s="26" t="s">
        <v>309</v>
      </c>
    </row>
    <row r="424" spans="1:6" s="23" customFormat="1">
      <c r="A424">
        <f>IFERROR(VLOOKUP(B424,[1]銷貨單品號主檔!$A:$D,4,0),"學習周邊")</f>
        <v>0</v>
      </c>
      <c r="C424"/>
      <c r="E424"/>
      <c r="F424" s="26" t="s">
        <v>309</v>
      </c>
    </row>
    <row r="425" spans="1:6" s="23" customFormat="1">
      <c r="A425">
        <f>IFERROR(VLOOKUP(B425,[1]銷貨單品號主檔!$A:$D,4,0),"學習周邊")</f>
        <v>0</v>
      </c>
      <c r="C425"/>
      <c r="E425"/>
      <c r="F425" s="26" t="s">
        <v>309</v>
      </c>
    </row>
    <row r="426" spans="1:6" s="23" customFormat="1">
      <c r="A426">
        <f>IFERROR(VLOOKUP(B426,[1]銷貨單品號主檔!$A:$D,4,0),"學習周邊")</f>
        <v>0</v>
      </c>
      <c r="C426"/>
      <c r="E426"/>
      <c r="F426" s="26" t="s">
        <v>309</v>
      </c>
    </row>
    <row r="427" spans="1:6" s="23" customFormat="1">
      <c r="A427">
        <f>IFERROR(VLOOKUP(B427,[1]銷貨單品號主檔!$A:$D,4,0),"學習周邊")</f>
        <v>0</v>
      </c>
      <c r="C427"/>
      <c r="E427"/>
      <c r="F427" s="26" t="s">
        <v>309</v>
      </c>
    </row>
    <row r="428" spans="1:6" s="23" customFormat="1">
      <c r="A428">
        <f>IFERROR(VLOOKUP(B428,[1]銷貨單品號主檔!$A:$D,4,0),"學習周邊")</f>
        <v>0</v>
      </c>
      <c r="C428"/>
      <c r="E428"/>
      <c r="F428" s="26" t="s">
        <v>309</v>
      </c>
    </row>
    <row r="429" spans="1:6" s="23" customFormat="1">
      <c r="A429">
        <f>IFERROR(VLOOKUP(B429,[1]銷貨單品號主檔!$A:$D,4,0),"學習周邊")</f>
        <v>0</v>
      </c>
      <c r="C429"/>
      <c r="E429"/>
      <c r="F429" s="26" t="s">
        <v>309</v>
      </c>
    </row>
    <row r="430" spans="1:6" s="23" customFormat="1">
      <c r="A430">
        <f>IFERROR(VLOOKUP(B430,[1]銷貨單品號主檔!$A:$D,4,0),"學習周邊")</f>
        <v>0</v>
      </c>
      <c r="C430"/>
      <c r="E430"/>
      <c r="F430" s="26" t="s">
        <v>309</v>
      </c>
    </row>
    <row r="431" spans="1:6" s="23" customFormat="1">
      <c r="A431">
        <f>IFERROR(VLOOKUP(B431,[1]銷貨單品號主檔!$A:$D,4,0),"學習周邊")</f>
        <v>0</v>
      </c>
      <c r="C431"/>
      <c r="E431"/>
      <c r="F431" s="26" t="s">
        <v>309</v>
      </c>
    </row>
    <row r="432" spans="1:6" s="23" customFormat="1">
      <c r="A432">
        <f>IFERROR(VLOOKUP(B432,[1]銷貨單品號主檔!$A:$D,4,0),"學習周邊")</f>
        <v>0</v>
      </c>
      <c r="C432"/>
      <c r="E432"/>
      <c r="F432" s="26" t="s">
        <v>309</v>
      </c>
    </row>
    <row r="433" spans="1:6" s="23" customFormat="1">
      <c r="A433">
        <f>IFERROR(VLOOKUP(B433,[1]銷貨單品號主檔!$A:$D,4,0),"學習周邊")</f>
        <v>0</v>
      </c>
      <c r="C433"/>
      <c r="E433"/>
      <c r="F433" s="26" t="s">
        <v>309</v>
      </c>
    </row>
    <row r="434" spans="1:6" s="23" customFormat="1">
      <c r="A434">
        <f>IFERROR(VLOOKUP(B434,[1]銷貨單品號主檔!$A:$D,4,0),"學習周邊")</f>
        <v>0</v>
      </c>
      <c r="C434"/>
      <c r="E434"/>
      <c r="F434" s="26" t="s">
        <v>309</v>
      </c>
    </row>
    <row r="435" spans="1:6" s="23" customFormat="1">
      <c r="A435">
        <f>IFERROR(VLOOKUP(B435,[1]銷貨單品號主檔!$A:$D,4,0),"學習周邊")</f>
        <v>0</v>
      </c>
      <c r="C435"/>
      <c r="E435"/>
      <c r="F435" s="26" t="s">
        <v>309</v>
      </c>
    </row>
    <row r="436" spans="1:6" s="23" customFormat="1">
      <c r="A436">
        <f>IFERROR(VLOOKUP(B436,[1]銷貨單品號主檔!$A:$D,4,0),"學習周邊")</f>
        <v>0</v>
      </c>
      <c r="C436"/>
      <c r="E436"/>
      <c r="F436" s="26" t="s">
        <v>309</v>
      </c>
    </row>
    <row r="437" spans="1:6" s="23" customFormat="1">
      <c r="A437">
        <f>IFERROR(VLOOKUP(B437,[1]銷貨單品號主檔!$A:$D,4,0),"學習周邊")</f>
        <v>0</v>
      </c>
      <c r="C437"/>
      <c r="E437"/>
      <c r="F437" s="26" t="s">
        <v>309</v>
      </c>
    </row>
    <row r="438" spans="1:6" s="23" customFormat="1">
      <c r="A438">
        <f>IFERROR(VLOOKUP(B438,[1]銷貨單品號主檔!$A:$D,4,0),"學習周邊")</f>
        <v>0</v>
      </c>
      <c r="C438"/>
      <c r="E438"/>
      <c r="F438" s="26" t="s">
        <v>309</v>
      </c>
    </row>
    <row r="439" spans="1:6" s="23" customFormat="1">
      <c r="A439">
        <f>IFERROR(VLOOKUP(B439,[1]銷貨單品號主檔!$A:$D,4,0),"學習周邊")</f>
        <v>0</v>
      </c>
      <c r="C439"/>
      <c r="E439"/>
      <c r="F439" s="26" t="s">
        <v>309</v>
      </c>
    </row>
    <row r="440" spans="1:6" s="23" customFormat="1">
      <c r="A440">
        <f>IFERROR(VLOOKUP(B440,[1]銷貨單品號主檔!$A:$D,4,0),"學習周邊")</f>
        <v>0</v>
      </c>
      <c r="C440"/>
      <c r="E440"/>
      <c r="F440" s="26" t="s">
        <v>309</v>
      </c>
    </row>
    <row r="441" spans="1:6" s="23" customFormat="1">
      <c r="A441">
        <f>IFERROR(VLOOKUP(B441,[1]銷貨單品號主檔!$A:$D,4,0),"學習周邊")</f>
        <v>0</v>
      </c>
      <c r="C441"/>
      <c r="E441"/>
      <c r="F441" s="26" t="s">
        <v>309</v>
      </c>
    </row>
    <row r="442" spans="1:6" s="23" customFormat="1">
      <c r="A442">
        <f>IFERROR(VLOOKUP(B442,[1]銷貨單品號主檔!$A:$D,4,0),"學習周邊")</f>
        <v>0</v>
      </c>
      <c r="C442"/>
      <c r="E442"/>
      <c r="F442" s="26" t="s">
        <v>309</v>
      </c>
    </row>
    <row r="443" spans="1:6" s="23" customFormat="1">
      <c r="A443">
        <f>IFERROR(VLOOKUP(B443,[1]銷貨單品號主檔!$A:$D,4,0),"學習周邊")</f>
        <v>0</v>
      </c>
      <c r="C443"/>
      <c r="E443"/>
      <c r="F443" s="26" t="s">
        <v>309</v>
      </c>
    </row>
    <row r="444" spans="1:6" s="23" customFormat="1">
      <c r="A444">
        <f>IFERROR(VLOOKUP(B444,[1]銷貨單品號主檔!$A:$D,4,0),"學習周邊")</f>
        <v>0</v>
      </c>
      <c r="C444"/>
      <c r="E444"/>
      <c r="F444" s="26" t="s">
        <v>309</v>
      </c>
    </row>
    <row r="445" spans="1:6" s="23" customFormat="1">
      <c r="A445">
        <f>IFERROR(VLOOKUP(B445,[1]銷貨單品號主檔!$A:$D,4,0),"學習周邊")</f>
        <v>0</v>
      </c>
      <c r="C445"/>
      <c r="E445"/>
      <c r="F445" s="26" t="s">
        <v>309</v>
      </c>
    </row>
    <row r="446" spans="1:6" s="23" customFormat="1">
      <c r="A446">
        <f>IFERROR(VLOOKUP(B446,[1]銷貨單品號主檔!$A:$D,4,0),"學習周邊")</f>
        <v>0</v>
      </c>
      <c r="C446"/>
      <c r="E446"/>
      <c r="F446" s="26" t="s">
        <v>309</v>
      </c>
    </row>
    <row r="447" spans="1:6" s="23" customFormat="1">
      <c r="A447">
        <f>IFERROR(VLOOKUP(B447,[1]銷貨單品號主檔!$A:$D,4,0),"學習周邊")</f>
        <v>0</v>
      </c>
      <c r="C447"/>
      <c r="E447"/>
      <c r="F447" s="26" t="s">
        <v>309</v>
      </c>
    </row>
    <row r="448" spans="1:6" s="23" customFormat="1">
      <c r="A448">
        <f>IFERROR(VLOOKUP(B448,[1]銷貨單品號主檔!$A:$D,4,0),"學習周邊")</f>
        <v>0</v>
      </c>
      <c r="C448"/>
      <c r="E448"/>
      <c r="F448" s="26" t="s">
        <v>309</v>
      </c>
    </row>
    <row r="449" spans="1:6" s="23" customFormat="1">
      <c r="A449">
        <f>IFERROR(VLOOKUP(B449,[1]銷貨單品號主檔!$A:$D,4,0),"學習周邊")</f>
        <v>0</v>
      </c>
      <c r="C449"/>
      <c r="E449"/>
      <c r="F449" s="26" t="s">
        <v>309</v>
      </c>
    </row>
    <row r="450" spans="1:6" s="23" customFormat="1">
      <c r="A450">
        <f>IFERROR(VLOOKUP(B450,[1]銷貨單品號主檔!$A:$D,4,0),"學習周邊")</f>
        <v>0</v>
      </c>
      <c r="C450"/>
      <c r="E450"/>
      <c r="F450" s="26" t="s">
        <v>309</v>
      </c>
    </row>
    <row r="451" spans="1:6" s="23" customFormat="1">
      <c r="A451">
        <f>IFERROR(VLOOKUP(B451,[1]銷貨單品號主檔!$A:$D,4,0),"學習周邊")</f>
        <v>0</v>
      </c>
      <c r="C451"/>
      <c r="E451"/>
      <c r="F451" s="26" t="s">
        <v>309</v>
      </c>
    </row>
    <row r="452" spans="1:6" s="23" customFormat="1">
      <c r="A452">
        <f>IFERROR(VLOOKUP(B452,[1]銷貨單品號主檔!$A:$D,4,0),"學習周邊")</f>
        <v>0</v>
      </c>
      <c r="C452"/>
      <c r="E452"/>
      <c r="F452" s="26" t="s">
        <v>309</v>
      </c>
    </row>
    <row r="453" spans="1:6" s="23" customFormat="1">
      <c r="A453">
        <f>IFERROR(VLOOKUP(B453,[1]銷貨單品號主檔!$A:$D,4,0),"學習周邊")</f>
        <v>0</v>
      </c>
      <c r="C453"/>
      <c r="E453"/>
      <c r="F453" s="26" t="s">
        <v>309</v>
      </c>
    </row>
    <row r="454" spans="1:6" s="23" customFormat="1">
      <c r="A454">
        <f>IFERROR(VLOOKUP(B454,[1]銷貨單品號主檔!$A:$D,4,0),"學習周邊")</f>
        <v>0</v>
      </c>
      <c r="C454"/>
      <c r="E454"/>
      <c r="F454" s="26" t="s">
        <v>309</v>
      </c>
    </row>
    <row r="455" spans="1:6" s="23" customFormat="1">
      <c r="A455">
        <f>IFERROR(VLOOKUP(B455,[1]銷貨單品號主檔!$A:$D,4,0),"學習周邊")</f>
        <v>0</v>
      </c>
      <c r="C455"/>
      <c r="E455"/>
      <c r="F455" s="26" t="s">
        <v>309</v>
      </c>
    </row>
    <row r="456" spans="1:6" s="23" customFormat="1">
      <c r="A456">
        <f>IFERROR(VLOOKUP(B456,[1]銷貨單品號主檔!$A:$D,4,0),"學習周邊")</f>
        <v>0</v>
      </c>
      <c r="C456"/>
      <c r="E456"/>
      <c r="F456" s="26" t="s">
        <v>309</v>
      </c>
    </row>
    <row r="457" spans="1:6" s="23" customFormat="1">
      <c r="A457">
        <f>IFERROR(VLOOKUP(B457,[1]銷貨單品號主檔!$A:$D,4,0),"學習周邊")</f>
        <v>0</v>
      </c>
      <c r="C457"/>
      <c r="E457"/>
      <c r="F457" s="26" t="s">
        <v>309</v>
      </c>
    </row>
    <row r="458" spans="1:6" s="23" customFormat="1">
      <c r="A458">
        <f>IFERROR(VLOOKUP(B458,[1]銷貨單品號主檔!$A:$D,4,0),"學習周邊")</f>
        <v>0</v>
      </c>
      <c r="C458"/>
      <c r="E458"/>
      <c r="F458" s="26" t="s">
        <v>309</v>
      </c>
    </row>
    <row r="459" spans="1:6" s="23" customFormat="1">
      <c r="A459">
        <f>IFERROR(VLOOKUP(B459,[1]銷貨單品號主檔!$A:$D,4,0),"學習周邊")</f>
        <v>0</v>
      </c>
      <c r="C459"/>
      <c r="E459"/>
      <c r="F459" s="26" t="s">
        <v>309</v>
      </c>
    </row>
    <row r="460" spans="1:6" s="23" customFormat="1">
      <c r="A460">
        <f>IFERROR(VLOOKUP(B460,[1]銷貨單品號主檔!$A:$D,4,0),"學習周邊")</f>
        <v>0</v>
      </c>
      <c r="C460"/>
      <c r="E460"/>
      <c r="F460" s="26" t="s">
        <v>309</v>
      </c>
    </row>
    <row r="461" spans="1:6" s="23" customFormat="1">
      <c r="A461">
        <f>IFERROR(VLOOKUP(B461,[1]銷貨單品號主檔!$A:$D,4,0),"學習周邊")</f>
        <v>0</v>
      </c>
      <c r="C461"/>
      <c r="E461"/>
      <c r="F461" s="26" t="s">
        <v>309</v>
      </c>
    </row>
    <row r="462" spans="1:6" s="23" customFormat="1">
      <c r="A462">
        <f>IFERROR(VLOOKUP(B462,[1]銷貨單品號主檔!$A:$D,4,0),"學習周邊")</f>
        <v>0</v>
      </c>
      <c r="C462"/>
      <c r="E462"/>
      <c r="F462" s="26" t="s">
        <v>309</v>
      </c>
    </row>
    <row r="463" spans="1:6" s="23" customFormat="1">
      <c r="A463">
        <f>IFERROR(VLOOKUP(B463,[1]銷貨單品號主檔!$A:$D,4,0),"學習周邊")</f>
        <v>0</v>
      </c>
      <c r="C463"/>
      <c r="E463"/>
      <c r="F463" s="26" t="s">
        <v>309</v>
      </c>
    </row>
    <row r="464" spans="1:6" s="23" customFormat="1">
      <c r="A464">
        <f>IFERROR(VLOOKUP(B464,[1]銷貨單品號主檔!$A:$D,4,0),"學習周邊")</f>
        <v>0</v>
      </c>
      <c r="C464"/>
      <c r="E464"/>
      <c r="F464" s="26" t="s">
        <v>309</v>
      </c>
    </row>
    <row r="465" spans="1:6" s="23" customFormat="1">
      <c r="A465">
        <f>IFERROR(VLOOKUP(B465,[1]銷貨單品號主檔!$A:$D,4,0),"學習周邊")</f>
        <v>0</v>
      </c>
      <c r="C465"/>
      <c r="E465"/>
      <c r="F465" s="26" t="s">
        <v>309</v>
      </c>
    </row>
    <row r="466" spans="1:6" s="23" customFormat="1">
      <c r="A466">
        <f>IFERROR(VLOOKUP(B466,[1]銷貨單品號主檔!$A:$D,4,0),"學習周邊")</f>
        <v>0</v>
      </c>
      <c r="C466"/>
      <c r="E466"/>
      <c r="F466" s="26" t="s">
        <v>309</v>
      </c>
    </row>
    <row r="467" spans="1:6" s="23" customFormat="1">
      <c r="A467">
        <f>IFERROR(VLOOKUP(B467,[1]銷貨單品號主檔!$A:$D,4,0),"學習周邊")</f>
        <v>0</v>
      </c>
      <c r="C467"/>
      <c r="E467"/>
      <c r="F467" s="26" t="s">
        <v>309</v>
      </c>
    </row>
    <row r="468" spans="1:6" s="23" customFormat="1">
      <c r="A468">
        <f>IFERROR(VLOOKUP(B468,[1]銷貨單品號主檔!$A:$D,4,0),"學習周邊")</f>
        <v>0</v>
      </c>
      <c r="C468"/>
      <c r="E468"/>
      <c r="F468" s="26" t="s">
        <v>309</v>
      </c>
    </row>
    <row r="469" spans="1:6" s="23" customFormat="1">
      <c r="A469">
        <f>IFERROR(VLOOKUP(B469,[1]銷貨單品號主檔!$A:$D,4,0),"學習周邊")</f>
        <v>0</v>
      </c>
      <c r="C469"/>
      <c r="E469"/>
      <c r="F469" s="26" t="s">
        <v>309</v>
      </c>
    </row>
    <row r="470" spans="1:6" s="23" customFormat="1">
      <c r="A470">
        <f>IFERROR(VLOOKUP(B470,[1]銷貨單品號主檔!$A:$D,4,0),"學習周邊")</f>
        <v>0</v>
      </c>
      <c r="C470"/>
      <c r="E470"/>
      <c r="F470" s="26" t="s">
        <v>309</v>
      </c>
    </row>
    <row r="471" spans="1:6" s="23" customFormat="1">
      <c r="A471">
        <f>IFERROR(VLOOKUP(B471,[1]銷貨單品號主檔!$A:$D,4,0),"學習周邊")</f>
        <v>0</v>
      </c>
      <c r="C471"/>
      <c r="E471"/>
      <c r="F471" s="26" t="s">
        <v>309</v>
      </c>
    </row>
    <row r="472" spans="1:6" s="23" customFormat="1">
      <c r="A472">
        <f>IFERROR(VLOOKUP(B472,[1]銷貨單品號主檔!$A:$D,4,0),"學習周邊")</f>
        <v>0</v>
      </c>
      <c r="C472"/>
      <c r="E472"/>
      <c r="F472" s="26" t="s">
        <v>309</v>
      </c>
    </row>
    <row r="473" spans="1:6" s="23" customFormat="1">
      <c r="A473">
        <f>IFERROR(VLOOKUP(B473,[1]銷貨單品號主檔!$A:$D,4,0),"學習周邊")</f>
        <v>0</v>
      </c>
      <c r="C473"/>
      <c r="E473"/>
      <c r="F473" s="26" t="s">
        <v>309</v>
      </c>
    </row>
    <row r="474" spans="1:6" s="23" customFormat="1">
      <c r="A474">
        <f>IFERROR(VLOOKUP(B474,[1]銷貨單品號主檔!$A:$D,4,0),"學習周邊")</f>
        <v>0</v>
      </c>
      <c r="C474"/>
      <c r="E474"/>
      <c r="F474" s="26" t="s">
        <v>309</v>
      </c>
    </row>
    <row r="475" spans="1:6" s="23" customFormat="1">
      <c r="A475">
        <f>IFERROR(VLOOKUP(B475,[1]銷貨單品號主檔!$A:$D,4,0),"學習周邊")</f>
        <v>0</v>
      </c>
      <c r="C475"/>
      <c r="E475"/>
      <c r="F475" s="26" t="s">
        <v>309</v>
      </c>
    </row>
    <row r="476" spans="1:6" s="23" customFormat="1">
      <c r="A476">
        <f>IFERROR(VLOOKUP(B476,[1]銷貨單品號主檔!$A:$D,4,0),"學習周邊")</f>
        <v>0</v>
      </c>
      <c r="C476"/>
      <c r="E476"/>
      <c r="F476" s="26" t="s">
        <v>309</v>
      </c>
    </row>
    <row r="477" spans="1:6" s="23" customFormat="1">
      <c r="A477">
        <f>IFERROR(VLOOKUP(B477,[1]銷貨單品號主檔!$A:$D,4,0),"學習周邊")</f>
        <v>0</v>
      </c>
      <c r="C477"/>
      <c r="E477"/>
      <c r="F477" s="26" t="s">
        <v>309</v>
      </c>
    </row>
    <row r="478" spans="1:6" s="23" customFormat="1">
      <c r="A478">
        <f>IFERROR(VLOOKUP(B478,[1]銷貨單品號主檔!$A:$D,4,0),"學習周邊")</f>
        <v>0</v>
      </c>
      <c r="C478"/>
      <c r="E478"/>
      <c r="F478" s="26" t="s">
        <v>309</v>
      </c>
    </row>
    <row r="479" spans="1:6" s="23" customFormat="1">
      <c r="A479">
        <f>IFERROR(VLOOKUP(B479,[1]銷貨單品號主檔!$A:$D,4,0),"學習周邊")</f>
        <v>0</v>
      </c>
      <c r="C479"/>
      <c r="E479"/>
      <c r="F479" s="26" t="s">
        <v>309</v>
      </c>
    </row>
    <row r="480" spans="1:6" s="23" customFormat="1">
      <c r="A480">
        <f>IFERROR(VLOOKUP(B480,[1]銷貨單品號主檔!$A:$D,4,0),"學習周邊")</f>
        <v>0</v>
      </c>
      <c r="C480"/>
      <c r="E480"/>
      <c r="F480" s="26" t="s">
        <v>309</v>
      </c>
    </row>
    <row r="481" spans="1:6" s="23" customFormat="1">
      <c r="A481">
        <f>IFERROR(VLOOKUP(B481,[1]銷貨單品號主檔!$A:$D,4,0),"學習周邊")</f>
        <v>0</v>
      </c>
      <c r="C481"/>
      <c r="E481"/>
      <c r="F481" s="26" t="s">
        <v>309</v>
      </c>
    </row>
    <row r="482" spans="1:6" s="23" customFormat="1">
      <c r="A482">
        <f>IFERROR(VLOOKUP(B482,[1]銷貨單品號主檔!$A:$D,4,0),"學習周邊")</f>
        <v>0</v>
      </c>
      <c r="C482"/>
      <c r="E482"/>
      <c r="F482" s="26" t="s">
        <v>309</v>
      </c>
    </row>
    <row r="483" spans="1:6" s="23" customFormat="1">
      <c r="A483">
        <f>IFERROR(VLOOKUP(B483,[1]銷貨單品號主檔!$A:$D,4,0),"學習周邊")</f>
        <v>0</v>
      </c>
      <c r="C483"/>
      <c r="E483"/>
      <c r="F483" s="26" t="s">
        <v>309</v>
      </c>
    </row>
    <row r="484" spans="1:6" s="23" customFormat="1">
      <c r="A484">
        <f>IFERROR(VLOOKUP(B484,[1]銷貨單品號主檔!$A:$D,4,0),"學習周邊")</f>
        <v>0</v>
      </c>
      <c r="C484"/>
      <c r="E484"/>
      <c r="F484" s="26" t="s">
        <v>309</v>
      </c>
    </row>
    <row r="485" spans="1:6" s="23" customFormat="1">
      <c r="A485">
        <f>IFERROR(VLOOKUP(B485,[1]銷貨單品號主檔!$A:$D,4,0),"學習周邊")</f>
        <v>0</v>
      </c>
      <c r="C485"/>
      <c r="E485"/>
      <c r="F485" s="26" t="s">
        <v>309</v>
      </c>
    </row>
    <row r="486" spans="1:6" s="23" customFormat="1">
      <c r="A486">
        <f>IFERROR(VLOOKUP(B486,[1]銷貨單品號主檔!$A:$D,4,0),"學習周邊")</f>
        <v>0</v>
      </c>
      <c r="C486"/>
      <c r="E486"/>
      <c r="F486" s="26" t="s">
        <v>309</v>
      </c>
    </row>
    <row r="487" spans="1:6" s="23" customFormat="1">
      <c r="A487">
        <f>IFERROR(VLOOKUP(B487,[1]銷貨單品號主檔!$A:$D,4,0),"學習周邊")</f>
        <v>0</v>
      </c>
      <c r="C487"/>
      <c r="E487"/>
      <c r="F487" s="26" t="s">
        <v>309</v>
      </c>
    </row>
    <row r="488" spans="1:6" s="23" customFormat="1">
      <c r="A488">
        <f>IFERROR(VLOOKUP(B488,[1]銷貨單品號主檔!$A:$D,4,0),"學習周邊")</f>
        <v>0</v>
      </c>
      <c r="C488"/>
      <c r="E488"/>
      <c r="F488" s="26" t="s">
        <v>309</v>
      </c>
    </row>
    <row r="489" spans="1:6" s="23" customFormat="1">
      <c r="A489">
        <f>IFERROR(VLOOKUP(B489,[1]銷貨單品號主檔!$A:$D,4,0),"學習周邊")</f>
        <v>0</v>
      </c>
      <c r="C489"/>
      <c r="E489"/>
      <c r="F489" s="26" t="s">
        <v>309</v>
      </c>
    </row>
    <row r="490" spans="1:6" s="23" customFormat="1">
      <c r="A490">
        <f>IFERROR(VLOOKUP(B490,[1]銷貨單品號主檔!$A:$D,4,0),"學習周邊")</f>
        <v>0</v>
      </c>
      <c r="C490"/>
      <c r="E490"/>
      <c r="F490" s="26" t="s">
        <v>309</v>
      </c>
    </row>
    <row r="491" spans="1:6" s="23" customFormat="1">
      <c r="A491">
        <f>IFERROR(VLOOKUP(B491,[1]銷貨單品號主檔!$A:$D,4,0),"學習周邊")</f>
        <v>0</v>
      </c>
      <c r="C491"/>
      <c r="E491"/>
      <c r="F491" s="26" t="s">
        <v>309</v>
      </c>
    </row>
    <row r="492" spans="1:6" s="23" customFormat="1">
      <c r="A492">
        <f>IFERROR(VLOOKUP(B492,[1]銷貨單品號主檔!$A:$D,4,0),"學習周邊")</f>
        <v>0</v>
      </c>
      <c r="C492"/>
      <c r="E492"/>
      <c r="F492" s="26" t="s">
        <v>309</v>
      </c>
    </row>
    <row r="493" spans="1:6" s="23" customFormat="1">
      <c r="A493">
        <f>IFERROR(VLOOKUP(B493,[1]銷貨單品號主檔!$A:$D,4,0),"學習周邊")</f>
        <v>0</v>
      </c>
      <c r="C493"/>
      <c r="E493"/>
      <c r="F493" s="26" t="s">
        <v>309</v>
      </c>
    </row>
    <row r="494" spans="1:6" s="23" customFormat="1">
      <c r="A494">
        <f>IFERROR(VLOOKUP(B494,[1]銷貨單品號主檔!$A:$D,4,0),"學習周邊")</f>
        <v>0</v>
      </c>
      <c r="C494"/>
      <c r="E494"/>
      <c r="F494" s="26" t="s">
        <v>309</v>
      </c>
    </row>
    <row r="495" spans="1:6" s="23" customFormat="1">
      <c r="A495"/>
      <c r="C495"/>
      <c r="E495"/>
      <c r="F495"/>
    </row>
    <row r="496" spans="1:6" s="23" customFormat="1">
      <c r="A496"/>
      <c r="C496"/>
      <c r="E496"/>
      <c r="F496"/>
    </row>
    <row r="497" spans="1:6" s="23" customFormat="1">
      <c r="A497"/>
      <c r="C497"/>
      <c r="E497"/>
      <c r="F497"/>
    </row>
    <row r="498" spans="1:6" s="23" customFormat="1">
      <c r="A498"/>
      <c r="C498"/>
      <c r="E498"/>
      <c r="F498"/>
    </row>
    <row r="499" spans="1:6" s="23" customFormat="1">
      <c r="A499"/>
      <c r="C499"/>
      <c r="E499"/>
      <c r="F499"/>
    </row>
    <row r="500" spans="1:6" s="23" customFormat="1">
      <c r="A500"/>
      <c r="C500"/>
      <c r="E500"/>
      <c r="F500"/>
    </row>
    <row r="501" spans="1:6" s="23" customFormat="1">
      <c r="A501"/>
      <c r="C501"/>
      <c r="E501"/>
      <c r="F501"/>
    </row>
    <row r="502" spans="1:6" s="23" customFormat="1">
      <c r="A502"/>
      <c r="C502"/>
      <c r="E502"/>
      <c r="F502"/>
    </row>
    <row r="503" spans="1:6" s="23" customFormat="1">
      <c r="A503"/>
      <c r="C503"/>
      <c r="E503"/>
      <c r="F503"/>
    </row>
  </sheetData>
  <phoneticPr fontId="4" type="noConversion"/>
  <conditionalFormatting sqref="A2:A494">
    <cfRule type="cellIs" dxfId="78" priority="8" operator="equal">
      <formula>"生活周邊"</formula>
    </cfRule>
    <cfRule type="cellIs" dxfId="77" priority="9" operator="equal">
      <formula>"Mirafeel"</formula>
    </cfRule>
    <cfRule type="cellIs" dxfId="76" priority="10" operator="equal">
      <formula>"學習"</formula>
    </cfRule>
  </conditionalFormatting>
  <pageMargins left="0.7" right="0.7" top="0.75" bottom="0.75" header="0.3" footer="0.3"/>
  <pageSetup paperSize="9" orientation="portrait" horizontalDpi="4294967292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A8D0-550E-4D8F-9A00-86E3F8559D2B}">
  <dimension ref="A1:H699"/>
  <sheetViews>
    <sheetView zoomScaleNormal="100" workbookViewId="0">
      <selection activeCell="D26" sqref="D26"/>
    </sheetView>
  </sheetViews>
  <sheetFormatPr defaultRowHeight="15.75"/>
  <cols>
    <col min="1" max="1" width="9.5546875" bestFit="1" customWidth="1"/>
    <col min="2" max="2" width="14.21875" bestFit="1" customWidth="1"/>
    <col min="3" max="3" width="31.21875" bestFit="1" customWidth="1"/>
    <col min="4" max="4" width="15.44140625" bestFit="1" customWidth="1"/>
    <col min="5" max="5" width="17.109375" bestFit="1" customWidth="1"/>
    <col min="7" max="7" width="13.21875" style="30" bestFit="1" customWidth="1"/>
    <col min="8" max="8" width="10.109375" bestFit="1" customWidth="1"/>
  </cols>
  <sheetData>
    <row r="1" spans="1:8">
      <c r="B1" t="s">
        <v>63</v>
      </c>
      <c r="C1" t="s" vm="1">
        <v>64</v>
      </c>
      <c r="D1" s="27"/>
    </row>
    <row r="2" spans="1:8">
      <c r="D2" s="23"/>
      <c r="E2" s="23"/>
      <c r="H2" s="29"/>
    </row>
    <row r="3" spans="1:8">
      <c r="A3" t="s">
        <v>47</v>
      </c>
      <c r="B3" t="s">
        <v>68</v>
      </c>
      <c r="C3" t="s">
        <v>69</v>
      </c>
      <c r="D3" t="s">
        <v>320</v>
      </c>
      <c r="E3" t="s">
        <v>70</v>
      </c>
      <c r="F3" t="s">
        <v>348</v>
      </c>
      <c r="G3" s="31" t="s">
        <v>347</v>
      </c>
      <c r="H3" s="28" t="s">
        <v>346</v>
      </c>
    </row>
    <row r="4" spans="1:8">
      <c r="A4" t="s">
        <v>377</v>
      </c>
      <c r="B4" t="s">
        <v>74</v>
      </c>
      <c r="C4" t="s">
        <v>75</v>
      </c>
      <c r="D4" t="s">
        <v>319</v>
      </c>
      <c r="E4">
        <v>3</v>
      </c>
      <c r="F4">
        <v>0</v>
      </c>
      <c r="G4" s="30">
        <v>0</v>
      </c>
      <c r="H4" s="11">
        <v>46113</v>
      </c>
    </row>
    <row r="5" spans="1:8">
      <c r="A5" t="s">
        <v>378</v>
      </c>
      <c r="B5" t="s">
        <v>77</v>
      </c>
      <c r="C5" t="s">
        <v>75</v>
      </c>
      <c r="D5" t="s">
        <v>319</v>
      </c>
      <c r="E5">
        <v>1</v>
      </c>
      <c r="F5">
        <v>100</v>
      </c>
      <c r="G5" s="30">
        <v>95.238095238095241</v>
      </c>
      <c r="H5" s="11">
        <v>46113</v>
      </c>
    </row>
    <row r="6" spans="1:8">
      <c r="A6" t="s">
        <v>377</v>
      </c>
      <c r="B6" t="s">
        <v>311</v>
      </c>
      <c r="C6" t="s">
        <v>89</v>
      </c>
      <c r="D6" t="s">
        <v>319</v>
      </c>
      <c r="E6">
        <v>3</v>
      </c>
      <c r="F6">
        <v>0</v>
      </c>
      <c r="G6" s="30">
        <v>0</v>
      </c>
      <c r="H6" s="11">
        <v>46114</v>
      </c>
    </row>
    <row r="7" spans="1:8">
      <c r="A7" t="s">
        <v>377</v>
      </c>
      <c r="B7" t="s">
        <v>311</v>
      </c>
      <c r="C7" t="s">
        <v>91</v>
      </c>
      <c r="D7" t="s">
        <v>319</v>
      </c>
      <c r="E7">
        <v>2</v>
      </c>
      <c r="F7">
        <v>0</v>
      </c>
      <c r="G7" s="30">
        <v>0</v>
      </c>
      <c r="H7" s="11">
        <v>46119</v>
      </c>
    </row>
    <row r="8" spans="1:8">
      <c r="A8" t="s">
        <v>377</v>
      </c>
      <c r="B8" t="s">
        <v>311</v>
      </c>
      <c r="C8" t="s">
        <v>95</v>
      </c>
      <c r="D8" t="s">
        <v>319</v>
      </c>
      <c r="E8">
        <v>4</v>
      </c>
      <c r="F8">
        <v>0</v>
      </c>
      <c r="G8" s="30">
        <v>0</v>
      </c>
      <c r="H8" s="11">
        <v>46121</v>
      </c>
    </row>
    <row r="9" spans="1:8">
      <c r="A9" t="s">
        <v>377</v>
      </c>
      <c r="B9" t="s">
        <v>311</v>
      </c>
      <c r="C9" t="s">
        <v>96</v>
      </c>
      <c r="D9" t="s">
        <v>319</v>
      </c>
      <c r="E9">
        <v>3</v>
      </c>
      <c r="F9">
        <v>0</v>
      </c>
      <c r="G9" s="30">
        <v>0</v>
      </c>
      <c r="H9" s="11">
        <v>46122</v>
      </c>
    </row>
    <row r="10" spans="1:8">
      <c r="A10" t="s">
        <v>377</v>
      </c>
      <c r="B10" t="s">
        <v>311</v>
      </c>
      <c r="C10" t="s">
        <v>97</v>
      </c>
      <c r="D10" t="s">
        <v>319</v>
      </c>
      <c r="E10">
        <v>3</v>
      </c>
      <c r="F10">
        <v>0</v>
      </c>
      <c r="G10" s="30">
        <v>0</v>
      </c>
      <c r="H10" s="11">
        <v>46126</v>
      </c>
    </row>
    <row r="11" spans="1:8">
      <c r="A11" t="s">
        <v>377</v>
      </c>
      <c r="B11" t="s">
        <v>311</v>
      </c>
      <c r="C11" t="s">
        <v>98</v>
      </c>
      <c r="D11" t="s">
        <v>319</v>
      </c>
      <c r="E11">
        <v>2</v>
      </c>
      <c r="F11">
        <v>0</v>
      </c>
      <c r="G11" s="30">
        <v>0</v>
      </c>
      <c r="H11" s="11">
        <v>46127</v>
      </c>
    </row>
    <row r="12" spans="1:8">
      <c r="A12" t="s">
        <v>377</v>
      </c>
      <c r="B12" t="s">
        <v>311</v>
      </c>
      <c r="C12" t="s">
        <v>100</v>
      </c>
      <c r="D12" t="s">
        <v>319</v>
      </c>
      <c r="E12">
        <v>1</v>
      </c>
      <c r="F12">
        <v>0</v>
      </c>
      <c r="G12" s="30">
        <v>0</v>
      </c>
      <c r="H12" s="11">
        <v>46128</v>
      </c>
    </row>
    <row r="13" spans="1:8">
      <c r="A13" t="s">
        <v>377</v>
      </c>
      <c r="B13" t="s">
        <v>311</v>
      </c>
      <c r="C13" t="s">
        <v>104</v>
      </c>
      <c r="D13" t="s">
        <v>319</v>
      </c>
      <c r="E13">
        <v>4</v>
      </c>
      <c r="F13">
        <v>0</v>
      </c>
      <c r="G13" s="30">
        <v>0</v>
      </c>
      <c r="H13" s="11">
        <v>46132</v>
      </c>
    </row>
    <row r="14" spans="1:8">
      <c r="A14" t="s">
        <v>377</v>
      </c>
      <c r="B14" t="s">
        <v>311</v>
      </c>
      <c r="C14" t="s">
        <v>82</v>
      </c>
      <c r="D14" t="s">
        <v>319</v>
      </c>
      <c r="E14">
        <v>5</v>
      </c>
      <c r="F14">
        <v>0</v>
      </c>
      <c r="G14" s="30">
        <v>0</v>
      </c>
      <c r="H14" s="11">
        <v>46133</v>
      </c>
    </row>
    <row r="15" spans="1:8">
      <c r="A15" t="s">
        <v>377</v>
      </c>
      <c r="B15" t="s">
        <v>311</v>
      </c>
      <c r="C15" t="s">
        <v>323</v>
      </c>
      <c r="D15" t="s">
        <v>319</v>
      </c>
      <c r="E15">
        <v>1</v>
      </c>
      <c r="F15">
        <v>0</v>
      </c>
      <c r="G15" s="30">
        <v>0</v>
      </c>
      <c r="H15" s="11">
        <v>46134</v>
      </c>
    </row>
    <row r="16" spans="1:8">
      <c r="A16" t="s">
        <v>377</v>
      </c>
      <c r="B16" t="s">
        <v>311</v>
      </c>
      <c r="C16" t="s">
        <v>340</v>
      </c>
      <c r="D16" t="s">
        <v>319</v>
      </c>
      <c r="E16">
        <v>4</v>
      </c>
      <c r="F16">
        <v>0</v>
      </c>
      <c r="G16" s="30">
        <v>0</v>
      </c>
      <c r="H16" s="11">
        <v>46135</v>
      </c>
    </row>
    <row r="17" spans="1:8">
      <c r="A17" t="s">
        <v>377</v>
      </c>
      <c r="B17" t="s">
        <v>311</v>
      </c>
      <c r="C17" t="s">
        <v>341</v>
      </c>
      <c r="D17" t="s">
        <v>319</v>
      </c>
      <c r="E17">
        <v>4</v>
      </c>
      <c r="F17">
        <v>0</v>
      </c>
      <c r="G17" s="30">
        <v>0</v>
      </c>
      <c r="H17" s="11">
        <v>46136</v>
      </c>
    </row>
    <row r="18" spans="1:8">
      <c r="A18" t="s">
        <v>377</v>
      </c>
      <c r="B18" t="s">
        <v>311</v>
      </c>
      <c r="C18" t="s">
        <v>342</v>
      </c>
      <c r="D18" t="s">
        <v>319</v>
      </c>
      <c r="E18">
        <v>7</v>
      </c>
      <c r="F18">
        <v>0</v>
      </c>
      <c r="G18" s="30">
        <v>0</v>
      </c>
      <c r="H18" s="11">
        <v>46139</v>
      </c>
    </row>
    <row r="19" spans="1:8">
      <c r="A19" t="s">
        <v>377</v>
      </c>
      <c r="B19" t="s">
        <v>311</v>
      </c>
      <c r="C19" t="s">
        <v>350</v>
      </c>
      <c r="D19" t="s">
        <v>319</v>
      </c>
      <c r="E19">
        <v>9</v>
      </c>
      <c r="F19">
        <v>0</v>
      </c>
      <c r="G19" s="30">
        <v>0</v>
      </c>
      <c r="H19" s="11">
        <v>46140</v>
      </c>
    </row>
    <row r="20" spans="1:8">
      <c r="A20" t="s">
        <v>377</v>
      </c>
      <c r="B20" t="s">
        <v>311</v>
      </c>
      <c r="C20" t="s">
        <v>351</v>
      </c>
      <c r="D20" t="s">
        <v>319</v>
      </c>
      <c r="E20">
        <v>3</v>
      </c>
      <c r="F20">
        <v>0</v>
      </c>
      <c r="G20" s="30">
        <v>0</v>
      </c>
      <c r="H20" s="11">
        <v>46141</v>
      </c>
    </row>
    <row r="21" spans="1:8">
      <c r="A21" t="s">
        <v>377</v>
      </c>
      <c r="B21" t="s">
        <v>311</v>
      </c>
      <c r="C21" t="s">
        <v>352</v>
      </c>
      <c r="D21" t="s">
        <v>319</v>
      </c>
      <c r="E21">
        <v>6</v>
      </c>
      <c r="F21">
        <v>0</v>
      </c>
      <c r="G21" s="30">
        <v>0</v>
      </c>
      <c r="H21" s="11">
        <v>46142</v>
      </c>
    </row>
    <row r="22" spans="1:8">
      <c r="A22" t="s">
        <v>377</v>
      </c>
      <c r="B22" t="s">
        <v>343</v>
      </c>
      <c r="C22" t="s">
        <v>340</v>
      </c>
      <c r="D22" t="s">
        <v>319</v>
      </c>
      <c r="E22">
        <v>1</v>
      </c>
      <c r="F22">
        <v>0</v>
      </c>
      <c r="G22" s="30">
        <v>0</v>
      </c>
      <c r="H22" s="11">
        <v>46135</v>
      </c>
    </row>
    <row r="23" spans="1:8">
      <c r="A23" t="s">
        <v>379</v>
      </c>
      <c r="B23" t="s">
        <v>79</v>
      </c>
      <c r="C23" t="s">
        <v>82</v>
      </c>
      <c r="D23" t="s">
        <v>319</v>
      </c>
      <c r="E23">
        <v>1</v>
      </c>
      <c r="F23">
        <v>1999</v>
      </c>
      <c r="G23" s="30">
        <v>1903.8095238095236</v>
      </c>
      <c r="H23" s="11">
        <v>46133</v>
      </c>
    </row>
    <row r="24" spans="1:8">
      <c r="A24" t="s">
        <v>379</v>
      </c>
      <c r="B24" t="s">
        <v>79</v>
      </c>
      <c r="C24" t="s">
        <v>80</v>
      </c>
      <c r="D24" t="s">
        <v>319</v>
      </c>
      <c r="E24">
        <v>1</v>
      </c>
      <c r="F24">
        <v>1999</v>
      </c>
      <c r="G24" s="30">
        <v>1903.8095238095236</v>
      </c>
      <c r="H24" s="11">
        <v>46125</v>
      </c>
    </row>
    <row r="25" spans="1:8">
      <c r="A25" t="s">
        <v>377</v>
      </c>
      <c r="B25" t="s">
        <v>324</v>
      </c>
      <c r="C25" t="s">
        <v>323</v>
      </c>
      <c r="D25" t="s">
        <v>319</v>
      </c>
      <c r="E25">
        <v>1</v>
      </c>
      <c r="F25">
        <v>299</v>
      </c>
      <c r="G25" s="30">
        <v>284.76190476190476</v>
      </c>
      <c r="H25" s="11">
        <v>46134</v>
      </c>
    </row>
    <row r="26" spans="1:8">
      <c r="A26" t="s">
        <v>377</v>
      </c>
      <c r="B26" t="s">
        <v>84</v>
      </c>
      <c r="C26" t="s">
        <v>75</v>
      </c>
      <c r="D26" t="s">
        <v>319</v>
      </c>
      <c r="E26">
        <v>1</v>
      </c>
      <c r="F26">
        <v>0</v>
      </c>
      <c r="G26" s="30">
        <v>0</v>
      </c>
      <c r="H26" s="11">
        <v>46113</v>
      </c>
    </row>
    <row r="27" spans="1:8">
      <c r="A27" t="s">
        <v>377</v>
      </c>
      <c r="B27" t="s">
        <v>86</v>
      </c>
      <c r="C27" t="s">
        <v>75</v>
      </c>
      <c r="D27" t="s">
        <v>319</v>
      </c>
      <c r="E27">
        <v>4</v>
      </c>
      <c r="F27">
        <v>0</v>
      </c>
      <c r="G27" s="30">
        <v>0</v>
      </c>
      <c r="H27" s="11">
        <v>46113</v>
      </c>
    </row>
    <row r="28" spans="1:8">
      <c r="A28" t="s">
        <v>377</v>
      </c>
      <c r="B28" t="s">
        <v>86</v>
      </c>
      <c r="C28" t="s">
        <v>89</v>
      </c>
      <c r="D28" t="s">
        <v>319</v>
      </c>
      <c r="E28">
        <v>3</v>
      </c>
      <c r="F28">
        <v>0</v>
      </c>
      <c r="G28" s="30">
        <v>0</v>
      </c>
      <c r="H28" s="11">
        <v>46114</v>
      </c>
    </row>
    <row r="29" spans="1:8">
      <c r="A29" t="s">
        <v>377</v>
      </c>
      <c r="B29" t="s">
        <v>86</v>
      </c>
      <c r="C29" t="s">
        <v>91</v>
      </c>
      <c r="D29" t="s">
        <v>319</v>
      </c>
      <c r="E29">
        <v>1</v>
      </c>
      <c r="F29">
        <v>0</v>
      </c>
      <c r="G29" s="30">
        <v>0</v>
      </c>
      <c r="H29" s="11">
        <v>46119</v>
      </c>
    </row>
    <row r="30" spans="1:8">
      <c r="A30" t="s">
        <v>377</v>
      </c>
      <c r="B30" t="s">
        <v>86</v>
      </c>
      <c r="C30" t="s">
        <v>95</v>
      </c>
      <c r="D30" t="s">
        <v>319</v>
      </c>
      <c r="E30">
        <v>2</v>
      </c>
      <c r="F30">
        <v>0</v>
      </c>
      <c r="G30" s="30">
        <v>0</v>
      </c>
      <c r="H30" s="11">
        <v>46121</v>
      </c>
    </row>
    <row r="31" spans="1:8">
      <c r="A31" t="s">
        <v>377</v>
      </c>
      <c r="B31" t="s">
        <v>86</v>
      </c>
      <c r="C31" t="s">
        <v>96</v>
      </c>
      <c r="D31" t="s">
        <v>319</v>
      </c>
      <c r="E31">
        <v>3</v>
      </c>
      <c r="F31">
        <v>0</v>
      </c>
      <c r="G31" s="30">
        <v>0</v>
      </c>
      <c r="H31" s="11">
        <v>46122</v>
      </c>
    </row>
    <row r="32" spans="1:8">
      <c r="A32" t="s">
        <v>377</v>
      </c>
      <c r="B32" t="s">
        <v>86</v>
      </c>
      <c r="C32" t="s">
        <v>97</v>
      </c>
      <c r="D32" t="s">
        <v>319</v>
      </c>
      <c r="E32">
        <v>2</v>
      </c>
      <c r="F32">
        <v>0</v>
      </c>
      <c r="G32" s="30">
        <v>0</v>
      </c>
      <c r="H32" s="11">
        <v>46126</v>
      </c>
    </row>
    <row r="33" spans="1:8">
      <c r="A33" t="s">
        <v>377</v>
      </c>
      <c r="B33" t="s">
        <v>86</v>
      </c>
      <c r="C33" t="s">
        <v>98</v>
      </c>
      <c r="D33" t="s">
        <v>319</v>
      </c>
      <c r="E33">
        <v>3</v>
      </c>
      <c r="F33">
        <v>0</v>
      </c>
      <c r="G33" s="30">
        <v>0</v>
      </c>
      <c r="H33" s="11">
        <v>46127</v>
      </c>
    </row>
    <row r="34" spans="1:8">
      <c r="A34" t="s">
        <v>377</v>
      </c>
      <c r="B34" t="s">
        <v>86</v>
      </c>
      <c r="C34" t="s">
        <v>100</v>
      </c>
      <c r="D34" t="s">
        <v>319</v>
      </c>
      <c r="E34">
        <v>1</v>
      </c>
      <c r="F34">
        <v>0</v>
      </c>
      <c r="G34" s="30">
        <v>0</v>
      </c>
      <c r="H34" s="11">
        <v>46128</v>
      </c>
    </row>
    <row r="35" spans="1:8">
      <c r="A35" t="s">
        <v>377</v>
      </c>
      <c r="B35" t="s">
        <v>86</v>
      </c>
      <c r="C35" t="s">
        <v>104</v>
      </c>
      <c r="D35" t="s">
        <v>319</v>
      </c>
      <c r="E35">
        <v>3</v>
      </c>
      <c r="F35">
        <v>0</v>
      </c>
      <c r="G35" s="30">
        <v>0</v>
      </c>
      <c r="H35" s="11">
        <v>46132</v>
      </c>
    </row>
    <row r="36" spans="1:8">
      <c r="A36" t="s">
        <v>377</v>
      </c>
      <c r="B36" t="s">
        <v>86</v>
      </c>
      <c r="C36" t="s">
        <v>82</v>
      </c>
      <c r="D36" t="s">
        <v>319</v>
      </c>
      <c r="E36">
        <v>1</v>
      </c>
      <c r="F36">
        <v>0</v>
      </c>
      <c r="G36" s="30">
        <v>0</v>
      </c>
      <c r="H36" s="11">
        <v>46133</v>
      </c>
    </row>
    <row r="37" spans="1:8">
      <c r="A37" t="s">
        <v>377</v>
      </c>
      <c r="B37" t="s">
        <v>86</v>
      </c>
      <c r="C37" t="s">
        <v>323</v>
      </c>
      <c r="D37" t="s">
        <v>319</v>
      </c>
      <c r="E37">
        <v>2</v>
      </c>
      <c r="F37">
        <v>0</v>
      </c>
      <c r="G37" s="30">
        <v>0</v>
      </c>
      <c r="H37" s="11">
        <v>46134</v>
      </c>
    </row>
    <row r="38" spans="1:8">
      <c r="A38" t="s">
        <v>377</v>
      </c>
      <c r="B38" t="s">
        <v>86</v>
      </c>
      <c r="C38" t="s">
        <v>340</v>
      </c>
      <c r="D38" t="s">
        <v>319</v>
      </c>
      <c r="E38">
        <v>4</v>
      </c>
      <c r="F38">
        <v>0</v>
      </c>
      <c r="G38" s="30">
        <v>0</v>
      </c>
      <c r="H38" s="11">
        <v>46135</v>
      </c>
    </row>
    <row r="39" spans="1:8">
      <c r="A39" t="s">
        <v>377</v>
      </c>
      <c r="B39" t="s">
        <v>86</v>
      </c>
      <c r="C39" t="s">
        <v>341</v>
      </c>
      <c r="D39" t="s">
        <v>319</v>
      </c>
      <c r="E39">
        <v>3</v>
      </c>
      <c r="F39">
        <v>0</v>
      </c>
      <c r="G39" s="30">
        <v>0</v>
      </c>
      <c r="H39" s="11">
        <v>46136</v>
      </c>
    </row>
    <row r="40" spans="1:8">
      <c r="A40" t="s">
        <v>377</v>
      </c>
      <c r="B40" t="s">
        <v>86</v>
      </c>
      <c r="C40" t="s">
        <v>342</v>
      </c>
      <c r="D40" t="s">
        <v>319</v>
      </c>
      <c r="E40">
        <v>3</v>
      </c>
      <c r="F40">
        <v>0</v>
      </c>
      <c r="G40" s="30">
        <v>0</v>
      </c>
      <c r="H40" s="11">
        <v>46139</v>
      </c>
    </row>
    <row r="41" spans="1:8">
      <c r="A41" t="s">
        <v>377</v>
      </c>
      <c r="B41" t="s">
        <v>86</v>
      </c>
      <c r="C41" t="s">
        <v>80</v>
      </c>
      <c r="D41" t="s">
        <v>319</v>
      </c>
      <c r="E41">
        <v>1</v>
      </c>
      <c r="F41">
        <v>0</v>
      </c>
      <c r="G41" s="30">
        <v>0</v>
      </c>
      <c r="H41" s="11">
        <v>46125</v>
      </c>
    </row>
    <row r="42" spans="1:8">
      <c r="A42" t="s">
        <v>377</v>
      </c>
      <c r="B42" t="s">
        <v>86</v>
      </c>
      <c r="C42" t="s">
        <v>93</v>
      </c>
      <c r="D42" t="s">
        <v>319</v>
      </c>
      <c r="E42">
        <v>1</v>
      </c>
      <c r="F42">
        <v>0</v>
      </c>
      <c r="G42" s="30">
        <v>0</v>
      </c>
      <c r="H42" s="11">
        <v>46120</v>
      </c>
    </row>
    <row r="43" spans="1:8">
      <c r="A43" t="s">
        <v>377</v>
      </c>
      <c r="B43" t="s">
        <v>86</v>
      </c>
      <c r="C43" t="s">
        <v>102</v>
      </c>
      <c r="D43" t="s">
        <v>319</v>
      </c>
      <c r="E43">
        <v>1</v>
      </c>
      <c r="F43">
        <v>0</v>
      </c>
      <c r="G43" s="30">
        <v>0</v>
      </c>
      <c r="H43" s="11">
        <v>46129</v>
      </c>
    </row>
    <row r="44" spans="1:8">
      <c r="A44" t="s">
        <v>377</v>
      </c>
      <c r="B44" t="s">
        <v>86</v>
      </c>
      <c r="C44" t="s">
        <v>103</v>
      </c>
      <c r="D44" t="s">
        <v>319</v>
      </c>
      <c r="E44">
        <v>1</v>
      </c>
      <c r="F44">
        <v>0</v>
      </c>
      <c r="G44" s="30">
        <v>0</v>
      </c>
      <c r="H44" s="11">
        <v>46130</v>
      </c>
    </row>
    <row r="45" spans="1:8">
      <c r="A45" t="s">
        <v>377</v>
      </c>
      <c r="B45" t="s">
        <v>86</v>
      </c>
      <c r="C45" t="s">
        <v>350</v>
      </c>
      <c r="D45" t="s">
        <v>319</v>
      </c>
      <c r="E45">
        <v>2</v>
      </c>
      <c r="F45">
        <v>0</v>
      </c>
      <c r="G45" s="30">
        <v>0</v>
      </c>
      <c r="H45" s="11">
        <v>46140</v>
      </c>
    </row>
    <row r="46" spans="1:8">
      <c r="A46" t="s">
        <v>377</v>
      </c>
      <c r="B46" t="s">
        <v>86</v>
      </c>
      <c r="C46" t="s">
        <v>351</v>
      </c>
      <c r="D46" t="s">
        <v>319</v>
      </c>
      <c r="E46">
        <v>4</v>
      </c>
      <c r="F46">
        <v>0</v>
      </c>
      <c r="G46" s="30">
        <v>0</v>
      </c>
      <c r="H46" s="11">
        <v>46141</v>
      </c>
    </row>
    <row r="47" spans="1:8">
      <c r="A47" t="s">
        <v>377</v>
      </c>
      <c r="B47" t="s">
        <v>86</v>
      </c>
      <c r="C47" t="s">
        <v>352</v>
      </c>
      <c r="D47" t="s">
        <v>319</v>
      </c>
      <c r="E47">
        <v>2</v>
      </c>
      <c r="F47">
        <v>0</v>
      </c>
      <c r="G47" s="30">
        <v>0</v>
      </c>
      <c r="H47" s="11">
        <v>46142</v>
      </c>
    </row>
    <row r="48" spans="1:8">
      <c r="A48" t="s">
        <v>377</v>
      </c>
      <c r="B48" t="s">
        <v>105</v>
      </c>
      <c r="C48" t="s">
        <v>82</v>
      </c>
      <c r="D48" t="s">
        <v>319</v>
      </c>
      <c r="E48">
        <v>1</v>
      </c>
      <c r="F48">
        <v>299</v>
      </c>
      <c r="G48" s="30">
        <v>284.76190476190476</v>
      </c>
      <c r="H48" s="11">
        <v>46133</v>
      </c>
    </row>
    <row r="49" spans="1:8">
      <c r="A49" t="s">
        <v>377</v>
      </c>
      <c r="B49" t="s">
        <v>312</v>
      </c>
      <c r="C49" t="s">
        <v>75</v>
      </c>
      <c r="D49" t="s">
        <v>319</v>
      </c>
      <c r="E49">
        <v>5</v>
      </c>
      <c r="F49">
        <v>0</v>
      </c>
      <c r="G49" s="30">
        <v>0</v>
      </c>
      <c r="H49" s="11">
        <v>46113</v>
      </c>
    </row>
    <row r="50" spans="1:8">
      <c r="A50" t="s">
        <v>377</v>
      </c>
      <c r="B50" t="s">
        <v>106</v>
      </c>
      <c r="C50" t="s">
        <v>75</v>
      </c>
      <c r="D50" t="s">
        <v>319</v>
      </c>
      <c r="E50">
        <v>1</v>
      </c>
      <c r="F50">
        <v>0</v>
      </c>
      <c r="G50" s="30">
        <v>0</v>
      </c>
      <c r="H50" s="11">
        <v>46113</v>
      </c>
    </row>
    <row r="51" spans="1:8">
      <c r="A51" t="s">
        <v>377</v>
      </c>
      <c r="B51" t="s">
        <v>106</v>
      </c>
      <c r="C51" t="s">
        <v>89</v>
      </c>
      <c r="D51" t="s">
        <v>319</v>
      </c>
      <c r="E51">
        <v>2</v>
      </c>
      <c r="F51">
        <v>0</v>
      </c>
      <c r="G51" s="30">
        <v>0</v>
      </c>
      <c r="H51" s="11">
        <v>46114</v>
      </c>
    </row>
    <row r="52" spans="1:8">
      <c r="A52" t="s">
        <v>377</v>
      </c>
      <c r="B52" t="s">
        <v>106</v>
      </c>
      <c r="C52" t="s">
        <v>96</v>
      </c>
      <c r="D52" t="s">
        <v>319</v>
      </c>
      <c r="E52">
        <v>1</v>
      </c>
      <c r="F52">
        <v>0</v>
      </c>
      <c r="G52" s="30">
        <v>0</v>
      </c>
      <c r="H52" s="11">
        <v>46122</v>
      </c>
    </row>
    <row r="53" spans="1:8">
      <c r="A53" t="s">
        <v>377</v>
      </c>
      <c r="B53" t="s">
        <v>106</v>
      </c>
      <c r="C53" t="s">
        <v>82</v>
      </c>
      <c r="D53" t="s">
        <v>319</v>
      </c>
      <c r="E53">
        <v>1</v>
      </c>
      <c r="F53">
        <v>0</v>
      </c>
      <c r="G53" s="30">
        <v>0</v>
      </c>
      <c r="H53" s="11">
        <v>46133</v>
      </c>
    </row>
    <row r="54" spans="1:8">
      <c r="A54" t="s">
        <v>377</v>
      </c>
      <c r="B54" t="s">
        <v>106</v>
      </c>
      <c r="C54" t="s">
        <v>323</v>
      </c>
      <c r="D54" t="s">
        <v>319</v>
      </c>
      <c r="E54">
        <v>1</v>
      </c>
      <c r="F54">
        <v>0</v>
      </c>
      <c r="G54" s="30">
        <v>0</v>
      </c>
      <c r="H54" s="11">
        <v>46134</v>
      </c>
    </row>
    <row r="55" spans="1:8">
      <c r="A55" t="s">
        <v>377</v>
      </c>
      <c r="B55" t="s">
        <v>106</v>
      </c>
      <c r="C55" t="s">
        <v>102</v>
      </c>
      <c r="D55" t="s">
        <v>319</v>
      </c>
      <c r="E55">
        <v>1</v>
      </c>
      <c r="F55">
        <v>0</v>
      </c>
      <c r="G55" s="30">
        <v>0</v>
      </c>
      <c r="H55" s="11">
        <v>46129</v>
      </c>
    </row>
    <row r="56" spans="1:8">
      <c r="A56" t="s">
        <v>378</v>
      </c>
      <c r="B56" t="s">
        <v>111</v>
      </c>
      <c r="C56" t="s">
        <v>75</v>
      </c>
      <c r="D56" t="s">
        <v>319</v>
      </c>
      <c r="E56">
        <v>4</v>
      </c>
      <c r="F56">
        <v>18000</v>
      </c>
      <c r="G56" s="30">
        <v>17142.857142857141</v>
      </c>
      <c r="H56" s="11">
        <v>46113</v>
      </c>
    </row>
    <row r="57" spans="1:8">
      <c r="A57" t="s">
        <v>378</v>
      </c>
      <c r="B57" t="s">
        <v>111</v>
      </c>
      <c r="C57" t="s">
        <v>95</v>
      </c>
      <c r="D57" t="s">
        <v>319</v>
      </c>
      <c r="E57">
        <v>1</v>
      </c>
      <c r="F57">
        <v>4500</v>
      </c>
      <c r="G57" s="30">
        <v>4285.7142857142853</v>
      </c>
      <c r="H57" s="11">
        <v>46121</v>
      </c>
    </row>
    <row r="58" spans="1:8">
      <c r="A58" t="s">
        <v>378</v>
      </c>
      <c r="B58" t="s">
        <v>111</v>
      </c>
      <c r="C58" t="s">
        <v>96</v>
      </c>
      <c r="D58" t="s">
        <v>319</v>
      </c>
      <c r="E58">
        <v>1</v>
      </c>
      <c r="F58">
        <v>4500</v>
      </c>
      <c r="G58" s="30">
        <v>4285.7142857142853</v>
      </c>
      <c r="H58" s="11">
        <v>46122</v>
      </c>
    </row>
    <row r="59" spans="1:8">
      <c r="A59" t="s">
        <v>378</v>
      </c>
      <c r="B59" t="s">
        <v>111</v>
      </c>
      <c r="C59" t="s">
        <v>97</v>
      </c>
      <c r="D59" t="s">
        <v>319</v>
      </c>
      <c r="E59">
        <v>1</v>
      </c>
      <c r="F59">
        <v>4500</v>
      </c>
      <c r="G59" s="30">
        <v>4285.7142857142853</v>
      </c>
      <c r="H59" s="11">
        <v>46126</v>
      </c>
    </row>
    <row r="60" spans="1:8">
      <c r="A60" t="s">
        <v>378</v>
      </c>
      <c r="B60" t="s">
        <v>111</v>
      </c>
      <c r="C60" t="s">
        <v>98</v>
      </c>
      <c r="D60" t="s">
        <v>319</v>
      </c>
      <c r="E60">
        <v>2</v>
      </c>
      <c r="F60">
        <v>9000</v>
      </c>
      <c r="G60" s="30">
        <v>8571.4285714285706</v>
      </c>
      <c r="H60" s="11">
        <v>46127</v>
      </c>
    </row>
    <row r="61" spans="1:8">
      <c r="A61" t="s">
        <v>378</v>
      </c>
      <c r="B61" t="s">
        <v>111</v>
      </c>
      <c r="C61" t="s">
        <v>100</v>
      </c>
      <c r="D61" t="s">
        <v>319</v>
      </c>
      <c r="E61">
        <v>4</v>
      </c>
      <c r="F61">
        <v>18000</v>
      </c>
      <c r="G61" s="30">
        <v>17142.857142857141</v>
      </c>
      <c r="H61" s="11">
        <v>46128</v>
      </c>
    </row>
    <row r="62" spans="1:8">
      <c r="A62" t="s">
        <v>378</v>
      </c>
      <c r="B62" t="s">
        <v>111</v>
      </c>
      <c r="C62" t="s">
        <v>104</v>
      </c>
      <c r="D62" t="s">
        <v>319</v>
      </c>
      <c r="E62">
        <v>4</v>
      </c>
      <c r="F62">
        <v>18000</v>
      </c>
      <c r="G62" s="30">
        <v>17142.857142857141</v>
      </c>
      <c r="H62" s="11">
        <v>46132</v>
      </c>
    </row>
    <row r="63" spans="1:8">
      <c r="A63" t="s">
        <v>378</v>
      </c>
      <c r="B63" t="s">
        <v>111</v>
      </c>
      <c r="C63" t="s">
        <v>323</v>
      </c>
      <c r="D63" t="s">
        <v>319</v>
      </c>
      <c r="E63">
        <v>1</v>
      </c>
      <c r="F63">
        <v>4500</v>
      </c>
      <c r="G63" s="30">
        <v>4285.7142857142853</v>
      </c>
      <c r="H63" s="11">
        <v>46134</v>
      </c>
    </row>
    <row r="64" spans="1:8">
      <c r="A64" t="s">
        <v>378</v>
      </c>
      <c r="B64" t="s">
        <v>111</v>
      </c>
      <c r="C64" t="s">
        <v>340</v>
      </c>
      <c r="D64" t="s">
        <v>319</v>
      </c>
      <c r="E64">
        <v>2</v>
      </c>
      <c r="F64">
        <v>9000</v>
      </c>
      <c r="G64" s="30">
        <v>8571.4285714285706</v>
      </c>
      <c r="H64" s="11">
        <v>46135</v>
      </c>
    </row>
    <row r="65" spans="1:8">
      <c r="A65" t="s">
        <v>378</v>
      </c>
      <c r="B65" t="s">
        <v>111</v>
      </c>
      <c r="C65" t="s">
        <v>341</v>
      </c>
      <c r="D65" t="s">
        <v>319</v>
      </c>
      <c r="E65">
        <v>1</v>
      </c>
      <c r="F65">
        <v>4500</v>
      </c>
      <c r="G65" s="30">
        <v>4285.7142857142853</v>
      </c>
      <c r="H65" s="11">
        <v>46136</v>
      </c>
    </row>
    <row r="66" spans="1:8">
      <c r="A66" t="s">
        <v>378</v>
      </c>
      <c r="B66" t="s">
        <v>111</v>
      </c>
      <c r="C66" t="s">
        <v>342</v>
      </c>
      <c r="D66" t="s">
        <v>319</v>
      </c>
      <c r="E66">
        <v>1</v>
      </c>
      <c r="F66">
        <v>4500</v>
      </c>
      <c r="G66" s="30">
        <v>4285.7142857142853</v>
      </c>
      <c r="H66" s="11">
        <v>46139</v>
      </c>
    </row>
    <row r="67" spans="1:8">
      <c r="A67" t="s">
        <v>378</v>
      </c>
      <c r="B67" t="s">
        <v>111</v>
      </c>
      <c r="C67" t="s">
        <v>102</v>
      </c>
      <c r="D67" t="s">
        <v>319</v>
      </c>
      <c r="E67">
        <v>1</v>
      </c>
      <c r="F67">
        <v>4500</v>
      </c>
      <c r="G67" s="30">
        <v>4285.7142857142853</v>
      </c>
      <c r="H67" s="11">
        <v>46129</v>
      </c>
    </row>
    <row r="68" spans="1:8">
      <c r="A68" t="s">
        <v>378</v>
      </c>
      <c r="B68" t="s">
        <v>111</v>
      </c>
      <c r="C68" t="s">
        <v>350</v>
      </c>
      <c r="D68" t="s">
        <v>319</v>
      </c>
      <c r="E68">
        <v>1</v>
      </c>
      <c r="F68">
        <v>4500</v>
      </c>
      <c r="G68" s="30">
        <v>4285.7142857142853</v>
      </c>
      <c r="H68" s="11">
        <v>46140</v>
      </c>
    </row>
    <row r="69" spans="1:8">
      <c r="A69" t="s">
        <v>378</v>
      </c>
      <c r="B69" t="s">
        <v>111</v>
      </c>
      <c r="C69" t="s">
        <v>351</v>
      </c>
      <c r="D69" t="s">
        <v>319</v>
      </c>
      <c r="E69">
        <v>1</v>
      </c>
      <c r="F69">
        <v>4500</v>
      </c>
      <c r="G69" s="30">
        <v>4285.7142857142853</v>
      </c>
      <c r="H69" s="11">
        <v>46141</v>
      </c>
    </row>
    <row r="70" spans="1:8">
      <c r="A70" t="s">
        <v>377</v>
      </c>
      <c r="B70" t="s">
        <v>115</v>
      </c>
      <c r="C70" t="s">
        <v>75</v>
      </c>
      <c r="D70" t="s">
        <v>319</v>
      </c>
      <c r="E70">
        <v>11</v>
      </c>
      <c r="F70">
        <v>0</v>
      </c>
      <c r="G70" s="30">
        <v>0</v>
      </c>
      <c r="H70" s="11">
        <v>46113</v>
      </c>
    </row>
    <row r="71" spans="1:8">
      <c r="A71" t="s">
        <v>377</v>
      </c>
      <c r="B71" t="s">
        <v>115</v>
      </c>
      <c r="C71" t="s">
        <v>89</v>
      </c>
      <c r="D71" t="s">
        <v>319</v>
      </c>
      <c r="E71">
        <v>1</v>
      </c>
      <c r="F71">
        <v>0</v>
      </c>
      <c r="G71" s="30">
        <v>0</v>
      </c>
      <c r="H71" s="11">
        <v>46114</v>
      </c>
    </row>
    <row r="72" spans="1:8">
      <c r="A72" t="s">
        <v>377</v>
      </c>
      <c r="B72" t="s">
        <v>115</v>
      </c>
      <c r="C72" t="s">
        <v>91</v>
      </c>
      <c r="D72" t="s">
        <v>319</v>
      </c>
      <c r="E72">
        <v>1</v>
      </c>
      <c r="F72">
        <v>0</v>
      </c>
      <c r="G72" s="30">
        <v>0</v>
      </c>
      <c r="H72" s="11">
        <v>46119</v>
      </c>
    </row>
    <row r="73" spans="1:8">
      <c r="A73" t="s">
        <v>377</v>
      </c>
      <c r="B73" t="s">
        <v>115</v>
      </c>
      <c r="C73" t="s">
        <v>95</v>
      </c>
      <c r="D73" t="s">
        <v>319</v>
      </c>
      <c r="E73">
        <v>2</v>
      </c>
      <c r="F73">
        <v>0</v>
      </c>
      <c r="G73" s="30">
        <v>0</v>
      </c>
      <c r="H73" s="11">
        <v>46121</v>
      </c>
    </row>
    <row r="74" spans="1:8">
      <c r="A74" t="s">
        <v>377</v>
      </c>
      <c r="B74" t="s">
        <v>115</v>
      </c>
      <c r="C74" t="s">
        <v>96</v>
      </c>
      <c r="D74" t="s">
        <v>319</v>
      </c>
      <c r="E74">
        <v>2</v>
      </c>
      <c r="F74">
        <v>0</v>
      </c>
      <c r="G74" s="30">
        <v>0</v>
      </c>
      <c r="H74" s="11">
        <v>46122</v>
      </c>
    </row>
    <row r="75" spans="1:8">
      <c r="A75" t="s">
        <v>377</v>
      </c>
      <c r="B75" t="s">
        <v>115</v>
      </c>
      <c r="C75" t="s">
        <v>97</v>
      </c>
      <c r="D75" t="s">
        <v>319</v>
      </c>
      <c r="E75">
        <v>1</v>
      </c>
      <c r="F75">
        <v>0</v>
      </c>
      <c r="G75" s="30">
        <v>0</v>
      </c>
      <c r="H75" s="11">
        <v>46126</v>
      </c>
    </row>
    <row r="76" spans="1:8">
      <c r="A76" t="s">
        <v>377</v>
      </c>
      <c r="B76" t="s">
        <v>115</v>
      </c>
      <c r="C76" t="s">
        <v>98</v>
      </c>
      <c r="D76" t="s">
        <v>319</v>
      </c>
      <c r="E76">
        <v>2</v>
      </c>
      <c r="F76">
        <v>0</v>
      </c>
      <c r="G76" s="30">
        <v>0</v>
      </c>
      <c r="H76" s="11">
        <v>46127</v>
      </c>
    </row>
    <row r="77" spans="1:8">
      <c r="A77" t="s">
        <v>377</v>
      </c>
      <c r="B77" t="s">
        <v>115</v>
      </c>
      <c r="C77" t="s">
        <v>100</v>
      </c>
      <c r="D77" t="s">
        <v>319</v>
      </c>
      <c r="E77">
        <v>3</v>
      </c>
      <c r="F77">
        <v>0</v>
      </c>
      <c r="G77" s="30">
        <v>0</v>
      </c>
      <c r="H77" s="11">
        <v>46128</v>
      </c>
    </row>
    <row r="78" spans="1:8">
      <c r="A78" t="s">
        <v>377</v>
      </c>
      <c r="B78" t="s">
        <v>115</v>
      </c>
      <c r="C78" t="s">
        <v>104</v>
      </c>
      <c r="D78" t="s">
        <v>319</v>
      </c>
      <c r="E78">
        <v>4</v>
      </c>
      <c r="F78">
        <v>0</v>
      </c>
      <c r="G78" s="30">
        <v>0</v>
      </c>
      <c r="H78" s="11">
        <v>46132</v>
      </c>
    </row>
    <row r="79" spans="1:8">
      <c r="A79" t="s">
        <v>377</v>
      </c>
      <c r="B79" t="s">
        <v>115</v>
      </c>
      <c r="C79" t="s">
        <v>82</v>
      </c>
      <c r="D79" t="s">
        <v>319</v>
      </c>
      <c r="E79">
        <v>6</v>
      </c>
      <c r="F79">
        <v>0</v>
      </c>
      <c r="G79" s="30">
        <v>0</v>
      </c>
      <c r="H79" s="11">
        <v>46133</v>
      </c>
    </row>
    <row r="80" spans="1:8">
      <c r="A80" t="s">
        <v>377</v>
      </c>
      <c r="B80" t="s">
        <v>115</v>
      </c>
      <c r="C80" t="s">
        <v>323</v>
      </c>
      <c r="D80" t="s">
        <v>319</v>
      </c>
      <c r="E80">
        <v>2</v>
      </c>
      <c r="F80">
        <v>0</v>
      </c>
      <c r="G80" s="30">
        <v>0</v>
      </c>
      <c r="H80" s="11">
        <v>46134</v>
      </c>
    </row>
    <row r="81" spans="1:8">
      <c r="A81" t="s">
        <v>377</v>
      </c>
      <c r="B81" t="s">
        <v>115</v>
      </c>
      <c r="C81" t="s">
        <v>340</v>
      </c>
      <c r="D81" t="s">
        <v>319</v>
      </c>
      <c r="E81">
        <v>2</v>
      </c>
      <c r="F81">
        <v>0</v>
      </c>
      <c r="G81" s="30">
        <v>0</v>
      </c>
      <c r="H81" s="11">
        <v>46135</v>
      </c>
    </row>
    <row r="82" spans="1:8">
      <c r="A82" t="s">
        <v>377</v>
      </c>
      <c r="B82" t="s">
        <v>115</v>
      </c>
      <c r="C82" t="s">
        <v>341</v>
      </c>
      <c r="D82" t="s">
        <v>319</v>
      </c>
      <c r="E82">
        <v>1</v>
      </c>
      <c r="F82">
        <v>0</v>
      </c>
      <c r="G82" s="30">
        <v>0</v>
      </c>
      <c r="H82" s="11">
        <v>46136</v>
      </c>
    </row>
    <row r="83" spans="1:8">
      <c r="A83" t="s">
        <v>377</v>
      </c>
      <c r="B83" t="s">
        <v>115</v>
      </c>
      <c r="C83" t="s">
        <v>342</v>
      </c>
      <c r="D83" t="s">
        <v>319</v>
      </c>
      <c r="E83">
        <v>9</v>
      </c>
      <c r="F83">
        <v>0</v>
      </c>
      <c r="G83" s="30">
        <v>0</v>
      </c>
      <c r="H83" s="11">
        <v>46139</v>
      </c>
    </row>
    <row r="84" spans="1:8">
      <c r="A84" t="s">
        <v>377</v>
      </c>
      <c r="B84" t="s">
        <v>115</v>
      </c>
      <c r="C84" t="s">
        <v>80</v>
      </c>
      <c r="D84" t="s">
        <v>319</v>
      </c>
      <c r="E84">
        <v>1</v>
      </c>
      <c r="F84">
        <v>0</v>
      </c>
      <c r="G84" s="30">
        <v>0</v>
      </c>
      <c r="H84" s="11">
        <v>46125</v>
      </c>
    </row>
    <row r="85" spans="1:8">
      <c r="A85" t="s">
        <v>377</v>
      </c>
      <c r="B85" t="s">
        <v>115</v>
      </c>
      <c r="C85" t="s">
        <v>102</v>
      </c>
      <c r="D85" t="s">
        <v>319</v>
      </c>
      <c r="E85">
        <v>1</v>
      </c>
      <c r="F85">
        <v>0</v>
      </c>
      <c r="G85" s="30">
        <v>0</v>
      </c>
      <c r="H85" s="11">
        <v>46129</v>
      </c>
    </row>
    <row r="86" spans="1:8">
      <c r="A86" t="s">
        <v>377</v>
      </c>
      <c r="B86" t="s">
        <v>115</v>
      </c>
      <c r="C86" t="s">
        <v>350</v>
      </c>
      <c r="D86" t="s">
        <v>319</v>
      </c>
      <c r="E86">
        <v>10</v>
      </c>
      <c r="F86">
        <v>0</v>
      </c>
      <c r="G86" s="30">
        <v>0</v>
      </c>
      <c r="H86" s="11">
        <v>46140</v>
      </c>
    </row>
    <row r="87" spans="1:8">
      <c r="A87" t="s">
        <v>377</v>
      </c>
      <c r="B87" t="s">
        <v>115</v>
      </c>
      <c r="C87" t="s">
        <v>351</v>
      </c>
      <c r="D87" t="s">
        <v>319</v>
      </c>
      <c r="E87">
        <v>9</v>
      </c>
      <c r="F87">
        <v>0</v>
      </c>
      <c r="G87" s="30">
        <v>0</v>
      </c>
      <c r="H87" s="11">
        <v>46141</v>
      </c>
    </row>
    <row r="88" spans="1:8">
      <c r="A88" t="s">
        <v>377</v>
      </c>
      <c r="B88" t="s">
        <v>115</v>
      </c>
      <c r="C88" t="s">
        <v>352</v>
      </c>
      <c r="D88" t="s">
        <v>319</v>
      </c>
      <c r="E88">
        <v>10</v>
      </c>
      <c r="F88">
        <v>0</v>
      </c>
      <c r="G88" s="30">
        <v>0</v>
      </c>
      <c r="H88" s="11">
        <v>46142</v>
      </c>
    </row>
    <row r="89" spans="1:8">
      <c r="A89" t="s">
        <v>377</v>
      </c>
      <c r="B89" t="s">
        <v>121</v>
      </c>
      <c r="C89" t="s">
        <v>75</v>
      </c>
      <c r="D89" t="s">
        <v>319</v>
      </c>
      <c r="E89">
        <v>1</v>
      </c>
      <c r="F89">
        <v>0</v>
      </c>
      <c r="G89" s="30">
        <v>0</v>
      </c>
      <c r="H89" s="11">
        <v>46113</v>
      </c>
    </row>
    <row r="90" spans="1:8">
      <c r="A90" t="s">
        <v>377</v>
      </c>
      <c r="B90" t="s">
        <v>121</v>
      </c>
      <c r="C90" t="s">
        <v>91</v>
      </c>
      <c r="D90" t="s">
        <v>319</v>
      </c>
      <c r="E90">
        <v>1</v>
      </c>
      <c r="F90">
        <v>0</v>
      </c>
      <c r="G90" s="30">
        <v>0</v>
      </c>
      <c r="H90" s="11">
        <v>46119</v>
      </c>
    </row>
    <row r="91" spans="1:8">
      <c r="A91" t="s">
        <v>377</v>
      </c>
      <c r="B91" t="s">
        <v>121</v>
      </c>
      <c r="C91" t="s">
        <v>96</v>
      </c>
      <c r="D91" t="s">
        <v>319</v>
      </c>
      <c r="E91">
        <v>1</v>
      </c>
      <c r="F91">
        <v>0</v>
      </c>
      <c r="G91" s="30">
        <v>0</v>
      </c>
      <c r="H91" s="11">
        <v>46122</v>
      </c>
    </row>
    <row r="92" spans="1:8">
      <c r="A92" t="s">
        <v>377</v>
      </c>
      <c r="B92" t="s">
        <v>121</v>
      </c>
      <c r="C92" t="s">
        <v>97</v>
      </c>
      <c r="D92" t="s">
        <v>319</v>
      </c>
      <c r="E92">
        <v>1</v>
      </c>
      <c r="F92">
        <v>0</v>
      </c>
      <c r="G92" s="30">
        <v>0</v>
      </c>
      <c r="H92" s="11">
        <v>46126</v>
      </c>
    </row>
    <row r="93" spans="1:8">
      <c r="A93" t="s">
        <v>377</v>
      </c>
      <c r="B93" t="s">
        <v>121</v>
      </c>
      <c r="C93" t="s">
        <v>98</v>
      </c>
      <c r="D93" t="s">
        <v>319</v>
      </c>
      <c r="E93">
        <v>1</v>
      </c>
      <c r="F93">
        <v>0</v>
      </c>
      <c r="G93" s="30">
        <v>0</v>
      </c>
      <c r="H93" s="11">
        <v>46127</v>
      </c>
    </row>
    <row r="94" spans="1:8">
      <c r="A94" t="s">
        <v>377</v>
      </c>
      <c r="B94" t="s">
        <v>121</v>
      </c>
      <c r="C94" t="s">
        <v>100</v>
      </c>
      <c r="D94" t="s">
        <v>319</v>
      </c>
      <c r="E94">
        <v>2</v>
      </c>
      <c r="F94">
        <v>0</v>
      </c>
      <c r="G94" s="30">
        <v>0</v>
      </c>
      <c r="H94" s="11">
        <v>46128</v>
      </c>
    </row>
    <row r="95" spans="1:8">
      <c r="A95" t="s">
        <v>377</v>
      </c>
      <c r="B95" t="s">
        <v>121</v>
      </c>
      <c r="C95" t="s">
        <v>104</v>
      </c>
      <c r="D95" t="s">
        <v>319</v>
      </c>
      <c r="E95">
        <v>1</v>
      </c>
      <c r="F95">
        <v>0</v>
      </c>
      <c r="G95" s="30">
        <v>0</v>
      </c>
      <c r="H95" s="11">
        <v>46132</v>
      </c>
    </row>
    <row r="96" spans="1:8">
      <c r="A96" t="s">
        <v>377</v>
      </c>
      <c r="B96" t="s">
        <v>121</v>
      </c>
      <c r="C96" t="s">
        <v>323</v>
      </c>
      <c r="D96" t="s">
        <v>319</v>
      </c>
      <c r="E96">
        <v>1</v>
      </c>
      <c r="F96">
        <v>0</v>
      </c>
      <c r="G96" s="30">
        <v>0</v>
      </c>
      <c r="H96" s="11">
        <v>46134</v>
      </c>
    </row>
    <row r="97" spans="1:8">
      <c r="A97" t="s">
        <v>377</v>
      </c>
      <c r="B97" t="s">
        <v>121</v>
      </c>
      <c r="C97" t="s">
        <v>342</v>
      </c>
      <c r="D97" t="s">
        <v>319</v>
      </c>
      <c r="E97">
        <v>1</v>
      </c>
      <c r="F97">
        <v>0</v>
      </c>
      <c r="G97" s="30">
        <v>0</v>
      </c>
      <c r="H97" s="11">
        <v>46139</v>
      </c>
    </row>
    <row r="98" spans="1:8">
      <c r="A98" t="s">
        <v>377</v>
      </c>
      <c r="B98" t="s">
        <v>121</v>
      </c>
      <c r="C98" t="s">
        <v>80</v>
      </c>
      <c r="D98" t="s">
        <v>319</v>
      </c>
      <c r="E98">
        <v>1</v>
      </c>
      <c r="F98">
        <v>0</v>
      </c>
      <c r="G98" s="30">
        <v>0</v>
      </c>
      <c r="H98" s="11">
        <v>46125</v>
      </c>
    </row>
    <row r="99" spans="1:8">
      <c r="A99" t="s">
        <v>377</v>
      </c>
      <c r="B99" t="s">
        <v>121</v>
      </c>
      <c r="C99" t="s">
        <v>351</v>
      </c>
      <c r="D99" t="s">
        <v>319</v>
      </c>
      <c r="E99">
        <v>2</v>
      </c>
      <c r="F99">
        <v>0</v>
      </c>
      <c r="G99" s="30">
        <v>0</v>
      </c>
      <c r="H99" s="11">
        <v>46141</v>
      </c>
    </row>
    <row r="100" spans="1:8">
      <c r="A100" t="s">
        <v>377</v>
      </c>
      <c r="B100" t="s">
        <v>121</v>
      </c>
      <c r="C100" t="s">
        <v>352</v>
      </c>
      <c r="D100" t="s">
        <v>319</v>
      </c>
      <c r="E100">
        <v>1</v>
      </c>
      <c r="F100">
        <v>0</v>
      </c>
      <c r="G100" s="30">
        <v>0</v>
      </c>
      <c r="H100" s="11">
        <v>46142</v>
      </c>
    </row>
    <row r="101" spans="1:8">
      <c r="A101" t="s">
        <v>377</v>
      </c>
      <c r="B101" t="s">
        <v>124</v>
      </c>
      <c r="C101" t="s">
        <v>75</v>
      </c>
      <c r="D101" t="s">
        <v>319</v>
      </c>
      <c r="E101">
        <v>1</v>
      </c>
      <c r="F101">
        <v>0</v>
      </c>
      <c r="G101" s="30">
        <v>0</v>
      </c>
      <c r="H101" s="11">
        <v>46113</v>
      </c>
    </row>
    <row r="102" spans="1:8">
      <c r="A102" t="s">
        <v>377</v>
      </c>
      <c r="B102" t="s">
        <v>124</v>
      </c>
      <c r="C102" t="s">
        <v>89</v>
      </c>
      <c r="D102" t="s">
        <v>319</v>
      </c>
      <c r="E102">
        <v>1</v>
      </c>
      <c r="F102">
        <v>0</v>
      </c>
      <c r="G102" s="30">
        <v>0</v>
      </c>
      <c r="H102" s="11">
        <v>46114</v>
      </c>
    </row>
    <row r="103" spans="1:8">
      <c r="A103" t="s">
        <v>377</v>
      </c>
      <c r="B103" t="s">
        <v>124</v>
      </c>
      <c r="C103" t="s">
        <v>95</v>
      </c>
      <c r="D103" t="s">
        <v>319</v>
      </c>
      <c r="E103">
        <v>2</v>
      </c>
      <c r="F103">
        <v>0</v>
      </c>
      <c r="G103" s="30">
        <v>0</v>
      </c>
      <c r="H103" s="11">
        <v>46121</v>
      </c>
    </row>
    <row r="104" spans="1:8">
      <c r="A104" t="s">
        <v>377</v>
      </c>
      <c r="B104" t="s">
        <v>124</v>
      </c>
      <c r="C104" t="s">
        <v>96</v>
      </c>
      <c r="D104" t="s">
        <v>319</v>
      </c>
      <c r="E104">
        <v>1</v>
      </c>
      <c r="F104">
        <v>0</v>
      </c>
      <c r="G104" s="30">
        <v>0</v>
      </c>
      <c r="H104" s="11">
        <v>46122</v>
      </c>
    </row>
    <row r="105" spans="1:8">
      <c r="A105" t="s">
        <v>377</v>
      </c>
      <c r="B105" t="s">
        <v>124</v>
      </c>
      <c r="C105" t="s">
        <v>97</v>
      </c>
      <c r="D105" t="s">
        <v>319</v>
      </c>
      <c r="E105">
        <v>1</v>
      </c>
      <c r="F105">
        <v>0</v>
      </c>
      <c r="G105" s="30">
        <v>0</v>
      </c>
      <c r="H105" s="11">
        <v>46126</v>
      </c>
    </row>
    <row r="106" spans="1:8">
      <c r="A106" t="s">
        <v>377</v>
      </c>
      <c r="B106" t="s">
        <v>124</v>
      </c>
      <c r="C106" t="s">
        <v>98</v>
      </c>
      <c r="D106" t="s">
        <v>319</v>
      </c>
      <c r="E106">
        <v>2</v>
      </c>
      <c r="F106">
        <v>0</v>
      </c>
      <c r="G106" s="30">
        <v>0</v>
      </c>
      <c r="H106" s="11">
        <v>46127</v>
      </c>
    </row>
    <row r="107" spans="1:8">
      <c r="A107" t="s">
        <v>377</v>
      </c>
      <c r="B107" t="s">
        <v>124</v>
      </c>
      <c r="C107" t="s">
        <v>104</v>
      </c>
      <c r="D107" t="s">
        <v>319</v>
      </c>
      <c r="E107">
        <v>2</v>
      </c>
      <c r="F107">
        <v>0</v>
      </c>
      <c r="G107" s="30">
        <v>0</v>
      </c>
      <c r="H107" s="11">
        <v>46132</v>
      </c>
    </row>
    <row r="108" spans="1:8">
      <c r="A108" t="s">
        <v>377</v>
      </c>
      <c r="B108" t="s">
        <v>124</v>
      </c>
      <c r="C108" t="s">
        <v>82</v>
      </c>
      <c r="D108" t="s">
        <v>319</v>
      </c>
      <c r="E108">
        <v>3</v>
      </c>
      <c r="F108">
        <v>0</v>
      </c>
      <c r="G108" s="30">
        <v>0</v>
      </c>
      <c r="H108" s="11">
        <v>46133</v>
      </c>
    </row>
    <row r="109" spans="1:8">
      <c r="A109" t="s">
        <v>377</v>
      </c>
      <c r="B109" t="s">
        <v>124</v>
      </c>
      <c r="C109" t="s">
        <v>323</v>
      </c>
      <c r="D109" t="s">
        <v>319</v>
      </c>
      <c r="E109">
        <v>2</v>
      </c>
      <c r="F109">
        <v>0</v>
      </c>
      <c r="G109" s="30">
        <v>0</v>
      </c>
      <c r="H109" s="11">
        <v>46134</v>
      </c>
    </row>
    <row r="110" spans="1:8">
      <c r="A110" t="s">
        <v>377</v>
      </c>
      <c r="B110" t="s">
        <v>124</v>
      </c>
      <c r="C110" t="s">
        <v>340</v>
      </c>
      <c r="D110" t="s">
        <v>319</v>
      </c>
      <c r="E110">
        <v>1</v>
      </c>
      <c r="F110">
        <v>0</v>
      </c>
      <c r="G110" s="30">
        <v>0</v>
      </c>
      <c r="H110" s="11">
        <v>46135</v>
      </c>
    </row>
    <row r="111" spans="1:8">
      <c r="A111" t="s">
        <v>377</v>
      </c>
      <c r="B111" t="s">
        <v>124</v>
      </c>
      <c r="C111" t="s">
        <v>341</v>
      </c>
      <c r="D111" t="s">
        <v>319</v>
      </c>
      <c r="E111">
        <v>1</v>
      </c>
      <c r="F111">
        <v>0</v>
      </c>
      <c r="G111" s="30">
        <v>0</v>
      </c>
      <c r="H111" s="11">
        <v>46136</v>
      </c>
    </row>
    <row r="112" spans="1:8">
      <c r="A112" t="s">
        <v>377</v>
      </c>
      <c r="B112" t="s">
        <v>124</v>
      </c>
      <c r="C112" t="s">
        <v>342</v>
      </c>
      <c r="D112" t="s">
        <v>319</v>
      </c>
      <c r="E112">
        <v>4</v>
      </c>
      <c r="F112">
        <v>0</v>
      </c>
      <c r="G112" s="30">
        <v>0</v>
      </c>
      <c r="H112" s="11">
        <v>46139</v>
      </c>
    </row>
    <row r="113" spans="1:8">
      <c r="A113" t="s">
        <v>377</v>
      </c>
      <c r="B113" t="s">
        <v>124</v>
      </c>
      <c r="C113" t="s">
        <v>93</v>
      </c>
      <c r="D113" t="s">
        <v>319</v>
      </c>
      <c r="E113">
        <v>1</v>
      </c>
      <c r="F113">
        <v>0</v>
      </c>
      <c r="G113" s="30">
        <v>0</v>
      </c>
      <c r="H113" s="11">
        <v>46120</v>
      </c>
    </row>
    <row r="114" spans="1:8">
      <c r="A114" t="s">
        <v>377</v>
      </c>
      <c r="B114" t="s">
        <v>124</v>
      </c>
      <c r="C114" t="s">
        <v>102</v>
      </c>
      <c r="D114" t="s">
        <v>319</v>
      </c>
      <c r="E114">
        <v>1</v>
      </c>
      <c r="F114">
        <v>0</v>
      </c>
      <c r="G114" s="30">
        <v>0</v>
      </c>
      <c r="H114" s="11">
        <v>46129</v>
      </c>
    </row>
    <row r="115" spans="1:8">
      <c r="A115" t="s">
        <v>377</v>
      </c>
      <c r="B115" t="s">
        <v>124</v>
      </c>
      <c r="C115" t="s">
        <v>350</v>
      </c>
      <c r="D115" t="s">
        <v>319</v>
      </c>
      <c r="E115">
        <v>2</v>
      </c>
      <c r="F115">
        <v>0</v>
      </c>
      <c r="G115" s="30">
        <v>0</v>
      </c>
      <c r="H115" s="11">
        <v>46140</v>
      </c>
    </row>
    <row r="116" spans="1:8">
      <c r="A116" t="s">
        <v>377</v>
      </c>
      <c r="B116" t="s">
        <v>124</v>
      </c>
      <c r="C116" t="s">
        <v>351</v>
      </c>
      <c r="D116" t="s">
        <v>319</v>
      </c>
      <c r="E116">
        <v>6</v>
      </c>
      <c r="F116">
        <v>0</v>
      </c>
      <c r="G116" s="30">
        <v>0</v>
      </c>
      <c r="H116" s="11">
        <v>46141</v>
      </c>
    </row>
    <row r="117" spans="1:8">
      <c r="A117" t="s">
        <v>377</v>
      </c>
      <c r="B117" t="s">
        <v>124</v>
      </c>
      <c r="C117" t="s">
        <v>352</v>
      </c>
      <c r="D117" t="s">
        <v>319</v>
      </c>
      <c r="E117">
        <v>5</v>
      </c>
      <c r="F117">
        <v>0</v>
      </c>
      <c r="G117" s="30">
        <v>0</v>
      </c>
      <c r="H117" s="11">
        <v>46142</v>
      </c>
    </row>
    <row r="118" spans="1:8">
      <c r="A118" t="s">
        <v>377</v>
      </c>
      <c r="B118" t="s">
        <v>184</v>
      </c>
      <c r="C118" t="s">
        <v>75</v>
      </c>
      <c r="D118" t="s">
        <v>319</v>
      </c>
      <c r="E118">
        <v>1</v>
      </c>
      <c r="F118">
        <v>0</v>
      </c>
      <c r="G118" s="30">
        <v>0</v>
      </c>
      <c r="H118" s="11">
        <v>46113</v>
      </c>
    </row>
    <row r="119" spans="1:8">
      <c r="A119" t="s">
        <v>377</v>
      </c>
      <c r="B119" t="s">
        <v>184</v>
      </c>
      <c r="C119" t="s">
        <v>89</v>
      </c>
      <c r="D119" t="s">
        <v>319</v>
      </c>
      <c r="E119">
        <v>4</v>
      </c>
      <c r="F119">
        <v>0</v>
      </c>
      <c r="G119" s="30">
        <v>0</v>
      </c>
      <c r="H119" s="11">
        <v>46114</v>
      </c>
    </row>
    <row r="120" spans="1:8">
      <c r="A120" t="s">
        <v>377</v>
      </c>
      <c r="B120" t="s">
        <v>184</v>
      </c>
      <c r="C120" t="s">
        <v>91</v>
      </c>
      <c r="D120" t="s">
        <v>319</v>
      </c>
      <c r="E120">
        <v>4</v>
      </c>
      <c r="F120">
        <v>0</v>
      </c>
      <c r="G120" s="30">
        <v>0</v>
      </c>
      <c r="H120" s="11">
        <v>46119</v>
      </c>
    </row>
    <row r="121" spans="1:8">
      <c r="A121" t="s">
        <v>377</v>
      </c>
      <c r="B121" t="s">
        <v>184</v>
      </c>
      <c r="C121" t="s">
        <v>95</v>
      </c>
      <c r="D121" t="s">
        <v>319</v>
      </c>
      <c r="E121">
        <v>3</v>
      </c>
      <c r="F121">
        <v>0</v>
      </c>
      <c r="G121" s="30">
        <v>0</v>
      </c>
      <c r="H121" s="11">
        <v>46121</v>
      </c>
    </row>
    <row r="122" spans="1:8">
      <c r="A122" t="s">
        <v>377</v>
      </c>
      <c r="B122" t="s">
        <v>184</v>
      </c>
      <c r="C122" t="s">
        <v>96</v>
      </c>
      <c r="D122" t="s">
        <v>319</v>
      </c>
      <c r="E122">
        <v>6</v>
      </c>
      <c r="F122">
        <v>0</v>
      </c>
      <c r="G122" s="30">
        <v>0</v>
      </c>
      <c r="H122" s="11">
        <v>46122</v>
      </c>
    </row>
    <row r="123" spans="1:8">
      <c r="A123" t="s">
        <v>377</v>
      </c>
      <c r="B123" t="s">
        <v>184</v>
      </c>
      <c r="C123" t="s">
        <v>97</v>
      </c>
      <c r="D123" t="s">
        <v>319</v>
      </c>
      <c r="E123">
        <v>5</v>
      </c>
      <c r="F123">
        <v>0</v>
      </c>
      <c r="G123" s="30">
        <v>0</v>
      </c>
      <c r="H123" s="11">
        <v>46126</v>
      </c>
    </row>
    <row r="124" spans="1:8">
      <c r="A124" t="s">
        <v>377</v>
      </c>
      <c r="B124" t="s">
        <v>184</v>
      </c>
      <c r="C124" t="s">
        <v>98</v>
      </c>
      <c r="D124" t="s">
        <v>319</v>
      </c>
      <c r="E124">
        <v>6</v>
      </c>
      <c r="F124">
        <v>0</v>
      </c>
      <c r="G124" s="30">
        <v>0</v>
      </c>
      <c r="H124" s="11">
        <v>46127</v>
      </c>
    </row>
    <row r="125" spans="1:8">
      <c r="A125" t="s">
        <v>377</v>
      </c>
      <c r="B125" t="s">
        <v>184</v>
      </c>
      <c r="C125" t="s">
        <v>100</v>
      </c>
      <c r="D125" t="s">
        <v>319</v>
      </c>
      <c r="E125">
        <v>3</v>
      </c>
      <c r="F125">
        <v>0</v>
      </c>
      <c r="G125" s="30">
        <v>0</v>
      </c>
      <c r="H125" s="11">
        <v>46128</v>
      </c>
    </row>
    <row r="126" spans="1:8">
      <c r="A126" t="s">
        <v>377</v>
      </c>
      <c r="B126" t="s">
        <v>184</v>
      </c>
      <c r="C126" t="s">
        <v>104</v>
      </c>
      <c r="D126" t="s">
        <v>319</v>
      </c>
      <c r="E126">
        <v>7</v>
      </c>
      <c r="F126">
        <v>0</v>
      </c>
      <c r="G126" s="30">
        <v>0</v>
      </c>
      <c r="H126" s="11">
        <v>46132</v>
      </c>
    </row>
    <row r="127" spans="1:8">
      <c r="A127" t="s">
        <v>377</v>
      </c>
      <c r="B127" t="s">
        <v>184</v>
      </c>
      <c r="C127" t="s">
        <v>82</v>
      </c>
      <c r="D127" t="s">
        <v>319</v>
      </c>
      <c r="E127">
        <v>8</v>
      </c>
      <c r="F127">
        <v>0</v>
      </c>
      <c r="G127" s="30">
        <v>0</v>
      </c>
      <c r="H127" s="11">
        <v>46133</v>
      </c>
    </row>
    <row r="128" spans="1:8">
      <c r="A128" t="s">
        <v>377</v>
      </c>
      <c r="B128" t="s">
        <v>184</v>
      </c>
      <c r="C128" t="s">
        <v>323</v>
      </c>
      <c r="D128" t="s">
        <v>319</v>
      </c>
      <c r="E128">
        <v>7</v>
      </c>
      <c r="F128">
        <v>0</v>
      </c>
      <c r="G128" s="30">
        <v>0</v>
      </c>
      <c r="H128" s="11">
        <v>46134</v>
      </c>
    </row>
    <row r="129" spans="1:8">
      <c r="A129" t="s">
        <v>377</v>
      </c>
      <c r="B129" t="s">
        <v>184</v>
      </c>
      <c r="C129" t="s">
        <v>340</v>
      </c>
      <c r="D129" t="s">
        <v>319</v>
      </c>
      <c r="E129">
        <v>3</v>
      </c>
      <c r="F129">
        <v>0</v>
      </c>
      <c r="G129" s="30">
        <v>0</v>
      </c>
      <c r="H129" s="11">
        <v>46135</v>
      </c>
    </row>
    <row r="130" spans="1:8">
      <c r="A130" t="s">
        <v>377</v>
      </c>
      <c r="B130" t="s">
        <v>184</v>
      </c>
      <c r="C130" t="s">
        <v>341</v>
      </c>
      <c r="D130" t="s">
        <v>319</v>
      </c>
      <c r="E130">
        <v>4</v>
      </c>
      <c r="F130">
        <v>0</v>
      </c>
      <c r="G130" s="30">
        <v>0</v>
      </c>
      <c r="H130" s="11">
        <v>46136</v>
      </c>
    </row>
    <row r="131" spans="1:8">
      <c r="A131" t="s">
        <v>377</v>
      </c>
      <c r="B131" t="s">
        <v>184</v>
      </c>
      <c r="C131" t="s">
        <v>342</v>
      </c>
      <c r="D131" t="s">
        <v>319</v>
      </c>
      <c r="E131">
        <v>5</v>
      </c>
      <c r="F131">
        <v>0</v>
      </c>
      <c r="G131" s="30">
        <v>0</v>
      </c>
      <c r="H131" s="11">
        <v>46139</v>
      </c>
    </row>
    <row r="132" spans="1:8">
      <c r="A132" t="s">
        <v>377</v>
      </c>
      <c r="B132" t="s">
        <v>184</v>
      </c>
      <c r="C132" t="s">
        <v>80</v>
      </c>
      <c r="D132" t="s">
        <v>319</v>
      </c>
      <c r="E132">
        <v>2</v>
      </c>
      <c r="F132">
        <v>0</v>
      </c>
      <c r="G132" s="30">
        <v>0</v>
      </c>
      <c r="H132" s="11">
        <v>46125</v>
      </c>
    </row>
    <row r="133" spans="1:8">
      <c r="A133" t="s">
        <v>377</v>
      </c>
      <c r="B133" t="s">
        <v>184</v>
      </c>
      <c r="C133" t="s">
        <v>93</v>
      </c>
      <c r="D133" t="s">
        <v>319</v>
      </c>
      <c r="E133">
        <v>6</v>
      </c>
      <c r="F133">
        <v>0</v>
      </c>
      <c r="G133" s="30">
        <v>0</v>
      </c>
      <c r="H133" s="11">
        <v>46120</v>
      </c>
    </row>
    <row r="134" spans="1:8">
      <c r="A134" t="s">
        <v>377</v>
      </c>
      <c r="B134" t="s">
        <v>184</v>
      </c>
      <c r="C134" t="s">
        <v>102</v>
      </c>
      <c r="D134" t="s">
        <v>319</v>
      </c>
      <c r="E134">
        <v>6</v>
      </c>
      <c r="F134">
        <v>0</v>
      </c>
      <c r="G134" s="30">
        <v>0</v>
      </c>
      <c r="H134" s="11">
        <v>46129</v>
      </c>
    </row>
    <row r="135" spans="1:8">
      <c r="A135" t="s">
        <v>377</v>
      </c>
      <c r="B135" t="s">
        <v>184</v>
      </c>
      <c r="C135" t="s">
        <v>344</v>
      </c>
      <c r="D135" t="s">
        <v>319</v>
      </c>
      <c r="E135">
        <v>2</v>
      </c>
      <c r="F135">
        <v>0</v>
      </c>
      <c r="G135" s="30">
        <v>0</v>
      </c>
      <c r="H135" s="11">
        <v>46137</v>
      </c>
    </row>
    <row r="136" spans="1:8">
      <c r="A136" t="s">
        <v>377</v>
      </c>
      <c r="B136" t="s">
        <v>184</v>
      </c>
      <c r="C136" t="s">
        <v>350</v>
      </c>
      <c r="D136" t="s">
        <v>319</v>
      </c>
      <c r="E136">
        <v>4</v>
      </c>
      <c r="F136">
        <v>0</v>
      </c>
      <c r="G136" s="30">
        <v>0</v>
      </c>
      <c r="H136" s="11">
        <v>46140</v>
      </c>
    </row>
    <row r="137" spans="1:8">
      <c r="A137" t="s">
        <v>377</v>
      </c>
      <c r="B137" t="s">
        <v>184</v>
      </c>
      <c r="C137" t="s">
        <v>351</v>
      </c>
      <c r="D137" t="s">
        <v>319</v>
      </c>
      <c r="E137">
        <v>3</v>
      </c>
      <c r="F137">
        <v>0</v>
      </c>
      <c r="G137" s="30">
        <v>0</v>
      </c>
      <c r="H137" s="11">
        <v>46141</v>
      </c>
    </row>
    <row r="138" spans="1:8">
      <c r="A138" t="s">
        <v>377</v>
      </c>
      <c r="B138" t="s">
        <v>184</v>
      </c>
      <c r="C138" t="s">
        <v>352</v>
      </c>
      <c r="D138" t="s">
        <v>319</v>
      </c>
      <c r="E138">
        <v>5</v>
      </c>
      <c r="F138">
        <v>0</v>
      </c>
      <c r="G138" s="30">
        <v>0</v>
      </c>
      <c r="H138" s="11">
        <v>46142</v>
      </c>
    </row>
    <row r="139" spans="1:8">
      <c r="A139" t="s">
        <v>377</v>
      </c>
      <c r="B139" t="s">
        <v>130</v>
      </c>
      <c r="C139" t="s">
        <v>98</v>
      </c>
      <c r="D139" t="s">
        <v>319</v>
      </c>
      <c r="E139">
        <v>1</v>
      </c>
      <c r="F139">
        <v>0</v>
      </c>
      <c r="G139" s="30">
        <v>0</v>
      </c>
      <c r="H139" s="11">
        <v>46127</v>
      </c>
    </row>
    <row r="140" spans="1:8">
      <c r="A140" t="s">
        <v>377</v>
      </c>
      <c r="B140" t="s">
        <v>130</v>
      </c>
      <c r="C140" t="s">
        <v>104</v>
      </c>
      <c r="D140" t="s">
        <v>319</v>
      </c>
      <c r="E140">
        <v>1</v>
      </c>
      <c r="F140">
        <v>0</v>
      </c>
      <c r="G140" s="30">
        <v>0</v>
      </c>
      <c r="H140" s="11">
        <v>46132</v>
      </c>
    </row>
    <row r="141" spans="1:8">
      <c r="A141" t="s">
        <v>377</v>
      </c>
      <c r="B141" t="s">
        <v>130</v>
      </c>
      <c r="C141" t="s">
        <v>323</v>
      </c>
      <c r="D141" t="s">
        <v>319</v>
      </c>
      <c r="E141">
        <v>1</v>
      </c>
      <c r="F141">
        <v>0</v>
      </c>
      <c r="G141" s="30">
        <v>0</v>
      </c>
      <c r="H141" s="11">
        <v>46134</v>
      </c>
    </row>
    <row r="142" spans="1:8">
      <c r="A142" t="s">
        <v>377</v>
      </c>
      <c r="B142" t="s">
        <v>130</v>
      </c>
      <c r="C142" t="s">
        <v>80</v>
      </c>
      <c r="D142" t="s">
        <v>319</v>
      </c>
      <c r="E142">
        <v>1</v>
      </c>
      <c r="F142">
        <v>0</v>
      </c>
      <c r="G142" s="30">
        <v>0</v>
      </c>
      <c r="H142" s="11">
        <v>46125</v>
      </c>
    </row>
    <row r="143" spans="1:8">
      <c r="A143" t="s">
        <v>377</v>
      </c>
      <c r="B143" t="s">
        <v>201</v>
      </c>
      <c r="C143" t="s">
        <v>340</v>
      </c>
      <c r="D143" t="s">
        <v>319</v>
      </c>
      <c r="E143">
        <v>1</v>
      </c>
      <c r="F143">
        <v>0</v>
      </c>
      <c r="G143" s="30">
        <v>0</v>
      </c>
      <c r="H143" s="11">
        <v>46135</v>
      </c>
    </row>
    <row r="144" spans="1:8">
      <c r="A144" t="s">
        <v>377</v>
      </c>
      <c r="B144" t="s">
        <v>131</v>
      </c>
      <c r="C144" t="s">
        <v>75</v>
      </c>
      <c r="D144" t="s">
        <v>319</v>
      </c>
      <c r="E144">
        <v>3</v>
      </c>
      <c r="F144">
        <v>0</v>
      </c>
      <c r="G144" s="30">
        <v>0</v>
      </c>
      <c r="H144" s="11">
        <v>46113</v>
      </c>
    </row>
    <row r="145" spans="1:8">
      <c r="A145" t="s">
        <v>379</v>
      </c>
      <c r="B145" t="s">
        <v>310</v>
      </c>
      <c r="C145" t="s">
        <v>97</v>
      </c>
      <c r="D145" t="s">
        <v>319</v>
      </c>
      <c r="E145">
        <v>1</v>
      </c>
      <c r="F145">
        <v>599</v>
      </c>
      <c r="G145" s="30">
        <v>570.47619047619048</v>
      </c>
      <c r="H145" s="11">
        <v>46126</v>
      </c>
    </row>
    <row r="146" spans="1:8">
      <c r="A146" t="s">
        <v>378</v>
      </c>
      <c r="B146" t="s">
        <v>313</v>
      </c>
      <c r="C146" t="s">
        <v>97</v>
      </c>
      <c r="D146" t="s">
        <v>319</v>
      </c>
      <c r="E146">
        <v>1</v>
      </c>
      <c r="F146">
        <v>1200</v>
      </c>
      <c r="G146" s="30">
        <v>1142.8571428571429</v>
      </c>
      <c r="H146" s="11">
        <v>46126</v>
      </c>
    </row>
    <row r="147" spans="1:8">
      <c r="A147" t="s">
        <v>378</v>
      </c>
      <c r="B147" t="s">
        <v>133</v>
      </c>
      <c r="C147" t="s">
        <v>75</v>
      </c>
      <c r="D147" t="s">
        <v>319</v>
      </c>
      <c r="E147">
        <v>4</v>
      </c>
      <c r="F147">
        <v>19200</v>
      </c>
      <c r="G147" s="30">
        <v>18285.714285714286</v>
      </c>
      <c r="H147" s="11">
        <v>46113</v>
      </c>
    </row>
    <row r="148" spans="1:8">
      <c r="A148" t="s">
        <v>378</v>
      </c>
      <c r="B148" t="s">
        <v>133</v>
      </c>
      <c r="C148" t="s">
        <v>91</v>
      </c>
      <c r="D148" t="s">
        <v>319</v>
      </c>
      <c r="E148">
        <v>1</v>
      </c>
      <c r="F148">
        <v>4800</v>
      </c>
      <c r="G148" s="30">
        <v>4571.4285714285716</v>
      </c>
      <c r="H148" s="11">
        <v>46119</v>
      </c>
    </row>
    <row r="149" spans="1:8">
      <c r="A149" t="s">
        <v>378</v>
      </c>
      <c r="B149" t="s">
        <v>133</v>
      </c>
      <c r="C149" t="s">
        <v>95</v>
      </c>
      <c r="D149" t="s">
        <v>319</v>
      </c>
      <c r="E149">
        <v>3</v>
      </c>
      <c r="F149">
        <v>14400</v>
      </c>
      <c r="G149" s="30">
        <v>13714.285714285714</v>
      </c>
      <c r="H149" s="11">
        <v>46121</v>
      </c>
    </row>
    <row r="150" spans="1:8">
      <c r="A150" t="s">
        <v>378</v>
      </c>
      <c r="B150" t="s">
        <v>133</v>
      </c>
      <c r="C150" t="s">
        <v>96</v>
      </c>
      <c r="D150" t="s">
        <v>319</v>
      </c>
      <c r="E150">
        <v>2</v>
      </c>
      <c r="F150">
        <v>9600</v>
      </c>
      <c r="G150" s="30">
        <v>9142.8571428571431</v>
      </c>
      <c r="H150" s="11">
        <v>46122</v>
      </c>
    </row>
    <row r="151" spans="1:8">
      <c r="A151" t="s">
        <v>378</v>
      </c>
      <c r="B151" t="s">
        <v>133</v>
      </c>
      <c r="C151" t="s">
        <v>97</v>
      </c>
      <c r="D151" t="s">
        <v>319</v>
      </c>
      <c r="E151">
        <v>1</v>
      </c>
      <c r="F151">
        <v>4800</v>
      </c>
      <c r="G151" s="30">
        <v>4571.4285714285716</v>
      </c>
      <c r="H151" s="11">
        <v>46126</v>
      </c>
    </row>
    <row r="152" spans="1:8">
      <c r="A152" t="s">
        <v>378</v>
      </c>
      <c r="B152" t="s">
        <v>133</v>
      </c>
      <c r="C152" t="s">
        <v>98</v>
      </c>
      <c r="D152" t="s">
        <v>319</v>
      </c>
      <c r="E152">
        <v>3</v>
      </c>
      <c r="F152">
        <v>14400</v>
      </c>
      <c r="G152" s="30">
        <v>13714.285714285714</v>
      </c>
      <c r="H152" s="11">
        <v>46127</v>
      </c>
    </row>
    <row r="153" spans="1:8">
      <c r="A153" t="s">
        <v>378</v>
      </c>
      <c r="B153" t="s">
        <v>133</v>
      </c>
      <c r="C153" t="s">
        <v>100</v>
      </c>
      <c r="D153" t="s">
        <v>319</v>
      </c>
      <c r="E153">
        <v>1</v>
      </c>
      <c r="F153">
        <v>4800</v>
      </c>
      <c r="G153" s="30">
        <v>4571.4285714285716</v>
      </c>
      <c r="H153" s="11">
        <v>46128</v>
      </c>
    </row>
    <row r="154" spans="1:8">
      <c r="A154" t="s">
        <v>378</v>
      </c>
      <c r="B154" t="s">
        <v>133</v>
      </c>
      <c r="C154" t="s">
        <v>104</v>
      </c>
      <c r="D154" t="s">
        <v>319</v>
      </c>
      <c r="E154">
        <v>1</v>
      </c>
      <c r="F154">
        <v>4800</v>
      </c>
      <c r="G154" s="30">
        <v>4571.4285714285716</v>
      </c>
      <c r="H154" s="11">
        <v>46132</v>
      </c>
    </row>
    <row r="155" spans="1:8">
      <c r="A155" t="s">
        <v>378</v>
      </c>
      <c r="B155" t="s">
        <v>133</v>
      </c>
      <c r="C155" t="s">
        <v>82</v>
      </c>
      <c r="D155" t="s">
        <v>319</v>
      </c>
      <c r="E155">
        <v>1</v>
      </c>
      <c r="F155">
        <v>4800</v>
      </c>
      <c r="G155" s="30">
        <v>4571.4285714285716</v>
      </c>
      <c r="H155" s="11">
        <v>46133</v>
      </c>
    </row>
    <row r="156" spans="1:8">
      <c r="A156" t="s">
        <v>378</v>
      </c>
      <c r="B156" t="s">
        <v>133</v>
      </c>
      <c r="C156" t="s">
        <v>323</v>
      </c>
      <c r="D156" t="s">
        <v>319</v>
      </c>
      <c r="E156">
        <v>3</v>
      </c>
      <c r="F156">
        <v>14400</v>
      </c>
      <c r="G156" s="30">
        <v>13714.285714285714</v>
      </c>
      <c r="H156" s="11">
        <v>46134</v>
      </c>
    </row>
    <row r="157" spans="1:8">
      <c r="A157" t="s">
        <v>378</v>
      </c>
      <c r="B157" t="s">
        <v>133</v>
      </c>
      <c r="C157" t="s">
        <v>340</v>
      </c>
      <c r="D157" t="s">
        <v>319</v>
      </c>
      <c r="E157">
        <v>1</v>
      </c>
      <c r="F157">
        <v>4800</v>
      </c>
      <c r="G157" s="30">
        <v>4571.4285714285716</v>
      </c>
      <c r="H157" s="11">
        <v>46135</v>
      </c>
    </row>
    <row r="158" spans="1:8">
      <c r="A158" t="s">
        <v>378</v>
      </c>
      <c r="B158" t="s">
        <v>133</v>
      </c>
      <c r="C158" t="s">
        <v>341</v>
      </c>
      <c r="D158" t="s">
        <v>319</v>
      </c>
      <c r="E158">
        <v>2</v>
      </c>
      <c r="F158">
        <v>9600</v>
      </c>
      <c r="G158" s="30">
        <v>9142.8571428571431</v>
      </c>
      <c r="H158" s="11">
        <v>46136</v>
      </c>
    </row>
    <row r="159" spans="1:8">
      <c r="A159" t="s">
        <v>378</v>
      </c>
      <c r="B159" t="s">
        <v>133</v>
      </c>
      <c r="C159" t="s">
        <v>342</v>
      </c>
      <c r="D159" t="s">
        <v>319</v>
      </c>
      <c r="E159">
        <v>2</v>
      </c>
      <c r="F159">
        <v>9600</v>
      </c>
      <c r="G159" s="30">
        <v>9142.8571428571431</v>
      </c>
      <c r="H159" s="11">
        <v>46139</v>
      </c>
    </row>
    <row r="160" spans="1:8">
      <c r="A160" t="s">
        <v>378</v>
      </c>
      <c r="B160" t="s">
        <v>133</v>
      </c>
      <c r="C160" t="s">
        <v>93</v>
      </c>
      <c r="D160" t="s">
        <v>319</v>
      </c>
      <c r="E160">
        <v>2</v>
      </c>
      <c r="F160">
        <v>9600</v>
      </c>
      <c r="G160" s="30">
        <v>9142.8571428571431</v>
      </c>
      <c r="H160" s="11">
        <v>46120</v>
      </c>
    </row>
    <row r="161" spans="1:8">
      <c r="A161" t="s">
        <v>378</v>
      </c>
      <c r="B161" t="s">
        <v>133</v>
      </c>
      <c r="C161" t="s">
        <v>102</v>
      </c>
      <c r="D161" t="s">
        <v>319</v>
      </c>
      <c r="E161">
        <v>2</v>
      </c>
      <c r="F161">
        <v>9600</v>
      </c>
      <c r="G161" s="30">
        <v>9142.8571428571431</v>
      </c>
      <c r="H161" s="11">
        <v>46129</v>
      </c>
    </row>
    <row r="162" spans="1:8">
      <c r="A162" t="s">
        <v>378</v>
      </c>
      <c r="B162" t="s">
        <v>133</v>
      </c>
      <c r="C162" t="s">
        <v>350</v>
      </c>
      <c r="D162" t="s">
        <v>319</v>
      </c>
      <c r="E162">
        <v>3</v>
      </c>
      <c r="F162">
        <v>14400</v>
      </c>
      <c r="G162" s="30">
        <v>13714.285714285714</v>
      </c>
      <c r="H162" s="11">
        <v>46140</v>
      </c>
    </row>
    <row r="163" spans="1:8">
      <c r="A163" t="s">
        <v>378</v>
      </c>
      <c r="B163" t="s">
        <v>133</v>
      </c>
      <c r="C163" t="s">
        <v>351</v>
      </c>
      <c r="D163" t="s">
        <v>319</v>
      </c>
      <c r="E163">
        <v>3</v>
      </c>
      <c r="F163">
        <v>14400</v>
      </c>
      <c r="G163" s="30">
        <v>13714.285714285714</v>
      </c>
      <c r="H163" s="11">
        <v>46141</v>
      </c>
    </row>
    <row r="164" spans="1:8">
      <c r="A164" t="s">
        <v>378</v>
      </c>
      <c r="B164" t="s">
        <v>133</v>
      </c>
      <c r="C164" t="s">
        <v>352</v>
      </c>
      <c r="D164" t="s">
        <v>319</v>
      </c>
      <c r="E164">
        <v>2</v>
      </c>
      <c r="F164">
        <v>9600</v>
      </c>
      <c r="G164" s="30">
        <v>9142.8571428571431</v>
      </c>
      <c r="H164" s="11">
        <v>46142</v>
      </c>
    </row>
    <row r="165" spans="1:8">
      <c r="A165" t="s">
        <v>377</v>
      </c>
      <c r="B165" t="s">
        <v>140</v>
      </c>
      <c r="C165" t="s">
        <v>75</v>
      </c>
      <c r="D165" t="s">
        <v>319</v>
      </c>
      <c r="E165">
        <v>4</v>
      </c>
      <c r="F165">
        <v>0</v>
      </c>
      <c r="G165" s="30">
        <v>0</v>
      </c>
      <c r="H165" s="11">
        <v>46113</v>
      </c>
    </row>
    <row r="166" spans="1:8">
      <c r="A166" t="s">
        <v>377</v>
      </c>
      <c r="B166" t="s">
        <v>140</v>
      </c>
      <c r="C166" t="s">
        <v>95</v>
      </c>
      <c r="D166" t="s">
        <v>319</v>
      </c>
      <c r="E166">
        <v>1</v>
      </c>
      <c r="F166">
        <v>0</v>
      </c>
      <c r="G166" s="30">
        <v>0</v>
      </c>
      <c r="H166" s="11">
        <v>46121</v>
      </c>
    </row>
    <row r="167" spans="1:8">
      <c r="A167" t="s">
        <v>377</v>
      </c>
      <c r="B167" t="s">
        <v>140</v>
      </c>
      <c r="C167" t="s">
        <v>96</v>
      </c>
      <c r="D167" t="s">
        <v>319</v>
      </c>
      <c r="E167">
        <v>1</v>
      </c>
      <c r="F167">
        <v>0</v>
      </c>
      <c r="G167" s="30">
        <v>0</v>
      </c>
      <c r="H167" s="11">
        <v>46122</v>
      </c>
    </row>
    <row r="168" spans="1:8">
      <c r="A168" t="s">
        <v>377</v>
      </c>
      <c r="B168" t="s">
        <v>140</v>
      </c>
      <c r="C168" t="s">
        <v>97</v>
      </c>
      <c r="D168" t="s">
        <v>319</v>
      </c>
      <c r="E168">
        <v>1</v>
      </c>
      <c r="F168">
        <v>0</v>
      </c>
      <c r="G168" s="30">
        <v>0</v>
      </c>
      <c r="H168" s="11">
        <v>46126</v>
      </c>
    </row>
    <row r="169" spans="1:8">
      <c r="A169" t="s">
        <v>377</v>
      </c>
      <c r="B169" t="s">
        <v>140</v>
      </c>
      <c r="C169" t="s">
        <v>98</v>
      </c>
      <c r="D169" t="s">
        <v>319</v>
      </c>
      <c r="E169">
        <v>2</v>
      </c>
      <c r="F169">
        <v>0</v>
      </c>
      <c r="G169" s="30">
        <v>0</v>
      </c>
      <c r="H169" s="11">
        <v>46127</v>
      </c>
    </row>
    <row r="170" spans="1:8">
      <c r="A170" t="s">
        <v>377</v>
      </c>
      <c r="B170" t="s">
        <v>140</v>
      </c>
      <c r="C170" t="s">
        <v>100</v>
      </c>
      <c r="D170" t="s">
        <v>319</v>
      </c>
      <c r="E170">
        <v>4</v>
      </c>
      <c r="F170">
        <v>0</v>
      </c>
      <c r="G170" s="30">
        <v>0</v>
      </c>
      <c r="H170" s="11">
        <v>46128</v>
      </c>
    </row>
    <row r="171" spans="1:8">
      <c r="A171" t="s">
        <v>377</v>
      </c>
      <c r="B171" t="s">
        <v>140</v>
      </c>
      <c r="C171" t="s">
        <v>104</v>
      </c>
      <c r="D171" t="s">
        <v>319</v>
      </c>
      <c r="E171">
        <v>3</v>
      </c>
      <c r="F171">
        <v>0</v>
      </c>
      <c r="G171" s="30">
        <v>0</v>
      </c>
      <c r="H171" s="11">
        <v>46132</v>
      </c>
    </row>
    <row r="172" spans="1:8">
      <c r="A172" t="s">
        <v>377</v>
      </c>
      <c r="B172" t="s">
        <v>140</v>
      </c>
      <c r="C172" t="s">
        <v>323</v>
      </c>
      <c r="D172" t="s">
        <v>319</v>
      </c>
      <c r="E172">
        <v>1</v>
      </c>
      <c r="F172">
        <v>0</v>
      </c>
      <c r="G172" s="30">
        <v>0</v>
      </c>
      <c r="H172" s="11">
        <v>46134</v>
      </c>
    </row>
    <row r="173" spans="1:8">
      <c r="A173" t="s">
        <v>377</v>
      </c>
      <c r="B173" t="s">
        <v>140</v>
      </c>
      <c r="C173" t="s">
        <v>340</v>
      </c>
      <c r="D173" t="s">
        <v>319</v>
      </c>
      <c r="E173">
        <v>2</v>
      </c>
      <c r="F173">
        <v>0</v>
      </c>
      <c r="G173" s="30">
        <v>0</v>
      </c>
      <c r="H173" s="11">
        <v>46135</v>
      </c>
    </row>
    <row r="174" spans="1:8">
      <c r="A174" t="s">
        <v>377</v>
      </c>
      <c r="B174" t="s">
        <v>140</v>
      </c>
      <c r="C174" t="s">
        <v>341</v>
      </c>
      <c r="D174" t="s">
        <v>319</v>
      </c>
      <c r="E174">
        <v>1</v>
      </c>
      <c r="F174">
        <v>0</v>
      </c>
      <c r="G174" s="30">
        <v>0</v>
      </c>
      <c r="H174" s="11">
        <v>46136</v>
      </c>
    </row>
    <row r="175" spans="1:8">
      <c r="A175" t="s">
        <v>377</v>
      </c>
      <c r="B175" t="s">
        <v>140</v>
      </c>
      <c r="C175" t="s">
        <v>342</v>
      </c>
      <c r="D175" t="s">
        <v>319</v>
      </c>
      <c r="E175">
        <v>1</v>
      </c>
      <c r="F175">
        <v>0</v>
      </c>
      <c r="G175" s="30">
        <v>0</v>
      </c>
      <c r="H175" s="11">
        <v>46139</v>
      </c>
    </row>
    <row r="176" spans="1:8">
      <c r="A176" t="s">
        <v>377</v>
      </c>
      <c r="B176" t="s">
        <v>140</v>
      </c>
      <c r="C176" t="s">
        <v>102</v>
      </c>
      <c r="D176" t="s">
        <v>319</v>
      </c>
      <c r="E176">
        <v>1</v>
      </c>
      <c r="F176">
        <v>0</v>
      </c>
      <c r="G176" s="30">
        <v>0</v>
      </c>
      <c r="H176" s="11">
        <v>46129</v>
      </c>
    </row>
    <row r="177" spans="1:8">
      <c r="A177" t="s">
        <v>377</v>
      </c>
      <c r="B177" t="s">
        <v>140</v>
      </c>
      <c r="C177" t="s">
        <v>350</v>
      </c>
      <c r="D177" t="s">
        <v>319</v>
      </c>
      <c r="E177">
        <v>1</v>
      </c>
      <c r="F177">
        <v>0</v>
      </c>
      <c r="G177" s="30">
        <v>0</v>
      </c>
      <c r="H177" s="11">
        <v>46140</v>
      </c>
    </row>
    <row r="178" spans="1:8">
      <c r="A178" t="s">
        <v>377</v>
      </c>
      <c r="B178" t="s">
        <v>140</v>
      </c>
      <c r="C178" t="s">
        <v>351</v>
      </c>
      <c r="D178" t="s">
        <v>319</v>
      </c>
      <c r="E178">
        <v>1</v>
      </c>
      <c r="F178">
        <v>0</v>
      </c>
      <c r="G178" s="30">
        <v>0</v>
      </c>
      <c r="H178" s="11">
        <v>46141</v>
      </c>
    </row>
    <row r="179" spans="1:8">
      <c r="A179" t="s">
        <v>377</v>
      </c>
      <c r="B179" t="s">
        <v>143</v>
      </c>
      <c r="C179" t="s">
        <v>75</v>
      </c>
      <c r="D179" t="s">
        <v>319</v>
      </c>
      <c r="E179">
        <v>14</v>
      </c>
      <c r="F179">
        <v>0</v>
      </c>
      <c r="G179" s="30">
        <v>0</v>
      </c>
      <c r="H179" s="11">
        <v>46113</v>
      </c>
    </row>
    <row r="180" spans="1:8">
      <c r="A180" t="s">
        <v>377</v>
      </c>
      <c r="B180" t="s">
        <v>143</v>
      </c>
      <c r="C180" t="s">
        <v>89</v>
      </c>
      <c r="D180" t="s">
        <v>319</v>
      </c>
      <c r="E180">
        <v>6</v>
      </c>
      <c r="F180">
        <v>0</v>
      </c>
      <c r="G180" s="30">
        <v>0</v>
      </c>
      <c r="H180" s="11">
        <v>46114</v>
      </c>
    </row>
    <row r="181" spans="1:8">
      <c r="A181" t="s">
        <v>377</v>
      </c>
      <c r="B181" t="s">
        <v>143</v>
      </c>
      <c r="C181" t="s">
        <v>91</v>
      </c>
      <c r="D181" t="s">
        <v>319</v>
      </c>
      <c r="E181">
        <v>4</v>
      </c>
      <c r="F181">
        <v>0</v>
      </c>
      <c r="G181" s="30">
        <v>0</v>
      </c>
      <c r="H181" s="11">
        <v>46119</v>
      </c>
    </row>
    <row r="182" spans="1:8">
      <c r="A182" t="s">
        <v>377</v>
      </c>
      <c r="B182" t="s">
        <v>143</v>
      </c>
      <c r="C182" t="s">
        <v>95</v>
      </c>
      <c r="D182" t="s">
        <v>319</v>
      </c>
      <c r="E182">
        <v>3</v>
      </c>
      <c r="F182">
        <v>0</v>
      </c>
      <c r="G182" s="30">
        <v>0</v>
      </c>
      <c r="H182" s="11">
        <v>46121</v>
      </c>
    </row>
    <row r="183" spans="1:8">
      <c r="A183" t="s">
        <v>377</v>
      </c>
      <c r="B183" t="s">
        <v>143</v>
      </c>
      <c r="C183" t="s">
        <v>96</v>
      </c>
      <c r="D183" t="s">
        <v>319</v>
      </c>
      <c r="E183">
        <v>2</v>
      </c>
      <c r="F183">
        <v>0</v>
      </c>
      <c r="G183" s="30">
        <v>0</v>
      </c>
      <c r="H183" s="11">
        <v>46122</v>
      </c>
    </row>
    <row r="184" spans="1:8">
      <c r="A184" t="s">
        <v>377</v>
      </c>
      <c r="B184" t="s">
        <v>143</v>
      </c>
      <c r="C184" t="s">
        <v>97</v>
      </c>
      <c r="D184" t="s">
        <v>319</v>
      </c>
      <c r="E184">
        <v>6</v>
      </c>
      <c r="F184">
        <v>0</v>
      </c>
      <c r="G184" s="30">
        <v>0</v>
      </c>
      <c r="H184" s="11">
        <v>46126</v>
      </c>
    </row>
    <row r="185" spans="1:8">
      <c r="A185" t="s">
        <v>377</v>
      </c>
      <c r="B185" t="s">
        <v>143</v>
      </c>
      <c r="C185" t="s">
        <v>98</v>
      </c>
      <c r="D185" t="s">
        <v>319</v>
      </c>
      <c r="E185">
        <v>6</v>
      </c>
      <c r="F185">
        <v>0</v>
      </c>
      <c r="G185" s="30">
        <v>0</v>
      </c>
      <c r="H185" s="11">
        <v>46127</v>
      </c>
    </row>
    <row r="186" spans="1:8">
      <c r="A186" t="s">
        <v>377</v>
      </c>
      <c r="B186" t="s">
        <v>143</v>
      </c>
      <c r="C186" t="s">
        <v>100</v>
      </c>
      <c r="D186" t="s">
        <v>319</v>
      </c>
      <c r="E186">
        <v>5</v>
      </c>
      <c r="F186">
        <v>0</v>
      </c>
      <c r="G186" s="30">
        <v>0</v>
      </c>
      <c r="H186" s="11">
        <v>46128</v>
      </c>
    </row>
    <row r="187" spans="1:8">
      <c r="A187" t="s">
        <v>377</v>
      </c>
      <c r="B187" t="s">
        <v>143</v>
      </c>
      <c r="C187" t="s">
        <v>104</v>
      </c>
      <c r="D187" t="s">
        <v>319</v>
      </c>
      <c r="E187">
        <v>6</v>
      </c>
      <c r="F187">
        <v>0</v>
      </c>
      <c r="G187" s="30">
        <v>0</v>
      </c>
      <c r="H187" s="11">
        <v>46132</v>
      </c>
    </row>
    <row r="188" spans="1:8">
      <c r="A188" t="s">
        <v>377</v>
      </c>
      <c r="B188" t="s">
        <v>143</v>
      </c>
      <c r="C188" t="s">
        <v>82</v>
      </c>
      <c r="D188" t="s">
        <v>319</v>
      </c>
      <c r="E188">
        <v>6</v>
      </c>
      <c r="F188">
        <v>0</v>
      </c>
      <c r="G188" s="30">
        <v>0</v>
      </c>
      <c r="H188" s="11">
        <v>46133</v>
      </c>
    </row>
    <row r="189" spans="1:8">
      <c r="A189" t="s">
        <v>377</v>
      </c>
      <c r="B189" t="s">
        <v>143</v>
      </c>
      <c r="C189" t="s">
        <v>323</v>
      </c>
      <c r="D189" t="s">
        <v>319</v>
      </c>
      <c r="E189">
        <v>3</v>
      </c>
      <c r="F189">
        <v>0</v>
      </c>
      <c r="G189" s="30">
        <v>0</v>
      </c>
      <c r="H189" s="11">
        <v>46134</v>
      </c>
    </row>
    <row r="190" spans="1:8">
      <c r="A190" t="s">
        <v>377</v>
      </c>
      <c r="B190" t="s">
        <v>143</v>
      </c>
      <c r="C190" t="s">
        <v>340</v>
      </c>
      <c r="D190" t="s">
        <v>319</v>
      </c>
      <c r="E190">
        <v>1</v>
      </c>
      <c r="F190">
        <v>0</v>
      </c>
      <c r="G190" s="30">
        <v>0</v>
      </c>
      <c r="H190" s="11">
        <v>46135</v>
      </c>
    </row>
    <row r="191" spans="1:8">
      <c r="A191" t="s">
        <v>377</v>
      </c>
      <c r="B191" t="s">
        <v>143</v>
      </c>
      <c r="C191" t="s">
        <v>341</v>
      </c>
      <c r="D191" t="s">
        <v>319</v>
      </c>
      <c r="E191">
        <v>7</v>
      </c>
      <c r="F191">
        <v>0</v>
      </c>
      <c r="G191" s="30">
        <v>0</v>
      </c>
      <c r="H191" s="11">
        <v>46136</v>
      </c>
    </row>
    <row r="192" spans="1:8">
      <c r="A192" t="s">
        <v>377</v>
      </c>
      <c r="B192" t="s">
        <v>143</v>
      </c>
      <c r="C192" t="s">
        <v>342</v>
      </c>
      <c r="D192" t="s">
        <v>319</v>
      </c>
      <c r="E192">
        <v>6</v>
      </c>
      <c r="F192">
        <v>0</v>
      </c>
      <c r="G192" s="30">
        <v>0</v>
      </c>
      <c r="H192" s="11">
        <v>46139</v>
      </c>
    </row>
    <row r="193" spans="1:8">
      <c r="A193" t="s">
        <v>377</v>
      </c>
      <c r="B193" t="s">
        <v>143</v>
      </c>
      <c r="C193" t="s">
        <v>80</v>
      </c>
      <c r="D193" t="s">
        <v>319</v>
      </c>
      <c r="E193">
        <v>1</v>
      </c>
      <c r="F193">
        <v>0</v>
      </c>
      <c r="G193" s="30">
        <v>0</v>
      </c>
      <c r="H193" s="11">
        <v>46125</v>
      </c>
    </row>
    <row r="194" spans="1:8">
      <c r="A194" t="s">
        <v>377</v>
      </c>
      <c r="B194" t="s">
        <v>143</v>
      </c>
      <c r="C194" t="s">
        <v>93</v>
      </c>
      <c r="D194" t="s">
        <v>319</v>
      </c>
      <c r="E194">
        <v>4</v>
      </c>
      <c r="F194">
        <v>0</v>
      </c>
      <c r="G194" s="30">
        <v>0</v>
      </c>
      <c r="H194" s="11">
        <v>46120</v>
      </c>
    </row>
    <row r="195" spans="1:8">
      <c r="A195" t="s">
        <v>377</v>
      </c>
      <c r="B195" t="s">
        <v>143</v>
      </c>
      <c r="C195" t="s">
        <v>102</v>
      </c>
      <c r="D195" t="s">
        <v>319</v>
      </c>
      <c r="E195">
        <v>3</v>
      </c>
      <c r="F195">
        <v>0</v>
      </c>
      <c r="G195" s="30">
        <v>0</v>
      </c>
      <c r="H195" s="11">
        <v>46129</v>
      </c>
    </row>
    <row r="196" spans="1:8">
      <c r="A196" t="s">
        <v>377</v>
      </c>
      <c r="B196" t="s">
        <v>143</v>
      </c>
      <c r="C196" t="s">
        <v>350</v>
      </c>
      <c r="D196" t="s">
        <v>319</v>
      </c>
      <c r="E196">
        <v>1</v>
      </c>
      <c r="F196">
        <v>0</v>
      </c>
      <c r="G196" s="30">
        <v>0</v>
      </c>
      <c r="H196" s="11">
        <v>46140</v>
      </c>
    </row>
    <row r="197" spans="1:8">
      <c r="A197" t="s">
        <v>377</v>
      </c>
      <c r="B197" t="s">
        <v>143</v>
      </c>
      <c r="C197" t="s">
        <v>351</v>
      </c>
      <c r="D197" t="s">
        <v>319</v>
      </c>
      <c r="E197">
        <v>2</v>
      </c>
      <c r="F197">
        <v>0</v>
      </c>
      <c r="G197" s="30">
        <v>0</v>
      </c>
      <c r="H197" s="11">
        <v>46141</v>
      </c>
    </row>
    <row r="198" spans="1:8">
      <c r="A198" t="s">
        <v>377</v>
      </c>
      <c r="B198" t="s">
        <v>143</v>
      </c>
      <c r="C198" t="s">
        <v>352</v>
      </c>
      <c r="D198" t="s">
        <v>319</v>
      </c>
      <c r="E198">
        <v>11</v>
      </c>
      <c r="F198">
        <v>0</v>
      </c>
      <c r="G198" s="30">
        <v>0</v>
      </c>
      <c r="H198" s="11">
        <v>46142</v>
      </c>
    </row>
    <row r="199" spans="1:8">
      <c r="A199" t="s">
        <v>377</v>
      </c>
      <c r="B199" t="s">
        <v>151</v>
      </c>
      <c r="C199" t="s">
        <v>75</v>
      </c>
      <c r="D199" t="s">
        <v>319</v>
      </c>
      <c r="E199">
        <v>2</v>
      </c>
      <c r="F199">
        <v>0</v>
      </c>
      <c r="G199" s="30">
        <v>0</v>
      </c>
      <c r="H199" s="11">
        <v>46113</v>
      </c>
    </row>
    <row r="200" spans="1:8">
      <c r="A200" t="s">
        <v>377</v>
      </c>
      <c r="B200" t="s">
        <v>152</v>
      </c>
      <c r="C200" t="s">
        <v>75</v>
      </c>
      <c r="D200" t="s">
        <v>319</v>
      </c>
      <c r="E200">
        <v>2</v>
      </c>
      <c r="F200">
        <v>0</v>
      </c>
      <c r="G200" s="30">
        <v>0</v>
      </c>
      <c r="H200" s="11">
        <v>46113</v>
      </c>
    </row>
    <row r="201" spans="1:8">
      <c r="A201" t="s">
        <v>377</v>
      </c>
      <c r="B201" t="s">
        <v>152</v>
      </c>
      <c r="C201" t="s">
        <v>89</v>
      </c>
      <c r="D201" t="s">
        <v>319</v>
      </c>
      <c r="E201">
        <v>1</v>
      </c>
      <c r="F201">
        <v>0</v>
      </c>
      <c r="G201" s="30">
        <v>0</v>
      </c>
      <c r="H201" s="11">
        <v>46114</v>
      </c>
    </row>
    <row r="202" spans="1:8">
      <c r="A202" t="s">
        <v>377</v>
      </c>
      <c r="B202" t="s">
        <v>152</v>
      </c>
      <c r="C202" t="s">
        <v>91</v>
      </c>
      <c r="D202" t="s">
        <v>319</v>
      </c>
      <c r="E202">
        <v>1</v>
      </c>
      <c r="F202">
        <v>0</v>
      </c>
      <c r="G202" s="30">
        <v>0</v>
      </c>
      <c r="H202" s="11">
        <v>46119</v>
      </c>
    </row>
    <row r="203" spans="1:8">
      <c r="A203" t="s">
        <v>377</v>
      </c>
      <c r="B203" t="s">
        <v>152</v>
      </c>
      <c r="C203" t="s">
        <v>95</v>
      </c>
      <c r="D203" t="s">
        <v>319</v>
      </c>
      <c r="E203">
        <v>1</v>
      </c>
      <c r="F203">
        <v>0</v>
      </c>
      <c r="G203" s="30">
        <v>0</v>
      </c>
      <c r="H203" s="11">
        <v>46121</v>
      </c>
    </row>
    <row r="204" spans="1:8">
      <c r="A204" t="s">
        <v>377</v>
      </c>
      <c r="B204" t="s">
        <v>152</v>
      </c>
      <c r="C204" t="s">
        <v>96</v>
      </c>
      <c r="D204" t="s">
        <v>319</v>
      </c>
      <c r="E204">
        <v>2</v>
      </c>
      <c r="F204">
        <v>0</v>
      </c>
      <c r="G204" s="30">
        <v>0</v>
      </c>
      <c r="H204" s="11">
        <v>46122</v>
      </c>
    </row>
    <row r="205" spans="1:8">
      <c r="A205" t="s">
        <v>377</v>
      </c>
      <c r="B205" t="s">
        <v>152</v>
      </c>
      <c r="C205" t="s">
        <v>98</v>
      </c>
      <c r="D205" t="s">
        <v>319</v>
      </c>
      <c r="E205">
        <v>3</v>
      </c>
      <c r="F205">
        <v>0</v>
      </c>
      <c r="G205" s="30">
        <v>0</v>
      </c>
      <c r="H205" s="11">
        <v>46127</v>
      </c>
    </row>
    <row r="206" spans="1:8">
      <c r="A206" t="s">
        <v>377</v>
      </c>
      <c r="B206" t="s">
        <v>152</v>
      </c>
      <c r="C206" t="s">
        <v>100</v>
      </c>
      <c r="D206" t="s">
        <v>319</v>
      </c>
      <c r="E206">
        <v>3</v>
      </c>
      <c r="F206">
        <v>0</v>
      </c>
      <c r="G206" s="30">
        <v>0</v>
      </c>
      <c r="H206" s="11">
        <v>46128</v>
      </c>
    </row>
    <row r="207" spans="1:8">
      <c r="A207" t="s">
        <v>377</v>
      </c>
      <c r="B207" t="s">
        <v>152</v>
      </c>
      <c r="C207" t="s">
        <v>104</v>
      </c>
      <c r="D207" t="s">
        <v>319</v>
      </c>
      <c r="E207">
        <v>2</v>
      </c>
      <c r="F207">
        <v>0</v>
      </c>
      <c r="G207" s="30">
        <v>0</v>
      </c>
      <c r="H207" s="11">
        <v>46132</v>
      </c>
    </row>
    <row r="208" spans="1:8">
      <c r="A208" t="s">
        <v>377</v>
      </c>
      <c r="B208" t="s">
        <v>152</v>
      </c>
      <c r="C208" t="s">
        <v>82</v>
      </c>
      <c r="D208" t="s">
        <v>319</v>
      </c>
      <c r="E208">
        <v>1</v>
      </c>
      <c r="F208">
        <v>0</v>
      </c>
      <c r="G208" s="30">
        <v>0</v>
      </c>
      <c r="H208" s="11">
        <v>46133</v>
      </c>
    </row>
    <row r="209" spans="1:8">
      <c r="A209" t="s">
        <v>377</v>
      </c>
      <c r="B209" t="s">
        <v>152</v>
      </c>
      <c r="C209" t="s">
        <v>341</v>
      </c>
      <c r="D209" t="s">
        <v>319</v>
      </c>
      <c r="E209">
        <v>2</v>
      </c>
      <c r="F209">
        <v>0</v>
      </c>
      <c r="G209" s="30">
        <v>0</v>
      </c>
      <c r="H209" s="11">
        <v>46136</v>
      </c>
    </row>
    <row r="210" spans="1:8">
      <c r="A210" t="s">
        <v>377</v>
      </c>
      <c r="B210" t="s">
        <v>152</v>
      </c>
      <c r="C210" t="s">
        <v>342</v>
      </c>
      <c r="D210" t="s">
        <v>319</v>
      </c>
      <c r="E210">
        <v>1</v>
      </c>
      <c r="F210">
        <v>0</v>
      </c>
      <c r="G210" s="30">
        <v>0</v>
      </c>
      <c r="H210" s="11">
        <v>46139</v>
      </c>
    </row>
    <row r="211" spans="1:8">
      <c r="A211" t="s">
        <v>377</v>
      </c>
      <c r="B211" t="s">
        <v>152</v>
      </c>
      <c r="C211" t="s">
        <v>80</v>
      </c>
      <c r="D211" t="s">
        <v>319</v>
      </c>
      <c r="E211">
        <v>1</v>
      </c>
      <c r="F211">
        <v>0</v>
      </c>
      <c r="G211" s="30">
        <v>0</v>
      </c>
      <c r="H211" s="11">
        <v>46125</v>
      </c>
    </row>
    <row r="212" spans="1:8">
      <c r="A212" t="s">
        <v>377</v>
      </c>
      <c r="B212" t="s">
        <v>152</v>
      </c>
      <c r="C212" t="s">
        <v>93</v>
      </c>
      <c r="D212" t="s">
        <v>319</v>
      </c>
      <c r="E212">
        <v>1</v>
      </c>
      <c r="F212">
        <v>0</v>
      </c>
      <c r="G212" s="30">
        <v>0</v>
      </c>
      <c r="H212" s="11">
        <v>46120</v>
      </c>
    </row>
    <row r="213" spans="1:8">
      <c r="A213" t="s">
        <v>377</v>
      </c>
      <c r="B213" t="s">
        <v>152</v>
      </c>
      <c r="C213" t="s">
        <v>350</v>
      </c>
      <c r="D213" t="s">
        <v>319</v>
      </c>
      <c r="E213">
        <v>1</v>
      </c>
      <c r="F213">
        <v>0</v>
      </c>
      <c r="G213" s="30">
        <v>0</v>
      </c>
      <c r="H213" s="11">
        <v>46140</v>
      </c>
    </row>
    <row r="214" spans="1:8">
      <c r="A214" t="s">
        <v>377</v>
      </c>
      <c r="B214" t="s">
        <v>152</v>
      </c>
      <c r="C214" t="s">
        <v>351</v>
      </c>
      <c r="D214" t="s">
        <v>319</v>
      </c>
      <c r="E214">
        <v>1</v>
      </c>
      <c r="F214">
        <v>0</v>
      </c>
      <c r="G214" s="30">
        <v>0</v>
      </c>
      <c r="H214" s="11">
        <v>46141</v>
      </c>
    </row>
    <row r="215" spans="1:8">
      <c r="A215" t="s">
        <v>377</v>
      </c>
      <c r="B215" t="s">
        <v>152</v>
      </c>
      <c r="C215" t="s">
        <v>352</v>
      </c>
      <c r="D215" t="s">
        <v>319</v>
      </c>
      <c r="E215">
        <v>2</v>
      </c>
      <c r="F215">
        <v>0</v>
      </c>
      <c r="G215" s="30">
        <v>0</v>
      </c>
      <c r="H215" s="11">
        <v>46142</v>
      </c>
    </row>
    <row r="216" spans="1:8">
      <c r="A216" t="s">
        <v>377</v>
      </c>
      <c r="B216" t="s">
        <v>161</v>
      </c>
      <c r="C216" t="s">
        <v>75</v>
      </c>
      <c r="D216" t="s">
        <v>319</v>
      </c>
      <c r="E216">
        <v>1</v>
      </c>
      <c r="F216">
        <v>0</v>
      </c>
      <c r="G216" s="30">
        <v>0</v>
      </c>
      <c r="H216" s="11">
        <v>46113</v>
      </c>
    </row>
    <row r="217" spans="1:8">
      <c r="A217" t="s">
        <v>377</v>
      </c>
      <c r="B217" t="s">
        <v>162</v>
      </c>
      <c r="C217" t="s">
        <v>75</v>
      </c>
      <c r="D217" t="s">
        <v>319</v>
      </c>
      <c r="E217">
        <v>1</v>
      </c>
      <c r="F217">
        <v>0</v>
      </c>
      <c r="G217" s="30">
        <v>0</v>
      </c>
      <c r="H217" s="11">
        <v>46113</v>
      </c>
    </row>
    <row r="218" spans="1:8">
      <c r="A218" t="s">
        <v>377</v>
      </c>
      <c r="B218" t="s">
        <v>163</v>
      </c>
      <c r="C218" t="s">
        <v>75</v>
      </c>
      <c r="D218" t="s">
        <v>319</v>
      </c>
      <c r="E218">
        <v>1</v>
      </c>
      <c r="F218">
        <v>0</v>
      </c>
      <c r="G218" s="30">
        <v>0</v>
      </c>
      <c r="H218" s="11">
        <v>46113</v>
      </c>
    </row>
    <row r="219" spans="1:8">
      <c r="A219" t="s">
        <v>377</v>
      </c>
      <c r="B219" t="s">
        <v>164</v>
      </c>
      <c r="C219" t="s">
        <v>98</v>
      </c>
      <c r="D219" t="s">
        <v>319</v>
      </c>
      <c r="E219">
        <v>1</v>
      </c>
      <c r="F219">
        <v>0</v>
      </c>
      <c r="G219" s="30">
        <v>0</v>
      </c>
      <c r="H219" s="11">
        <v>46127</v>
      </c>
    </row>
    <row r="220" spans="1:8">
      <c r="A220" t="s">
        <v>377</v>
      </c>
      <c r="B220" t="s">
        <v>164</v>
      </c>
      <c r="C220" t="s">
        <v>104</v>
      </c>
      <c r="D220" t="s">
        <v>319</v>
      </c>
      <c r="E220">
        <v>1</v>
      </c>
      <c r="F220">
        <v>0</v>
      </c>
      <c r="G220" s="30">
        <v>0</v>
      </c>
      <c r="H220" s="11">
        <v>46132</v>
      </c>
    </row>
    <row r="221" spans="1:8">
      <c r="A221" t="s">
        <v>377</v>
      </c>
      <c r="B221" t="s">
        <v>164</v>
      </c>
      <c r="C221" t="s">
        <v>323</v>
      </c>
      <c r="D221" t="s">
        <v>319</v>
      </c>
      <c r="E221">
        <v>1</v>
      </c>
      <c r="F221">
        <v>0</v>
      </c>
      <c r="G221" s="30">
        <v>0</v>
      </c>
      <c r="H221" s="11">
        <v>46134</v>
      </c>
    </row>
    <row r="222" spans="1:8">
      <c r="A222" t="s">
        <v>377</v>
      </c>
      <c r="B222" t="s">
        <v>164</v>
      </c>
      <c r="C222" t="s">
        <v>80</v>
      </c>
      <c r="D222" t="s">
        <v>319</v>
      </c>
      <c r="E222">
        <v>1</v>
      </c>
      <c r="F222">
        <v>0</v>
      </c>
      <c r="G222" s="30">
        <v>0</v>
      </c>
      <c r="H222" s="11">
        <v>46125</v>
      </c>
    </row>
    <row r="223" spans="1:8">
      <c r="A223" t="s">
        <v>377</v>
      </c>
      <c r="B223" t="s">
        <v>165</v>
      </c>
      <c r="C223" t="s">
        <v>75</v>
      </c>
      <c r="D223" t="s">
        <v>319</v>
      </c>
      <c r="E223">
        <v>4</v>
      </c>
      <c r="F223">
        <v>0</v>
      </c>
      <c r="G223" s="30">
        <v>0</v>
      </c>
      <c r="H223" s="11">
        <v>46113</v>
      </c>
    </row>
    <row r="224" spans="1:8">
      <c r="A224" t="s">
        <v>377</v>
      </c>
      <c r="B224" t="s">
        <v>165</v>
      </c>
      <c r="C224" t="s">
        <v>95</v>
      </c>
      <c r="D224" t="s">
        <v>319</v>
      </c>
      <c r="E224">
        <v>3</v>
      </c>
      <c r="F224">
        <v>0</v>
      </c>
      <c r="G224" s="30">
        <v>0</v>
      </c>
      <c r="H224" s="11">
        <v>46121</v>
      </c>
    </row>
    <row r="225" spans="1:8">
      <c r="A225" t="s">
        <v>377</v>
      </c>
      <c r="B225" t="s">
        <v>165</v>
      </c>
      <c r="C225" t="s">
        <v>96</v>
      </c>
      <c r="D225" t="s">
        <v>319</v>
      </c>
      <c r="E225">
        <v>2</v>
      </c>
      <c r="F225">
        <v>0</v>
      </c>
      <c r="G225" s="30">
        <v>0</v>
      </c>
      <c r="H225" s="11">
        <v>46122</v>
      </c>
    </row>
    <row r="226" spans="1:8">
      <c r="A226" t="s">
        <v>377</v>
      </c>
      <c r="B226" t="s">
        <v>165</v>
      </c>
      <c r="C226" t="s">
        <v>98</v>
      </c>
      <c r="D226" t="s">
        <v>319</v>
      </c>
      <c r="E226">
        <v>3</v>
      </c>
      <c r="F226">
        <v>0</v>
      </c>
      <c r="G226" s="30">
        <v>0</v>
      </c>
      <c r="H226" s="11">
        <v>46127</v>
      </c>
    </row>
    <row r="227" spans="1:8">
      <c r="A227" t="s">
        <v>377</v>
      </c>
      <c r="B227" t="s">
        <v>165</v>
      </c>
      <c r="C227" t="s">
        <v>100</v>
      </c>
      <c r="D227" t="s">
        <v>319</v>
      </c>
      <c r="E227">
        <v>1</v>
      </c>
      <c r="F227">
        <v>0</v>
      </c>
      <c r="G227" s="30">
        <v>0</v>
      </c>
      <c r="H227" s="11">
        <v>46128</v>
      </c>
    </row>
    <row r="228" spans="1:8">
      <c r="A228" t="s">
        <v>377</v>
      </c>
      <c r="B228" t="s">
        <v>165</v>
      </c>
      <c r="C228" t="s">
        <v>104</v>
      </c>
      <c r="D228" t="s">
        <v>319</v>
      </c>
      <c r="E228">
        <v>1</v>
      </c>
      <c r="F228">
        <v>0</v>
      </c>
      <c r="G228" s="30">
        <v>0</v>
      </c>
      <c r="H228" s="11">
        <v>46132</v>
      </c>
    </row>
    <row r="229" spans="1:8">
      <c r="A229" t="s">
        <v>377</v>
      </c>
      <c r="B229" t="s">
        <v>165</v>
      </c>
      <c r="C229" t="s">
        <v>82</v>
      </c>
      <c r="D229" t="s">
        <v>319</v>
      </c>
      <c r="E229">
        <v>1</v>
      </c>
      <c r="F229">
        <v>0</v>
      </c>
      <c r="G229" s="30">
        <v>0</v>
      </c>
      <c r="H229" s="11">
        <v>46133</v>
      </c>
    </row>
    <row r="230" spans="1:8">
      <c r="A230" t="s">
        <v>377</v>
      </c>
      <c r="B230" t="s">
        <v>165</v>
      </c>
      <c r="C230" t="s">
        <v>323</v>
      </c>
      <c r="D230" t="s">
        <v>319</v>
      </c>
      <c r="E230">
        <v>3</v>
      </c>
      <c r="F230">
        <v>0</v>
      </c>
      <c r="G230" s="30">
        <v>0</v>
      </c>
      <c r="H230" s="11">
        <v>46134</v>
      </c>
    </row>
    <row r="231" spans="1:8">
      <c r="A231" t="s">
        <v>377</v>
      </c>
      <c r="B231" t="s">
        <v>165</v>
      </c>
      <c r="C231" t="s">
        <v>340</v>
      </c>
      <c r="D231" t="s">
        <v>319</v>
      </c>
      <c r="E231">
        <v>1</v>
      </c>
      <c r="F231">
        <v>0</v>
      </c>
      <c r="G231" s="30">
        <v>0</v>
      </c>
      <c r="H231" s="11">
        <v>46135</v>
      </c>
    </row>
    <row r="232" spans="1:8">
      <c r="A232" t="s">
        <v>377</v>
      </c>
      <c r="B232" t="s">
        <v>165</v>
      </c>
      <c r="C232" t="s">
        <v>341</v>
      </c>
      <c r="D232" t="s">
        <v>319</v>
      </c>
      <c r="E232">
        <v>2</v>
      </c>
      <c r="F232">
        <v>0</v>
      </c>
      <c r="G232" s="30">
        <v>0</v>
      </c>
      <c r="H232" s="11">
        <v>46136</v>
      </c>
    </row>
    <row r="233" spans="1:8">
      <c r="A233" t="s">
        <v>377</v>
      </c>
      <c r="B233" t="s">
        <v>165</v>
      </c>
      <c r="C233" t="s">
        <v>342</v>
      </c>
      <c r="D233" t="s">
        <v>319</v>
      </c>
      <c r="E233">
        <v>1</v>
      </c>
      <c r="F233">
        <v>0</v>
      </c>
      <c r="G233" s="30">
        <v>0</v>
      </c>
      <c r="H233" s="11">
        <v>46139</v>
      </c>
    </row>
    <row r="234" spans="1:8">
      <c r="A234" t="s">
        <v>377</v>
      </c>
      <c r="B234" t="s">
        <v>165</v>
      </c>
      <c r="C234" t="s">
        <v>93</v>
      </c>
      <c r="D234" t="s">
        <v>319</v>
      </c>
      <c r="E234">
        <v>2</v>
      </c>
      <c r="F234">
        <v>0</v>
      </c>
      <c r="G234" s="30">
        <v>0</v>
      </c>
      <c r="H234" s="11">
        <v>46120</v>
      </c>
    </row>
    <row r="235" spans="1:8">
      <c r="A235" t="s">
        <v>377</v>
      </c>
      <c r="B235" t="s">
        <v>165</v>
      </c>
      <c r="C235" t="s">
        <v>102</v>
      </c>
      <c r="D235" t="s">
        <v>319</v>
      </c>
      <c r="E235">
        <v>2</v>
      </c>
      <c r="F235">
        <v>0</v>
      </c>
      <c r="G235" s="30">
        <v>0</v>
      </c>
      <c r="H235" s="11">
        <v>46129</v>
      </c>
    </row>
    <row r="236" spans="1:8">
      <c r="A236" t="s">
        <v>377</v>
      </c>
      <c r="B236" t="s">
        <v>165</v>
      </c>
      <c r="C236" t="s">
        <v>350</v>
      </c>
      <c r="D236" t="s">
        <v>319</v>
      </c>
      <c r="E236">
        <v>3</v>
      </c>
      <c r="F236">
        <v>0</v>
      </c>
      <c r="G236" s="30">
        <v>0</v>
      </c>
      <c r="H236" s="11">
        <v>46140</v>
      </c>
    </row>
    <row r="237" spans="1:8">
      <c r="A237" t="s">
        <v>377</v>
      </c>
      <c r="B237" t="s">
        <v>165</v>
      </c>
      <c r="C237" t="s">
        <v>351</v>
      </c>
      <c r="D237" t="s">
        <v>319</v>
      </c>
      <c r="E237">
        <v>3</v>
      </c>
      <c r="F237">
        <v>0</v>
      </c>
      <c r="G237" s="30">
        <v>0</v>
      </c>
      <c r="H237" s="11">
        <v>46141</v>
      </c>
    </row>
    <row r="238" spans="1:8">
      <c r="A238" t="s">
        <v>377</v>
      </c>
      <c r="B238" t="s">
        <v>165</v>
      </c>
      <c r="C238" t="s">
        <v>352</v>
      </c>
      <c r="D238" t="s">
        <v>319</v>
      </c>
      <c r="E238">
        <v>2</v>
      </c>
      <c r="F238">
        <v>0</v>
      </c>
      <c r="G238" s="30">
        <v>0</v>
      </c>
      <c r="H238" s="11">
        <v>46142</v>
      </c>
    </row>
    <row r="239" spans="1:8">
      <c r="A239" t="s">
        <v>378</v>
      </c>
      <c r="B239" t="s">
        <v>145</v>
      </c>
      <c r="C239" t="s">
        <v>75</v>
      </c>
      <c r="D239" t="s">
        <v>319</v>
      </c>
      <c r="E239">
        <v>5</v>
      </c>
      <c r="F239">
        <v>21495</v>
      </c>
      <c r="G239" s="30">
        <v>20471.428571428569</v>
      </c>
      <c r="H239" s="11">
        <v>46113</v>
      </c>
    </row>
    <row r="240" spans="1:8">
      <c r="A240" t="s">
        <v>378</v>
      </c>
      <c r="B240" t="s">
        <v>145</v>
      </c>
      <c r="C240" t="s">
        <v>89</v>
      </c>
      <c r="D240" t="s">
        <v>319</v>
      </c>
      <c r="E240">
        <v>1</v>
      </c>
      <c r="F240">
        <v>4299</v>
      </c>
      <c r="G240" s="30">
        <v>4094.2857142857142</v>
      </c>
      <c r="H240" s="11">
        <v>46114</v>
      </c>
    </row>
    <row r="241" spans="1:8">
      <c r="A241" t="s">
        <v>378</v>
      </c>
      <c r="B241" t="s">
        <v>145</v>
      </c>
      <c r="C241" t="s">
        <v>95</v>
      </c>
      <c r="D241" t="s">
        <v>319</v>
      </c>
      <c r="E241">
        <v>2</v>
      </c>
      <c r="F241">
        <v>8598</v>
      </c>
      <c r="G241" s="30">
        <v>8188.5714285714284</v>
      </c>
      <c r="H241" s="11">
        <v>46121</v>
      </c>
    </row>
    <row r="242" spans="1:8">
      <c r="A242" t="s">
        <v>378</v>
      </c>
      <c r="B242" t="s">
        <v>145</v>
      </c>
      <c r="C242" t="s">
        <v>96</v>
      </c>
      <c r="D242" t="s">
        <v>319</v>
      </c>
      <c r="E242">
        <v>1</v>
      </c>
      <c r="F242">
        <v>4299</v>
      </c>
      <c r="G242" s="30">
        <v>4094.2857142857142</v>
      </c>
      <c r="H242" s="11">
        <v>46122</v>
      </c>
    </row>
    <row r="243" spans="1:8">
      <c r="A243" t="s">
        <v>378</v>
      </c>
      <c r="B243" t="s">
        <v>145</v>
      </c>
      <c r="C243" t="s">
        <v>97</v>
      </c>
      <c r="D243" t="s">
        <v>319</v>
      </c>
      <c r="E243">
        <v>1</v>
      </c>
      <c r="F243">
        <v>4299</v>
      </c>
      <c r="G243" s="30">
        <v>4094.2857142857142</v>
      </c>
      <c r="H243" s="11">
        <v>46126</v>
      </c>
    </row>
    <row r="244" spans="1:8">
      <c r="A244" t="s">
        <v>378</v>
      </c>
      <c r="B244" t="s">
        <v>145</v>
      </c>
      <c r="C244" t="s">
        <v>98</v>
      </c>
      <c r="D244" t="s">
        <v>319</v>
      </c>
      <c r="E244">
        <v>3</v>
      </c>
      <c r="F244">
        <v>12897</v>
      </c>
      <c r="G244" s="30">
        <v>12282.857142857143</v>
      </c>
      <c r="H244" s="11">
        <v>46127</v>
      </c>
    </row>
    <row r="245" spans="1:8">
      <c r="A245" t="s">
        <v>378</v>
      </c>
      <c r="B245" t="s">
        <v>145</v>
      </c>
      <c r="C245" t="s">
        <v>104</v>
      </c>
      <c r="D245" t="s">
        <v>319</v>
      </c>
      <c r="E245">
        <v>2</v>
      </c>
      <c r="F245">
        <v>8598</v>
      </c>
      <c r="G245" s="30">
        <v>8188.5714285714284</v>
      </c>
      <c r="H245" s="11">
        <v>46132</v>
      </c>
    </row>
    <row r="246" spans="1:8">
      <c r="A246" t="s">
        <v>378</v>
      </c>
      <c r="B246" t="s">
        <v>145</v>
      </c>
      <c r="C246" t="s">
        <v>82</v>
      </c>
      <c r="D246" t="s">
        <v>319</v>
      </c>
      <c r="E246">
        <v>4</v>
      </c>
      <c r="F246">
        <v>17196</v>
      </c>
      <c r="G246" s="30">
        <v>16377.142857142857</v>
      </c>
      <c r="H246" s="11">
        <v>46133</v>
      </c>
    </row>
    <row r="247" spans="1:8">
      <c r="A247" t="s">
        <v>378</v>
      </c>
      <c r="B247" t="s">
        <v>145</v>
      </c>
      <c r="C247" t="s">
        <v>323</v>
      </c>
      <c r="D247" t="s">
        <v>319</v>
      </c>
      <c r="E247">
        <v>2</v>
      </c>
      <c r="F247">
        <v>8598</v>
      </c>
      <c r="G247" s="30">
        <v>8188.5714285714284</v>
      </c>
      <c r="H247" s="11">
        <v>46134</v>
      </c>
    </row>
    <row r="248" spans="1:8">
      <c r="A248" t="s">
        <v>378</v>
      </c>
      <c r="B248" t="s">
        <v>145</v>
      </c>
      <c r="C248" t="s">
        <v>340</v>
      </c>
      <c r="D248" t="s">
        <v>319</v>
      </c>
      <c r="E248">
        <v>1</v>
      </c>
      <c r="F248">
        <v>4299</v>
      </c>
      <c r="G248" s="30">
        <v>4094.2857142857142</v>
      </c>
      <c r="H248" s="11">
        <v>46135</v>
      </c>
    </row>
    <row r="249" spans="1:8">
      <c r="A249" t="s">
        <v>378</v>
      </c>
      <c r="B249" t="s">
        <v>145</v>
      </c>
      <c r="C249" t="s">
        <v>341</v>
      </c>
      <c r="D249" t="s">
        <v>319</v>
      </c>
      <c r="E249">
        <v>2</v>
      </c>
      <c r="F249">
        <v>8598</v>
      </c>
      <c r="G249" s="30">
        <v>8188.5714285714284</v>
      </c>
      <c r="H249" s="11">
        <v>46136</v>
      </c>
    </row>
    <row r="250" spans="1:8">
      <c r="A250" t="s">
        <v>378</v>
      </c>
      <c r="B250" t="s">
        <v>145</v>
      </c>
      <c r="C250" t="s">
        <v>342</v>
      </c>
      <c r="D250" t="s">
        <v>319</v>
      </c>
      <c r="E250">
        <v>4</v>
      </c>
      <c r="F250">
        <v>17196</v>
      </c>
      <c r="G250" s="30">
        <v>16377.142857142857</v>
      </c>
      <c r="H250" s="11">
        <v>46139</v>
      </c>
    </row>
    <row r="251" spans="1:8">
      <c r="A251" t="s">
        <v>378</v>
      </c>
      <c r="B251" t="s">
        <v>145</v>
      </c>
      <c r="C251" t="s">
        <v>93</v>
      </c>
      <c r="D251" t="s">
        <v>319</v>
      </c>
      <c r="E251">
        <v>1</v>
      </c>
      <c r="F251">
        <v>4299</v>
      </c>
      <c r="G251" s="30">
        <v>4094.2857142857142</v>
      </c>
      <c r="H251" s="11">
        <v>46120</v>
      </c>
    </row>
    <row r="252" spans="1:8">
      <c r="A252" t="s">
        <v>378</v>
      </c>
      <c r="B252" t="s">
        <v>145</v>
      </c>
      <c r="C252" t="s">
        <v>102</v>
      </c>
      <c r="D252" t="s">
        <v>319</v>
      </c>
      <c r="E252">
        <v>1</v>
      </c>
      <c r="F252">
        <v>4299</v>
      </c>
      <c r="G252" s="30">
        <v>4094.2857142857142</v>
      </c>
      <c r="H252" s="11">
        <v>46129</v>
      </c>
    </row>
    <row r="253" spans="1:8">
      <c r="A253" t="s">
        <v>378</v>
      </c>
      <c r="B253" t="s">
        <v>145</v>
      </c>
      <c r="C253" t="s">
        <v>350</v>
      </c>
      <c r="D253" t="s">
        <v>319</v>
      </c>
      <c r="E253">
        <v>2</v>
      </c>
      <c r="F253">
        <v>8598</v>
      </c>
      <c r="G253" s="30">
        <v>8188.5714285714284</v>
      </c>
      <c r="H253" s="11">
        <v>46140</v>
      </c>
    </row>
    <row r="254" spans="1:8">
      <c r="A254" t="s">
        <v>378</v>
      </c>
      <c r="B254" t="s">
        <v>145</v>
      </c>
      <c r="C254" t="s">
        <v>351</v>
      </c>
      <c r="D254" t="s">
        <v>319</v>
      </c>
      <c r="E254">
        <v>6</v>
      </c>
      <c r="F254">
        <v>25794</v>
      </c>
      <c r="G254" s="30">
        <v>24565.714285714286</v>
      </c>
      <c r="H254" s="11">
        <v>46141</v>
      </c>
    </row>
    <row r="255" spans="1:8">
      <c r="A255" t="s">
        <v>378</v>
      </c>
      <c r="B255" t="s">
        <v>145</v>
      </c>
      <c r="C255" t="s">
        <v>352</v>
      </c>
      <c r="D255" t="s">
        <v>319</v>
      </c>
      <c r="E255">
        <v>5</v>
      </c>
      <c r="F255">
        <v>21495</v>
      </c>
      <c r="G255" s="30">
        <v>20471.428571428569</v>
      </c>
      <c r="H255" s="11">
        <v>46142</v>
      </c>
    </row>
    <row r="256" spans="1:8">
      <c r="A256" t="s">
        <v>377</v>
      </c>
      <c r="B256" t="s">
        <v>101</v>
      </c>
      <c r="C256" t="s">
        <v>75</v>
      </c>
      <c r="D256" t="s">
        <v>319</v>
      </c>
      <c r="E256">
        <v>1</v>
      </c>
      <c r="F256">
        <v>999</v>
      </c>
      <c r="G256" s="30">
        <v>951.42857142857144</v>
      </c>
      <c r="H256" s="11">
        <v>46113</v>
      </c>
    </row>
    <row r="257" spans="1:8">
      <c r="A257" t="s">
        <v>377</v>
      </c>
      <c r="B257" t="s">
        <v>101</v>
      </c>
      <c r="C257" t="s">
        <v>82</v>
      </c>
      <c r="D257" t="s">
        <v>319</v>
      </c>
      <c r="E257">
        <v>1</v>
      </c>
      <c r="F257">
        <v>999</v>
      </c>
      <c r="G257" s="30">
        <v>951.42857142857144</v>
      </c>
      <c r="H257" s="11">
        <v>46133</v>
      </c>
    </row>
    <row r="258" spans="1:8">
      <c r="A258" t="s">
        <v>377</v>
      </c>
      <c r="B258" t="s">
        <v>101</v>
      </c>
      <c r="C258" t="s">
        <v>342</v>
      </c>
      <c r="D258" t="s">
        <v>319</v>
      </c>
      <c r="E258">
        <v>1</v>
      </c>
      <c r="F258">
        <v>999</v>
      </c>
      <c r="G258" s="30">
        <v>951.42857142857144</v>
      </c>
      <c r="H258" s="11">
        <v>46139</v>
      </c>
    </row>
    <row r="259" spans="1:8">
      <c r="A259" t="s">
        <v>377</v>
      </c>
      <c r="B259" t="s">
        <v>101</v>
      </c>
      <c r="C259" t="s">
        <v>80</v>
      </c>
      <c r="D259" t="s">
        <v>319</v>
      </c>
      <c r="E259">
        <v>1</v>
      </c>
      <c r="F259">
        <v>999</v>
      </c>
      <c r="G259" s="30">
        <v>951.42857142857144</v>
      </c>
      <c r="H259" s="11">
        <v>46125</v>
      </c>
    </row>
    <row r="260" spans="1:8">
      <c r="A260" t="s">
        <v>377</v>
      </c>
      <c r="B260" t="s">
        <v>101</v>
      </c>
      <c r="C260" t="s">
        <v>350</v>
      </c>
      <c r="D260" t="s">
        <v>319</v>
      </c>
      <c r="E260">
        <v>1</v>
      </c>
      <c r="F260">
        <v>999</v>
      </c>
      <c r="G260" s="30">
        <v>951.42857142857144</v>
      </c>
      <c r="H260" s="11">
        <v>46140</v>
      </c>
    </row>
    <row r="261" spans="1:8">
      <c r="A261" t="s">
        <v>377</v>
      </c>
      <c r="B261" t="s">
        <v>101</v>
      </c>
      <c r="C261" t="s">
        <v>351</v>
      </c>
      <c r="D261" t="s">
        <v>319</v>
      </c>
      <c r="E261">
        <v>2</v>
      </c>
      <c r="F261">
        <v>1998</v>
      </c>
      <c r="G261" s="30">
        <v>1902.8571428571429</v>
      </c>
      <c r="H261" s="11">
        <v>46141</v>
      </c>
    </row>
    <row r="262" spans="1:8">
      <c r="A262" t="s">
        <v>378</v>
      </c>
      <c r="B262" t="s">
        <v>132</v>
      </c>
      <c r="C262" t="s">
        <v>75</v>
      </c>
      <c r="D262" t="s">
        <v>319</v>
      </c>
      <c r="E262">
        <v>3</v>
      </c>
      <c r="F262">
        <v>9600</v>
      </c>
      <c r="G262" s="30">
        <v>9142.8571428571431</v>
      </c>
      <c r="H262" s="11">
        <v>46113</v>
      </c>
    </row>
    <row r="263" spans="1:8">
      <c r="A263" t="s">
        <v>378</v>
      </c>
      <c r="B263" t="s">
        <v>132</v>
      </c>
      <c r="C263" t="s">
        <v>89</v>
      </c>
      <c r="D263" t="s">
        <v>319</v>
      </c>
      <c r="E263">
        <v>3</v>
      </c>
      <c r="F263">
        <v>9600</v>
      </c>
      <c r="G263" s="30">
        <v>9142.8571428571431</v>
      </c>
      <c r="H263" s="11">
        <v>46114</v>
      </c>
    </row>
    <row r="264" spans="1:8">
      <c r="A264" t="s">
        <v>378</v>
      </c>
      <c r="B264" t="s">
        <v>132</v>
      </c>
      <c r="C264" t="s">
        <v>91</v>
      </c>
      <c r="D264" t="s">
        <v>319</v>
      </c>
      <c r="E264">
        <v>1</v>
      </c>
      <c r="F264">
        <v>3200</v>
      </c>
      <c r="G264" s="30">
        <v>3047.6190476190477</v>
      </c>
      <c r="H264" s="11">
        <v>46119</v>
      </c>
    </row>
    <row r="265" spans="1:8">
      <c r="A265" t="s">
        <v>378</v>
      </c>
      <c r="B265" t="s">
        <v>132</v>
      </c>
      <c r="C265" t="s">
        <v>95</v>
      </c>
      <c r="D265" t="s">
        <v>319</v>
      </c>
      <c r="E265">
        <v>1</v>
      </c>
      <c r="F265">
        <v>3200</v>
      </c>
      <c r="G265" s="30">
        <v>3047.6190476190477</v>
      </c>
      <c r="H265" s="11">
        <v>46121</v>
      </c>
    </row>
    <row r="266" spans="1:8">
      <c r="A266" t="s">
        <v>378</v>
      </c>
      <c r="B266" t="s">
        <v>132</v>
      </c>
      <c r="C266" t="s">
        <v>96</v>
      </c>
      <c r="D266" t="s">
        <v>319</v>
      </c>
      <c r="E266">
        <v>3</v>
      </c>
      <c r="F266">
        <v>9600</v>
      </c>
      <c r="G266" s="30">
        <v>9142.8571428571431</v>
      </c>
      <c r="H266" s="11">
        <v>46122</v>
      </c>
    </row>
    <row r="267" spans="1:8">
      <c r="A267" t="s">
        <v>378</v>
      </c>
      <c r="B267" t="s">
        <v>132</v>
      </c>
      <c r="C267" t="s">
        <v>98</v>
      </c>
      <c r="D267" t="s">
        <v>319</v>
      </c>
      <c r="E267">
        <v>3</v>
      </c>
      <c r="F267">
        <v>9600</v>
      </c>
      <c r="G267" s="30">
        <v>9142.8571428571431</v>
      </c>
      <c r="H267" s="11">
        <v>46127</v>
      </c>
    </row>
    <row r="268" spans="1:8">
      <c r="A268" t="s">
        <v>378</v>
      </c>
      <c r="B268" t="s">
        <v>132</v>
      </c>
      <c r="C268" t="s">
        <v>100</v>
      </c>
      <c r="D268" t="s">
        <v>319</v>
      </c>
      <c r="E268">
        <v>3</v>
      </c>
      <c r="F268">
        <v>9600</v>
      </c>
      <c r="G268" s="30">
        <v>9142.8571428571431</v>
      </c>
      <c r="H268" s="11">
        <v>46128</v>
      </c>
    </row>
    <row r="269" spans="1:8">
      <c r="A269" t="s">
        <v>378</v>
      </c>
      <c r="B269" t="s">
        <v>132</v>
      </c>
      <c r="C269" t="s">
        <v>104</v>
      </c>
      <c r="D269" t="s">
        <v>319</v>
      </c>
      <c r="E269">
        <v>2</v>
      </c>
      <c r="F269">
        <v>6400</v>
      </c>
      <c r="G269" s="30">
        <v>6095.2380952380954</v>
      </c>
      <c r="H269" s="11">
        <v>46132</v>
      </c>
    </row>
    <row r="270" spans="1:8">
      <c r="A270" t="s">
        <v>378</v>
      </c>
      <c r="B270" t="s">
        <v>132</v>
      </c>
      <c r="C270" t="s">
        <v>82</v>
      </c>
      <c r="D270" t="s">
        <v>319</v>
      </c>
      <c r="E270">
        <v>2</v>
      </c>
      <c r="F270">
        <v>6400</v>
      </c>
      <c r="G270" s="30">
        <v>6095.2380952380954</v>
      </c>
      <c r="H270" s="11">
        <v>46133</v>
      </c>
    </row>
    <row r="271" spans="1:8">
      <c r="A271" t="s">
        <v>378</v>
      </c>
      <c r="B271" t="s">
        <v>132</v>
      </c>
      <c r="C271" t="s">
        <v>323</v>
      </c>
      <c r="D271" t="s">
        <v>319</v>
      </c>
      <c r="E271">
        <v>1</v>
      </c>
      <c r="F271">
        <v>3200</v>
      </c>
      <c r="G271" s="30">
        <v>3047.6190476190477</v>
      </c>
      <c r="H271" s="11">
        <v>46134</v>
      </c>
    </row>
    <row r="272" spans="1:8">
      <c r="A272" t="s">
        <v>378</v>
      </c>
      <c r="B272" t="s">
        <v>132</v>
      </c>
      <c r="C272" t="s">
        <v>341</v>
      </c>
      <c r="D272" t="s">
        <v>319</v>
      </c>
      <c r="E272">
        <v>2</v>
      </c>
      <c r="F272">
        <v>6400</v>
      </c>
      <c r="G272" s="30">
        <v>6095.2380952380954</v>
      </c>
      <c r="H272" s="11">
        <v>46136</v>
      </c>
    </row>
    <row r="273" spans="1:8">
      <c r="A273" t="s">
        <v>378</v>
      </c>
      <c r="B273" t="s">
        <v>132</v>
      </c>
      <c r="C273" t="s">
        <v>342</v>
      </c>
      <c r="D273" t="s">
        <v>319</v>
      </c>
      <c r="E273">
        <v>1</v>
      </c>
      <c r="F273">
        <v>3200</v>
      </c>
      <c r="G273" s="30">
        <v>3047.6190476190477</v>
      </c>
      <c r="H273" s="11">
        <v>46139</v>
      </c>
    </row>
    <row r="274" spans="1:8">
      <c r="A274" t="s">
        <v>378</v>
      </c>
      <c r="B274" t="s">
        <v>132</v>
      </c>
      <c r="C274" t="s">
        <v>80</v>
      </c>
      <c r="D274" t="s">
        <v>319</v>
      </c>
      <c r="E274">
        <v>1</v>
      </c>
      <c r="F274">
        <v>3200</v>
      </c>
      <c r="G274" s="30">
        <v>3047.6190476190477</v>
      </c>
      <c r="H274" s="11">
        <v>46125</v>
      </c>
    </row>
    <row r="275" spans="1:8">
      <c r="A275" t="s">
        <v>378</v>
      </c>
      <c r="B275" t="s">
        <v>132</v>
      </c>
      <c r="C275" t="s">
        <v>93</v>
      </c>
      <c r="D275" t="s">
        <v>319</v>
      </c>
      <c r="E275">
        <v>2</v>
      </c>
      <c r="F275">
        <v>6400</v>
      </c>
      <c r="G275" s="30">
        <v>6095.2380952380954</v>
      </c>
      <c r="H275" s="11">
        <v>46120</v>
      </c>
    </row>
    <row r="276" spans="1:8">
      <c r="A276" t="s">
        <v>378</v>
      </c>
      <c r="B276" t="s">
        <v>132</v>
      </c>
      <c r="C276" t="s">
        <v>102</v>
      </c>
      <c r="D276" t="s">
        <v>319</v>
      </c>
      <c r="E276">
        <v>1</v>
      </c>
      <c r="F276">
        <v>3200</v>
      </c>
      <c r="G276" s="30">
        <v>3047.6190476190477</v>
      </c>
      <c r="H276" s="11">
        <v>46129</v>
      </c>
    </row>
    <row r="277" spans="1:8">
      <c r="A277" t="s">
        <v>378</v>
      </c>
      <c r="B277" t="s">
        <v>132</v>
      </c>
      <c r="C277" t="s">
        <v>350</v>
      </c>
      <c r="D277" t="s">
        <v>319</v>
      </c>
      <c r="E277">
        <v>1</v>
      </c>
      <c r="F277">
        <v>3200</v>
      </c>
      <c r="G277" s="30">
        <v>3047.6190476190477</v>
      </c>
      <c r="H277" s="11">
        <v>46140</v>
      </c>
    </row>
    <row r="278" spans="1:8">
      <c r="A278" t="s">
        <v>378</v>
      </c>
      <c r="B278" t="s">
        <v>132</v>
      </c>
      <c r="C278" t="s">
        <v>351</v>
      </c>
      <c r="D278" t="s">
        <v>319</v>
      </c>
      <c r="E278">
        <v>1</v>
      </c>
      <c r="F278">
        <v>3200</v>
      </c>
      <c r="G278" s="30">
        <v>3047.6190476190477</v>
      </c>
      <c r="H278" s="11">
        <v>46141</v>
      </c>
    </row>
    <row r="279" spans="1:8">
      <c r="A279" t="s">
        <v>378</v>
      </c>
      <c r="B279" t="s">
        <v>132</v>
      </c>
      <c r="C279" t="s">
        <v>352</v>
      </c>
      <c r="D279" t="s">
        <v>319</v>
      </c>
      <c r="E279">
        <v>2</v>
      </c>
      <c r="F279">
        <v>6400</v>
      </c>
      <c r="G279" s="30">
        <v>6095.2380952380954</v>
      </c>
      <c r="H279" s="11">
        <v>46142</v>
      </c>
    </row>
    <row r="280" spans="1:8">
      <c r="A280" t="s">
        <v>379</v>
      </c>
      <c r="B280" t="s">
        <v>46</v>
      </c>
      <c r="C280" t="s">
        <v>75</v>
      </c>
      <c r="D280" t="s">
        <v>319</v>
      </c>
      <c r="E280">
        <v>1</v>
      </c>
      <c r="F280">
        <v>1599</v>
      </c>
      <c r="G280" s="30">
        <v>1522.8571428571429</v>
      </c>
      <c r="H280" s="11">
        <v>46113</v>
      </c>
    </row>
    <row r="281" spans="1:8">
      <c r="A281" t="s">
        <v>377</v>
      </c>
      <c r="B281" t="s">
        <v>120</v>
      </c>
      <c r="C281" t="s">
        <v>96</v>
      </c>
      <c r="D281" t="s">
        <v>319</v>
      </c>
      <c r="E281">
        <v>1</v>
      </c>
      <c r="F281">
        <v>699</v>
      </c>
      <c r="G281" s="30">
        <v>665.71428571428567</v>
      </c>
      <c r="H281" s="11">
        <v>46122</v>
      </c>
    </row>
    <row r="282" spans="1:8">
      <c r="A282" t="s">
        <v>377</v>
      </c>
      <c r="B282" t="s">
        <v>120</v>
      </c>
      <c r="C282" t="s">
        <v>97</v>
      </c>
      <c r="D282" t="s">
        <v>319</v>
      </c>
      <c r="E282">
        <v>1</v>
      </c>
      <c r="F282">
        <v>699</v>
      </c>
      <c r="G282" s="30">
        <v>665.71428571428567</v>
      </c>
      <c r="H282" s="11">
        <v>46126</v>
      </c>
    </row>
    <row r="283" spans="1:8">
      <c r="A283" t="s">
        <v>377</v>
      </c>
      <c r="B283" t="s">
        <v>120</v>
      </c>
      <c r="C283" t="s">
        <v>104</v>
      </c>
      <c r="D283" t="s">
        <v>319</v>
      </c>
      <c r="E283">
        <v>1</v>
      </c>
      <c r="F283">
        <v>699</v>
      </c>
      <c r="G283" s="30">
        <v>665.71428571428567</v>
      </c>
      <c r="H283" s="11">
        <v>46132</v>
      </c>
    </row>
    <row r="284" spans="1:8">
      <c r="A284" t="s">
        <v>377</v>
      </c>
      <c r="B284" t="s">
        <v>120</v>
      </c>
      <c r="C284" t="s">
        <v>323</v>
      </c>
      <c r="D284" t="s">
        <v>319</v>
      </c>
      <c r="E284">
        <v>1</v>
      </c>
      <c r="F284">
        <v>699</v>
      </c>
      <c r="G284" s="30">
        <v>665.71428571428567</v>
      </c>
      <c r="H284" s="11">
        <v>46134</v>
      </c>
    </row>
    <row r="285" spans="1:8">
      <c r="A285" t="s">
        <v>377</v>
      </c>
      <c r="B285" t="s">
        <v>185</v>
      </c>
      <c r="C285" t="s">
        <v>91</v>
      </c>
      <c r="D285" t="s">
        <v>319</v>
      </c>
      <c r="E285">
        <v>1</v>
      </c>
      <c r="F285">
        <v>1099</v>
      </c>
      <c r="G285" s="30">
        <v>1046.6666666666665</v>
      </c>
      <c r="H285" s="11">
        <v>46119</v>
      </c>
    </row>
    <row r="286" spans="1:8">
      <c r="A286" t="s">
        <v>377</v>
      </c>
      <c r="B286" t="s">
        <v>185</v>
      </c>
      <c r="C286" t="s">
        <v>323</v>
      </c>
      <c r="D286" t="s">
        <v>319</v>
      </c>
      <c r="E286">
        <v>1</v>
      </c>
      <c r="F286">
        <v>1099</v>
      </c>
      <c r="G286" s="30">
        <v>1046.6666666666665</v>
      </c>
      <c r="H286" s="11">
        <v>46134</v>
      </c>
    </row>
    <row r="287" spans="1:8">
      <c r="A287" t="s">
        <v>379</v>
      </c>
      <c r="B287" t="s">
        <v>264</v>
      </c>
      <c r="C287" t="s">
        <v>323</v>
      </c>
      <c r="D287" t="s">
        <v>319</v>
      </c>
      <c r="E287">
        <v>1</v>
      </c>
      <c r="F287">
        <v>350</v>
      </c>
      <c r="G287" s="30">
        <v>333.33333333333331</v>
      </c>
      <c r="H287" s="11">
        <v>46134</v>
      </c>
    </row>
    <row r="288" spans="1:8">
      <c r="A288" t="s">
        <v>377</v>
      </c>
      <c r="B288" t="s">
        <v>186</v>
      </c>
      <c r="C288" t="s">
        <v>75</v>
      </c>
      <c r="D288" t="s">
        <v>319</v>
      </c>
      <c r="E288">
        <v>8</v>
      </c>
      <c r="F288">
        <v>0</v>
      </c>
      <c r="G288" s="30">
        <v>0</v>
      </c>
      <c r="H288" s="11">
        <v>46113</v>
      </c>
    </row>
    <row r="289" spans="1:8">
      <c r="A289" t="s">
        <v>380</v>
      </c>
      <c r="B289" t="s">
        <v>187</v>
      </c>
      <c r="C289" t="s">
        <v>104</v>
      </c>
      <c r="D289" t="s">
        <v>319</v>
      </c>
      <c r="E289">
        <v>1</v>
      </c>
      <c r="F289">
        <v>550</v>
      </c>
      <c r="G289" s="30">
        <v>523.80952380952374</v>
      </c>
      <c r="H289" s="11">
        <v>46132</v>
      </c>
    </row>
    <row r="290" spans="1:8">
      <c r="A290" t="s">
        <v>380</v>
      </c>
      <c r="B290" t="s">
        <v>187</v>
      </c>
      <c r="C290" t="s">
        <v>80</v>
      </c>
      <c r="D290" t="s">
        <v>319</v>
      </c>
      <c r="E290">
        <v>1</v>
      </c>
      <c r="F290">
        <v>550</v>
      </c>
      <c r="G290" s="30">
        <v>523.80952380952374</v>
      </c>
      <c r="H290" s="11">
        <v>46125</v>
      </c>
    </row>
    <row r="291" spans="1:8">
      <c r="A291" t="s">
        <v>380</v>
      </c>
      <c r="B291" t="s">
        <v>188</v>
      </c>
      <c r="C291" t="s">
        <v>91</v>
      </c>
      <c r="D291" t="s">
        <v>319</v>
      </c>
      <c r="E291">
        <v>3</v>
      </c>
      <c r="F291">
        <v>4095</v>
      </c>
      <c r="G291" s="30">
        <v>3900</v>
      </c>
      <c r="H291" s="11">
        <v>46119</v>
      </c>
    </row>
    <row r="292" spans="1:8">
      <c r="A292" t="s">
        <v>380</v>
      </c>
      <c r="B292" t="s">
        <v>189</v>
      </c>
      <c r="C292" t="s">
        <v>98</v>
      </c>
      <c r="D292" t="s">
        <v>319</v>
      </c>
      <c r="E292">
        <v>1</v>
      </c>
      <c r="F292">
        <v>1680</v>
      </c>
      <c r="G292" s="30">
        <v>1600</v>
      </c>
      <c r="H292" s="11">
        <v>46127</v>
      </c>
    </row>
    <row r="293" spans="1:8">
      <c r="A293" t="s">
        <v>380</v>
      </c>
      <c r="B293" t="s">
        <v>189</v>
      </c>
      <c r="C293" t="s">
        <v>93</v>
      </c>
      <c r="D293" t="s">
        <v>319</v>
      </c>
      <c r="E293">
        <v>2</v>
      </c>
      <c r="F293">
        <v>2730</v>
      </c>
      <c r="G293" s="30">
        <v>2600</v>
      </c>
      <c r="H293" s="11">
        <v>46120</v>
      </c>
    </row>
    <row r="294" spans="1:8">
      <c r="A294" t="s">
        <v>380</v>
      </c>
      <c r="B294" t="s">
        <v>191</v>
      </c>
      <c r="C294" t="s">
        <v>98</v>
      </c>
      <c r="D294" t="s">
        <v>319</v>
      </c>
      <c r="E294">
        <v>3</v>
      </c>
      <c r="F294">
        <v>5460</v>
      </c>
      <c r="G294" s="30">
        <v>5200</v>
      </c>
      <c r="H294" s="11">
        <v>46127</v>
      </c>
    </row>
    <row r="295" spans="1:8">
      <c r="A295" t="s">
        <v>380</v>
      </c>
      <c r="B295" t="s">
        <v>191</v>
      </c>
      <c r="C295" t="s">
        <v>100</v>
      </c>
      <c r="D295" t="s">
        <v>319</v>
      </c>
      <c r="E295">
        <v>2</v>
      </c>
      <c r="F295">
        <v>3920</v>
      </c>
      <c r="G295" s="30">
        <v>3733.333333333333</v>
      </c>
      <c r="H295" s="11">
        <v>46128</v>
      </c>
    </row>
    <row r="296" spans="1:8">
      <c r="A296" t="s">
        <v>380</v>
      </c>
      <c r="B296" t="s">
        <v>191</v>
      </c>
      <c r="C296" t="s">
        <v>93</v>
      </c>
      <c r="D296" t="s">
        <v>319</v>
      </c>
      <c r="E296">
        <v>1</v>
      </c>
      <c r="F296">
        <v>1820</v>
      </c>
      <c r="G296" s="30">
        <v>1733.3333333333333</v>
      </c>
      <c r="H296" s="11">
        <v>46120</v>
      </c>
    </row>
    <row r="297" spans="1:8">
      <c r="A297" t="s">
        <v>380</v>
      </c>
      <c r="B297" t="s">
        <v>280</v>
      </c>
      <c r="C297" t="s">
        <v>323</v>
      </c>
      <c r="D297" t="s">
        <v>319</v>
      </c>
      <c r="E297">
        <v>3</v>
      </c>
      <c r="F297">
        <v>5460</v>
      </c>
      <c r="G297" s="30">
        <v>5200</v>
      </c>
      <c r="H297" s="11">
        <v>46134</v>
      </c>
    </row>
    <row r="298" spans="1:8">
      <c r="A298" t="s">
        <v>380</v>
      </c>
      <c r="B298" t="s">
        <v>280</v>
      </c>
      <c r="C298" t="s">
        <v>341</v>
      </c>
      <c r="D298" t="s">
        <v>319</v>
      </c>
      <c r="E298">
        <v>3</v>
      </c>
      <c r="F298">
        <v>5460</v>
      </c>
      <c r="G298" s="30">
        <v>5200</v>
      </c>
      <c r="H298" s="11">
        <v>46136</v>
      </c>
    </row>
    <row r="299" spans="1:8">
      <c r="A299" t="s">
        <v>377</v>
      </c>
      <c r="B299" t="s">
        <v>196</v>
      </c>
      <c r="C299" t="s">
        <v>75</v>
      </c>
      <c r="D299" t="s">
        <v>319</v>
      </c>
      <c r="E299">
        <v>4</v>
      </c>
      <c r="F299">
        <v>0</v>
      </c>
      <c r="G299" s="30">
        <v>0</v>
      </c>
      <c r="H299" s="11">
        <v>46113</v>
      </c>
    </row>
    <row r="300" spans="1:8">
      <c r="A300" t="s">
        <v>378</v>
      </c>
      <c r="B300" t="s">
        <v>118</v>
      </c>
      <c r="C300" t="s">
        <v>75</v>
      </c>
      <c r="D300" t="s">
        <v>319</v>
      </c>
      <c r="E300">
        <v>4</v>
      </c>
      <c r="F300">
        <v>8796</v>
      </c>
      <c r="G300" s="30">
        <v>8377.1428571428569</v>
      </c>
      <c r="H300" s="11">
        <v>46113</v>
      </c>
    </row>
    <row r="301" spans="1:8">
      <c r="A301" t="s">
        <v>378</v>
      </c>
      <c r="B301" t="s">
        <v>118</v>
      </c>
      <c r="C301" t="s">
        <v>89</v>
      </c>
      <c r="D301" t="s">
        <v>319</v>
      </c>
      <c r="E301">
        <v>3</v>
      </c>
      <c r="F301">
        <v>6597</v>
      </c>
      <c r="G301" s="30">
        <v>6282.8571428571422</v>
      </c>
      <c r="H301" s="11">
        <v>46114</v>
      </c>
    </row>
    <row r="302" spans="1:8">
      <c r="A302" t="s">
        <v>378</v>
      </c>
      <c r="B302" t="s">
        <v>118</v>
      </c>
      <c r="C302" t="s">
        <v>91</v>
      </c>
      <c r="D302" t="s">
        <v>319</v>
      </c>
      <c r="E302">
        <v>1</v>
      </c>
      <c r="F302">
        <v>2199</v>
      </c>
      <c r="G302" s="30">
        <v>2094.2857142857142</v>
      </c>
      <c r="H302" s="11">
        <v>46119</v>
      </c>
    </row>
    <row r="303" spans="1:8">
      <c r="A303" t="s">
        <v>378</v>
      </c>
      <c r="B303" t="s">
        <v>118</v>
      </c>
      <c r="C303" t="s">
        <v>95</v>
      </c>
      <c r="D303" t="s">
        <v>319</v>
      </c>
      <c r="E303">
        <v>2</v>
      </c>
      <c r="F303">
        <v>4398</v>
      </c>
      <c r="G303" s="30">
        <v>4188.5714285714284</v>
      </c>
      <c r="H303" s="11">
        <v>46121</v>
      </c>
    </row>
    <row r="304" spans="1:8">
      <c r="A304" t="s">
        <v>378</v>
      </c>
      <c r="B304" t="s">
        <v>118</v>
      </c>
      <c r="C304" t="s">
        <v>96</v>
      </c>
      <c r="D304" t="s">
        <v>319</v>
      </c>
      <c r="E304">
        <v>3</v>
      </c>
      <c r="F304">
        <v>6597</v>
      </c>
      <c r="G304" s="30">
        <v>6282.8571428571422</v>
      </c>
      <c r="H304" s="11">
        <v>46122</v>
      </c>
    </row>
    <row r="305" spans="1:8">
      <c r="A305" t="s">
        <v>378</v>
      </c>
      <c r="B305" t="s">
        <v>118</v>
      </c>
      <c r="C305" t="s">
        <v>97</v>
      </c>
      <c r="D305" t="s">
        <v>319</v>
      </c>
      <c r="E305">
        <v>2</v>
      </c>
      <c r="F305">
        <v>4398</v>
      </c>
      <c r="G305" s="30">
        <v>4188.5714285714284</v>
      </c>
      <c r="H305" s="11">
        <v>46126</v>
      </c>
    </row>
    <row r="306" spans="1:8">
      <c r="A306" t="s">
        <v>378</v>
      </c>
      <c r="B306" t="s">
        <v>118</v>
      </c>
      <c r="C306" t="s">
        <v>98</v>
      </c>
      <c r="D306" t="s">
        <v>319</v>
      </c>
      <c r="E306">
        <v>4</v>
      </c>
      <c r="F306">
        <v>8796</v>
      </c>
      <c r="G306" s="30">
        <v>8377.1428571428569</v>
      </c>
      <c r="H306" s="11">
        <v>46127</v>
      </c>
    </row>
    <row r="307" spans="1:8">
      <c r="A307" t="s">
        <v>378</v>
      </c>
      <c r="B307" t="s">
        <v>118</v>
      </c>
      <c r="C307" t="s">
        <v>100</v>
      </c>
      <c r="D307" t="s">
        <v>319</v>
      </c>
      <c r="E307">
        <v>1</v>
      </c>
      <c r="F307">
        <v>2199</v>
      </c>
      <c r="G307" s="30">
        <v>2094.2857142857142</v>
      </c>
      <c r="H307" s="11">
        <v>46128</v>
      </c>
    </row>
    <row r="308" spans="1:8">
      <c r="A308" t="s">
        <v>378</v>
      </c>
      <c r="B308" t="s">
        <v>118</v>
      </c>
      <c r="C308" t="s">
        <v>104</v>
      </c>
      <c r="D308" t="s">
        <v>319</v>
      </c>
      <c r="E308">
        <v>3</v>
      </c>
      <c r="F308">
        <v>6597</v>
      </c>
      <c r="G308" s="30">
        <v>6282.8571428571422</v>
      </c>
      <c r="H308" s="11">
        <v>46132</v>
      </c>
    </row>
    <row r="309" spans="1:8">
      <c r="A309" t="s">
        <v>378</v>
      </c>
      <c r="B309" t="s">
        <v>118</v>
      </c>
      <c r="C309" t="s">
        <v>82</v>
      </c>
      <c r="D309" t="s">
        <v>319</v>
      </c>
      <c r="E309">
        <v>1</v>
      </c>
      <c r="F309">
        <v>2199</v>
      </c>
      <c r="G309" s="30">
        <v>2094.2857142857142</v>
      </c>
      <c r="H309" s="11">
        <v>46133</v>
      </c>
    </row>
    <row r="310" spans="1:8">
      <c r="A310" t="s">
        <v>378</v>
      </c>
      <c r="B310" t="s">
        <v>118</v>
      </c>
      <c r="C310" t="s">
        <v>323</v>
      </c>
      <c r="D310" t="s">
        <v>319</v>
      </c>
      <c r="E310">
        <v>3</v>
      </c>
      <c r="F310">
        <v>6597</v>
      </c>
      <c r="G310" s="30">
        <v>6282.8571428571422</v>
      </c>
      <c r="H310" s="11">
        <v>46134</v>
      </c>
    </row>
    <row r="311" spans="1:8">
      <c r="A311" t="s">
        <v>378</v>
      </c>
      <c r="B311" t="s">
        <v>118</v>
      </c>
      <c r="C311" t="s">
        <v>340</v>
      </c>
      <c r="D311" t="s">
        <v>319</v>
      </c>
      <c r="E311">
        <v>4</v>
      </c>
      <c r="F311">
        <v>8796</v>
      </c>
      <c r="G311" s="30">
        <v>8377.1428571428569</v>
      </c>
      <c r="H311" s="11">
        <v>46135</v>
      </c>
    </row>
    <row r="312" spans="1:8">
      <c r="A312" t="s">
        <v>378</v>
      </c>
      <c r="B312" t="s">
        <v>118</v>
      </c>
      <c r="C312" t="s">
        <v>341</v>
      </c>
      <c r="D312" t="s">
        <v>319</v>
      </c>
      <c r="E312">
        <v>5</v>
      </c>
      <c r="F312">
        <v>10995</v>
      </c>
      <c r="G312" s="30">
        <v>10471.428571428571</v>
      </c>
      <c r="H312" s="11">
        <v>46136</v>
      </c>
    </row>
    <row r="313" spans="1:8">
      <c r="A313" t="s">
        <v>378</v>
      </c>
      <c r="B313" t="s">
        <v>118</v>
      </c>
      <c r="C313" t="s">
        <v>342</v>
      </c>
      <c r="D313" t="s">
        <v>319</v>
      </c>
      <c r="E313">
        <v>3</v>
      </c>
      <c r="F313">
        <v>6597</v>
      </c>
      <c r="G313" s="30">
        <v>6282.8571428571422</v>
      </c>
      <c r="H313" s="11">
        <v>46139</v>
      </c>
    </row>
    <row r="314" spans="1:8">
      <c r="A314" t="s">
        <v>378</v>
      </c>
      <c r="B314" t="s">
        <v>118</v>
      </c>
      <c r="C314" t="s">
        <v>80</v>
      </c>
      <c r="D314" t="s">
        <v>319</v>
      </c>
      <c r="E314">
        <v>1</v>
      </c>
      <c r="F314">
        <v>2199</v>
      </c>
      <c r="G314" s="30">
        <v>2094.2857142857142</v>
      </c>
      <c r="H314" s="11">
        <v>46125</v>
      </c>
    </row>
    <row r="315" spans="1:8">
      <c r="A315" t="s">
        <v>378</v>
      </c>
      <c r="B315" t="s">
        <v>118</v>
      </c>
      <c r="C315" t="s">
        <v>93</v>
      </c>
      <c r="D315" t="s">
        <v>319</v>
      </c>
      <c r="E315">
        <v>1</v>
      </c>
      <c r="F315">
        <v>2199</v>
      </c>
      <c r="G315" s="30">
        <v>2094.2857142857142</v>
      </c>
      <c r="H315" s="11">
        <v>46120</v>
      </c>
    </row>
    <row r="316" spans="1:8">
      <c r="A316" t="s">
        <v>378</v>
      </c>
      <c r="B316" t="s">
        <v>118</v>
      </c>
      <c r="C316" t="s">
        <v>102</v>
      </c>
      <c r="D316" t="s">
        <v>319</v>
      </c>
      <c r="E316">
        <v>1</v>
      </c>
      <c r="F316">
        <v>2199</v>
      </c>
      <c r="G316" s="30">
        <v>2094.2857142857142</v>
      </c>
      <c r="H316" s="11">
        <v>46129</v>
      </c>
    </row>
    <row r="317" spans="1:8">
      <c r="A317" t="s">
        <v>378</v>
      </c>
      <c r="B317" t="s">
        <v>118</v>
      </c>
      <c r="C317" t="s">
        <v>103</v>
      </c>
      <c r="D317" t="s">
        <v>319</v>
      </c>
      <c r="E317">
        <v>1</v>
      </c>
      <c r="F317">
        <v>2199</v>
      </c>
      <c r="G317" s="30">
        <v>2094.2857142857142</v>
      </c>
      <c r="H317" s="11">
        <v>46130</v>
      </c>
    </row>
    <row r="318" spans="1:8">
      <c r="A318" t="s">
        <v>378</v>
      </c>
      <c r="B318" t="s">
        <v>118</v>
      </c>
      <c r="C318" t="s">
        <v>350</v>
      </c>
      <c r="D318" t="s">
        <v>319</v>
      </c>
      <c r="E318">
        <v>2</v>
      </c>
      <c r="F318">
        <v>4398</v>
      </c>
      <c r="G318" s="30">
        <v>4188.5714285714284</v>
      </c>
      <c r="H318" s="11">
        <v>46140</v>
      </c>
    </row>
    <row r="319" spans="1:8">
      <c r="A319" t="s">
        <v>378</v>
      </c>
      <c r="B319" t="s">
        <v>118</v>
      </c>
      <c r="C319" t="s">
        <v>351</v>
      </c>
      <c r="D319" t="s">
        <v>319</v>
      </c>
      <c r="E319">
        <v>4</v>
      </c>
      <c r="F319">
        <v>8796</v>
      </c>
      <c r="G319" s="30">
        <v>8377.1428571428569</v>
      </c>
      <c r="H319" s="11">
        <v>46141</v>
      </c>
    </row>
    <row r="320" spans="1:8">
      <c r="A320" t="s">
        <v>378</v>
      </c>
      <c r="B320" t="s">
        <v>118</v>
      </c>
      <c r="C320" t="s">
        <v>352</v>
      </c>
      <c r="D320" t="s">
        <v>319</v>
      </c>
      <c r="E320">
        <v>2</v>
      </c>
      <c r="F320">
        <v>4398</v>
      </c>
      <c r="G320" s="30">
        <v>4188.5714285714284</v>
      </c>
      <c r="H320" s="11">
        <v>46142</v>
      </c>
    </row>
    <row r="321" spans="1:8">
      <c r="A321" t="s">
        <v>377</v>
      </c>
      <c r="B321" t="s">
        <v>314</v>
      </c>
      <c r="C321" t="s">
        <v>97</v>
      </c>
      <c r="D321" t="s">
        <v>319</v>
      </c>
      <c r="E321">
        <v>1</v>
      </c>
      <c r="F321">
        <v>600</v>
      </c>
      <c r="G321" s="30">
        <v>571.42857142857144</v>
      </c>
      <c r="H321" s="11">
        <v>46126</v>
      </c>
    </row>
    <row r="322" spans="1:8">
      <c r="A322" t="s">
        <v>378</v>
      </c>
      <c r="B322" t="s">
        <v>211</v>
      </c>
      <c r="C322" t="s">
        <v>82</v>
      </c>
      <c r="D322" t="s">
        <v>319</v>
      </c>
      <c r="E322">
        <v>1</v>
      </c>
      <c r="F322">
        <v>999</v>
      </c>
      <c r="G322" s="30">
        <v>951.42857142857144</v>
      </c>
      <c r="H322" s="11">
        <v>46133</v>
      </c>
    </row>
    <row r="323" spans="1:8">
      <c r="A323" t="s">
        <v>378</v>
      </c>
      <c r="B323" t="s">
        <v>211</v>
      </c>
      <c r="C323" t="s">
        <v>342</v>
      </c>
      <c r="D323" t="s">
        <v>319</v>
      </c>
      <c r="E323">
        <v>1</v>
      </c>
      <c r="F323">
        <v>999</v>
      </c>
      <c r="G323" s="30">
        <v>951.42857142857144</v>
      </c>
      <c r="H323" s="11">
        <v>46139</v>
      </c>
    </row>
    <row r="324" spans="1:8">
      <c r="A324" t="s">
        <v>378</v>
      </c>
      <c r="B324" t="s">
        <v>141</v>
      </c>
      <c r="C324" t="s">
        <v>75</v>
      </c>
      <c r="D324" t="s">
        <v>319</v>
      </c>
      <c r="E324">
        <v>11</v>
      </c>
      <c r="F324">
        <v>53900</v>
      </c>
      <c r="G324" s="30">
        <v>51333.333333333328</v>
      </c>
      <c r="H324" s="11">
        <v>46113</v>
      </c>
    </row>
    <row r="325" spans="1:8">
      <c r="A325" t="s">
        <v>378</v>
      </c>
      <c r="B325" t="s">
        <v>141</v>
      </c>
      <c r="C325" t="s">
        <v>89</v>
      </c>
      <c r="D325" t="s">
        <v>319</v>
      </c>
      <c r="E325">
        <v>1</v>
      </c>
      <c r="F325">
        <v>4900</v>
      </c>
      <c r="G325" s="30">
        <v>4666.6666666666661</v>
      </c>
      <c r="H325" s="11">
        <v>46114</v>
      </c>
    </row>
    <row r="326" spans="1:8">
      <c r="A326" t="s">
        <v>378</v>
      </c>
      <c r="B326" t="s">
        <v>141</v>
      </c>
      <c r="C326" t="s">
        <v>91</v>
      </c>
      <c r="D326" t="s">
        <v>319</v>
      </c>
      <c r="E326">
        <v>1</v>
      </c>
      <c r="F326">
        <v>4900</v>
      </c>
      <c r="G326" s="30">
        <v>4666.6666666666661</v>
      </c>
      <c r="H326" s="11">
        <v>46119</v>
      </c>
    </row>
    <row r="327" spans="1:8">
      <c r="A327" t="s">
        <v>378</v>
      </c>
      <c r="B327" t="s">
        <v>141</v>
      </c>
      <c r="C327" t="s">
        <v>95</v>
      </c>
      <c r="D327" t="s">
        <v>319</v>
      </c>
      <c r="E327">
        <v>2</v>
      </c>
      <c r="F327">
        <v>9800</v>
      </c>
      <c r="G327" s="30">
        <v>9333.3333333333321</v>
      </c>
      <c r="H327" s="11">
        <v>46121</v>
      </c>
    </row>
    <row r="328" spans="1:8">
      <c r="A328" t="s">
        <v>378</v>
      </c>
      <c r="B328" t="s">
        <v>141</v>
      </c>
      <c r="C328" t="s">
        <v>96</v>
      </c>
      <c r="D328" t="s">
        <v>319</v>
      </c>
      <c r="E328">
        <v>2</v>
      </c>
      <c r="F328">
        <v>9800</v>
      </c>
      <c r="G328" s="30">
        <v>9333.3333333333321</v>
      </c>
      <c r="H328" s="11">
        <v>46122</v>
      </c>
    </row>
    <row r="329" spans="1:8">
      <c r="A329" t="s">
        <v>378</v>
      </c>
      <c r="B329" t="s">
        <v>141</v>
      </c>
      <c r="C329" t="s">
        <v>97</v>
      </c>
      <c r="D329" t="s">
        <v>319</v>
      </c>
      <c r="E329">
        <v>1</v>
      </c>
      <c r="F329">
        <v>4900</v>
      </c>
      <c r="G329" s="30">
        <v>4666.6666666666661</v>
      </c>
      <c r="H329" s="11">
        <v>46126</v>
      </c>
    </row>
    <row r="330" spans="1:8">
      <c r="A330" t="s">
        <v>378</v>
      </c>
      <c r="B330" t="s">
        <v>141</v>
      </c>
      <c r="C330" t="s">
        <v>98</v>
      </c>
      <c r="D330" t="s">
        <v>319</v>
      </c>
      <c r="E330">
        <v>3</v>
      </c>
      <c r="F330">
        <v>14700</v>
      </c>
      <c r="G330" s="30">
        <v>14000</v>
      </c>
      <c r="H330" s="11">
        <v>46127</v>
      </c>
    </row>
    <row r="331" spans="1:8">
      <c r="A331" t="s">
        <v>378</v>
      </c>
      <c r="B331" t="s">
        <v>141</v>
      </c>
      <c r="C331" t="s">
        <v>100</v>
      </c>
      <c r="D331" t="s">
        <v>319</v>
      </c>
      <c r="E331">
        <v>3</v>
      </c>
      <c r="F331">
        <v>14700</v>
      </c>
      <c r="G331" s="30">
        <v>14000</v>
      </c>
      <c r="H331" s="11">
        <v>46128</v>
      </c>
    </row>
    <row r="332" spans="1:8">
      <c r="A332" t="s">
        <v>378</v>
      </c>
      <c r="B332" t="s">
        <v>141</v>
      </c>
      <c r="C332" t="s">
        <v>104</v>
      </c>
      <c r="D332" t="s">
        <v>319</v>
      </c>
      <c r="E332">
        <v>4</v>
      </c>
      <c r="F332">
        <v>19600</v>
      </c>
      <c r="G332" s="30">
        <v>18666.666666666664</v>
      </c>
      <c r="H332" s="11">
        <v>46132</v>
      </c>
    </row>
    <row r="333" spans="1:8">
      <c r="A333" t="s">
        <v>378</v>
      </c>
      <c r="B333" t="s">
        <v>141</v>
      </c>
      <c r="C333" t="s">
        <v>82</v>
      </c>
      <c r="D333" t="s">
        <v>319</v>
      </c>
      <c r="E333">
        <v>6</v>
      </c>
      <c r="F333">
        <v>29400</v>
      </c>
      <c r="G333" s="30">
        <v>28000</v>
      </c>
      <c r="H333" s="11">
        <v>46133</v>
      </c>
    </row>
    <row r="334" spans="1:8">
      <c r="A334" t="s">
        <v>378</v>
      </c>
      <c r="B334" t="s">
        <v>141</v>
      </c>
      <c r="C334" t="s">
        <v>323</v>
      </c>
      <c r="D334" t="s">
        <v>319</v>
      </c>
      <c r="E334">
        <v>2</v>
      </c>
      <c r="F334">
        <v>9800</v>
      </c>
      <c r="G334" s="30">
        <v>9333.3333333333321</v>
      </c>
      <c r="H334" s="11">
        <v>46134</v>
      </c>
    </row>
    <row r="335" spans="1:8">
      <c r="A335" t="s">
        <v>378</v>
      </c>
      <c r="B335" t="s">
        <v>141</v>
      </c>
      <c r="C335" t="s">
        <v>340</v>
      </c>
      <c r="D335" t="s">
        <v>319</v>
      </c>
      <c r="E335">
        <v>2</v>
      </c>
      <c r="F335">
        <v>9800</v>
      </c>
      <c r="G335" s="30">
        <v>9333.3333333333321</v>
      </c>
      <c r="H335" s="11">
        <v>46135</v>
      </c>
    </row>
    <row r="336" spans="1:8">
      <c r="A336" t="s">
        <v>378</v>
      </c>
      <c r="B336" t="s">
        <v>141</v>
      </c>
      <c r="C336" t="s">
        <v>341</v>
      </c>
      <c r="D336" t="s">
        <v>319</v>
      </c>
      <c r="E336">
        <v>3</v>
      </c>
      <c r="F336">
        <v>14700</v>
      </c>
      <c r="G336" s="30">
        <v>14000</v>
      </c>
      <c r="H336" s="11">
        <v>46136</v>
      </c>
    </row>
    <row r="337" spans="1:8">
      <c r="A337" t="s">
        <v>378</v>
      </c>
      <c r="B337" t="s">
        <v>141</v>
      </c>
      <c r="C337" t="s">
        <v>342</v>
      </c>
      <c r="D337" t="s">
        <v>319</v>
      </c>
      <c r="E337">
        <v>9</v>
      </c>
      <c r="F337">
        <v>44100</v>
      </c>
      <c r="G337" s="30">
        <v>42000</v>
      </c>
      <c r="H337" s="11">
        <v>46139</v>
      </c>
    </row>
    <row r="338" spans="1:8">
      <c r="A338" t="s">
        <v>378</v>
      </c>
      <c r="B338" t="s">
        <v>141</v>
      </c>
      <c r="C338" t="s">
        <v>80</v>
      </c>
      <c r="D338" t="s">
        <v>319</v>
      </c>
      <c r="E338">
        <v>1</v>
      </c>
      <c r="F338">
        <v>4900</v>
      </c>
      <c r="G338" s="30">
        <v>4666.6666666666661</v>
      </c>
      <c r="H338" s="11">
        <v>46125</v>
      </c>
    </row>
    <row r="339" spans="1:8">
      <c r="A339" t="s">
        <v>378</v>
      </c>
      <c r="B339" t="s">
        <v>141</v>
      </c>
      <c r="C339" t="s">
        <v>102</v>
      </c>
      <c r="D339" t="s">
        <v>319</v>
      </c>
      <c r="E339">
        <v>1</v>
      </c>
      <c r="F339">
        <v>4900</v>
      </c>
      <c r="G339" s="30">
        <v>4666.6666666666661</v>
      </c>
      <c r="H339" s="11">
        <v>46129</v>
      </c>
    </row>
    <row r="340" spans="1:8">
      <c r="A340" t="s">
        <v>378</v>
      </c>
      <c r="B340" t="s">
        <v>141</v>
      </c>
      <c r="C340" t="s">
        <v>350</v>
      </c>
      <c r="D340" t="s">
        <v>319</v>
      </c>
      <c r="E340">
        <v>11</v>
      </c>
      <c r="F340">
        <v>53900</v>
      </c>
      <c r="G340" s="30">
        <v>51333.333333333328</v>
      </c>
      <c r="H340" s="11">
        <v>46140</v>
      </c>
    </row>
    <row r="341" spans="1:8">
      <c r="A341" t="s">
        <v>378</v>
      </c>
      <c r="B341" t="s">
        <v>141</v>
      </c>
      <c r="C341" t="s">
        <v>351</v>
      </c>
      <c r="D341" t="s">
        <v>319</v>
      </c>
      <c r="E341">
        <v>9</v>
      </c>
      <c r="F341">
        <v>44100</v>
      </c>
      <c r="G341" s="30">
        <v>42000</v>
      </c>
      <c r="H341" s="11">
        <v>46141</v>
      </c>
    </row>
    <row r="342" spans="1:8">
      <c r="A342" t="s">
        <v>378</v>
      </c>
      <c r="B342" t="s">
        <v>141</v>
      </c>
      <c r="C342" t="s">
        <v>352</v>
      </c>
      <c r="D342" t="s">
        <v>319</v>
      </c>
      <c r="E342">
        <v>10</v>
      </c>
      <c r="F342">
        <v>49000</v>
      </c>
      <c r="G342" s="30">
        <v>46666.666666666664</v>
      </c>
      <c r="H342" s="11">
        <v>46142</v>
      </c>
    </row>
    <row r="343" spans="1:8">
      <c r="A343" t="s">
        <v>378</v>
      </c>
      <c r="B343" t="s">
        <v>158</v>
      </c>
      <c r="C343" t="s">
        <v>75</v>
      </c>
      <c r="D343" t="s">
        <v>319</v>
      </c>
      <c r="E343">
        <v>10</v>
      </c>
      <c r="F343">
        <v>23990</v>
      </c>
      <c r="G343" s="30">
        <v>22847.619047619046</v>
      </c>
      <c r="H343" s="11">
        <v>46113</v>
      </c>
    </row>
    <row r="344" spans="1:8">
      <c r="A344" t="s">
        <v>378</v>
      </c>
      <c r="B344" t="s">
        <v>158</v>
      </c>
      <c r="C344" t="s">
        <v>89</v>
      </c>
      <c r="D344" t="s">
        <v>319</v>
      </c>
      <c r="E344">
        <v>3</v>
      </c>
      <c r="F344">
        <v>7197</v>
      </c>
      <c r="G344" s="30">
        <v>6854.2857142857138</v>
      </c>
      <c r="H344" s="11">
        <v>46114</v>
      </c>
    </row>
    <row r="345" spans="1:8">
      <c r="A345" t="s">
        <v>378</v>
      </c>
      <c r="B345" t="s">
        <v>158</v>
      </c>
      <c r="C345" t="s">
        <v>91</v>
      </c>
      <c r="D345" t="s">
        <v>319</v>
      </c>
      <c r="E345">
        <v>3</v>
      </c>
      <c r="F345">
        <v>7197</v>
      </c>
      <c r="G345" s="30">
        <v>6854.2857142857138</v>
      </c>
      <c r="H345" s="11">
        <v>46119</v>
      </c>
    </row>
    <row r="346" spans="1:8">
      <c r="A346" t="s">
        <v>378</v>
      </c>
      <c r="B346" t="s">
        <v>158</v>
      </c>
      <c r="C346" t="s">
        <v>95</v>
      </c>
      <c r="D346" t="s">
        <v>319</v>
      </c>
      <c r="E346">
        <v>4</v>
      </c>
      <c r="F346">
        <v>9596</v>
      </c>
      <c r="G346" s="30">
        <v>9139.0476190476184</v>
      </c>
      <c r="H346" s="11">
        <v>46121</v>
      </c>
    </row>
    <row r="347" spans="1:8">
      <c r="A347" t="s">
        <v>378</v>
      </c>
      <c r="B347" t="s">
        <v>158</v>
      </c>
      <c r="C347" t="s">
        <v>96</v>
      </c>
      <c r="D347" t="s">
        <v>319</v>
      </c>
      <c r="E347">
        <v>5</v>
      </c>
      <c r="F347">
        <v>11995</v>
      </c>
      <c r="G347" s="30">
        <v>11423.809523809523</v>
      </c>
      <c r="H347" s="11">
        <v>46122</v>
      </c>
    </row>
    <row r="348" spans="1:8">
      <c r="A348" t="s">
        <v>378</v>
      </c>
      <c r="B348" t="s">
        <v>158</v>
      </c>
      <c r="C348" t="s">
        <v>97</v>
      </c>
      <c r="D348" t="s">
        <v>319</v>
      </c>
      <c r="E348">
        <v>5</v>
      </c>
      <c r="F348">
        <v>11995</v>
      </c>
      <c r="G348" s="30">
        <v>11423.809523809523</v>
      </c>
      <c r="H348" s="11">
        <v>46126</v>
      </c>
    </row>
    <row r="349" spans="1:8">
      <c r="A349" t="s">
        <v>378</v>
      </c>
      <c r="B349" t="s">
        <v>158</v>
      </c>
      <c r="C349" t="s">
        <v>98</v>
      </c>
      <c r="D349" t="s">
        <v>319</v>
      </c>
      <c r="E349">
        <v>4</v>
      </c>
      <c r="F349">
        <v>9596</v>
      </c>
      <c r="G349" s="30">
        <v>9139.0476190476184</v>
      </c>
      <c r="H349" s="11">
        <v>46127</v>
      </c>
    </row>
    <row r="350" spans="1:8">
      <c r="A350" t="s">
        <v>378</v>
      </c>
      <c r="B350" t="s">
        <v>158</v>
      </c>
      <c r="C350" t="s">
        <v>100</v>
      </c>
      <c r="D350" t="s">
        <v>319</v>
      </c>
      <c r="E350">
        <v>3</v>
      </c>
      <c r="F350">
        <v>7197</v>
      </c>
      <c r="G350" s="30">
        <v>6854.2857142857138</v>
      </c>
      <c r="H350" s="11">
        <v>46128</v>
      </c>
    </row>
    <row r="351" spans="1:8">
      <c r="A351" t="s">
        <v>378</v>
      </c>
      <c r="B351" t="s">
        <v>158</v>
      </c>
      <c r="C351" t="s">
        <v>104</v>
      </c>
      <c r="D351" t="s">
        <v>319</v>
      </c>
      <c r="E351">
        <v>5</v>
      </c>
      <c r="F351">
        <v>11995</v>
      </c>
      <c r="G351" s="30">
        <v>11423.809523809523</v>
      </c>
      <c r="H351" s="11">
        <v>46132</v>
      </c>
    </row>
    <row r="352" spans="1:8">
      <c r="A352" t="s">
        <v>378</v>
      </c>
      <c r="B352" t="s">
        <v>158</v>
      </c>
      <c r="C352" t="s">
        <v>82</v>
      </c>
      <c r="D352" t="s">
        <v>319</v>
      </c>
      <c r="E352">
        <v>5</v>
      </c>
      <c r="F352">
        <v>11995</v>
      </c>
      <c r="G352" s="30">
        <v>11423.809523809523</v>
      </c>
      <c r="H352" s="11">
        <v>46133</v>
      </c>
    </row>
    <row r="353" spans="1:8">
      <c r="A353" t="s">
        <v>378</v>
      </c>
      <c r="B353" t="s">
        <v>158</v>
      </c>
      <c r="C353" t="s">
        <v>323</v>
      </c>
      <c r="D353" t="s">
        <v>319</v>
      </c>
      <c r="E353">
        <v>4</v>
      </c>
      <c r="F353">
        <v>9596</v>
      </c>
      <c r="G353" s="30">
        <v>9139.0476190476184</v>
      </c>
      <c r="H353" s="11">
        <v>46134</v>
      </c>
    </row>
    <row r="354" spans="1:8">
      <c r="A354" t="s">
        <v>378</v>
      </c>
      <c r="B354" t="s">
        <v>158</v>
      </c>
      <c r="C354" t="s">
        <v>340</v>
      </c>
      <c r="D354" t="s">
        <v>319</v>
      </c>
      <c r="E354">
        <v>4</v>
      </c>
      <c r="F354">
        <v>9596</v>
      </c>
      <c r="G354" s="30">
        <v>9139.0476190476184</v>
      </c>
      <c r="H354" s="11">
        <v>46135</v>
      </c>
    </row>
    <row r="355" spans="1:8">
      <c r="A355" t="s">
        <v>378</v>
      </c>
      <c r="B355" t="s">
        <v>158</v>
      </c>
      <c r="C355" t="s">
        <v>341</v>
      </c>
      <c r="D355" t="s">
        <v>319</v>
      </c>
      <c r="E355">
        <v>5</v>
      </c>
      <c r="F355">
        <v>11995</v>
      </c>
      <c r="G355" s="30">
        <v>11423.809523809523</v>
      </c>
      <c r="H355" s="11">
        <v>46136</v>
      </c>
    </row>
    <row r="356" spans="1:8">
      <c r="A356" t="s">
        <v>378</v>
      </c>
      <c r="B356" t="s">
        <v>158</v>
      </c>
      <c r="C356" t="s">
        <v>342</v>
      </c>
      <c r="D356" t="s">
        <v>319</v>
      </c>
      <c r="E356">
        <v>9</v>
      </c>
      <c r="F356">
        <v>21591</v>
      </c>
      <c r="G356" s="30">
        <v>20562.857142857141</v>
      </c>
      <c r="H356" s="11">
        <v>46139</v>
      </c>
    </row>
    <row r="357" spans="1:8">
      <c r="A357" t="s">
        <v>378</v>
      </c>
      <c r="B357" t="s">
        <v>158</v>
      </c>
      <c r="C357" t="s">
        <v>80</v>
      </c>
      <c r="D357" t="s">
        <v>319</v>
      </c>
      <c r="E357">
        <v>1</v>
      </c>
      <c r="F357">
        <v>2399</v>
      </c>
      <c r="G357" s="30">
        <v>2284.7619047619046</v>
      </c>
      <c r="H357" s="11">
        <v>46125</v>
      </c>
    </row>
    <row r="358" spans="1:8">
      <c r="A358" t="s">
        <v>378</v>
      </c>
      <c r="B358" t="s">
        <v>158</v>
      </c>
      <c r="C358" t="s">
        <v>102</v>
      </c>
      <c r="D358" t="s">
        <v>319</v>
      </c>
      <c r="E358">
        <v>1</v>
      </c>
      <c r="F358">
        <v>2399</v>
      </c>
      <c r="G358" s="30">
        <v>2284.7619047619046</v>
      </c>
      <c r="H358" s="11">
        <v>46129</v>
      </c>
    </row>
    <row r="359" spans="1:8">
      <c r="A359" t="s">
        <v>378</v>
      </c>
      <c r="B359" t="s">
        <v>158</v>
      </c>
      <c r="C359" t="s">
        <v>350</v>
      </c>
      <c r="D359" t="s">
        <v>319</v>
      </c>
      <c r="E359">
        <v>10</v>
      </c>
      <c r="F359">
        <v>23990</v>
      </c>
      <c r="G359" s="30">
        <v>22847.619047619046</v>
      </c>
      <c r="H359" s="11">
        <v>46140</v>
      </c>
    </row>
    <row r="360" spans="1:8">
      <c r="A360" t="s">
        <v>378</v>
      </c>
      <c r="B360" t="s">
        <v>158</v>
      </c>
      <c r="C360" t="s">
        <v>351</v>
      </c>
      <c r="D360" t="s">
        <v>319</v>
      </c>
      <c r="E360">
        <v>5</v>
      </c>
      <c r="F360">
        <v>11995</v>
      </c>
      <c r="G360" s="30">
        <v>11423.809523809523</v>
      </c>
      <c r="H360" s="11">
        <v>46141</v>
      </c>
    </row>
    <row r="361" spans="1:8">
      <c r="A361" t="s">
        <v>378</v>
      </c>
      <c r="B361" t="s">
        <v>158</v>
      </c>
      <c r="C361" t="s">
        <v>352</v>
      </c>
      <c r="D361" t="s">
        <v>319</v>
      </c>
      <c r="E361">
        <v>7</v>
      </c>
      <c r="F361">
        <v>16793</v>
      </c>
      <c r="G361" s="30">
        <v>15993.333333333332</v>
      </c>
      <c r="H361" s="11">
        <v>46142</v>
      </c>
    </row>
    <row r="362" spans="1:8">
      <c r="A362" t="s">
        <v>378</v>
      </c>
      <c r="B362" t="s">
        <v>214</v>
      </c>
      <c r="C362" t="s">
        <v>75</v>
      </c>
      <c r="D362" t="s">
        <v>319</v>
      </c>
      <c r="E362">
        <v>10</v>
      </c>
      <c r="F362">
        <v>29990</v>
      </c>
      <c r="G362" s="30">
        <v>28561.90476190476</v>
      </c>
      <c r="H362" s="11">
        <v>46113</v>
      </c>
    </row>
    <row r="363" spans="1:8">
      <c r="A363" t="s">
        <v>378</v>
      </c>
      <c r="B363" t="s">
        <v>214</v>
      </c>
      <c r="C363" t="s">
        <v>89</v>
      </c>
      <c r="D363" t="s">
        <v>319</v>
      </c>
      <c r="E363">
        <v>4</v>
      </c>
      <c r="F363">
        <v>11996</v>
      </c>
      <c r="G363" s="30">
        <v>11424.761904761905</v>
      </c>
      <c r="H363" s="11">
        <v>46114</v>
      </c>
    </row>
    <row r="364" spans="1:8">
      <c r="A364" t="s">
        <v>378</v>
      </c>
      <c r="B364" t="s">
        <v>214</v>
      </c>
      <c r="C364" t="s">
        <v>91</v>
      </c>
      <c r="D364" t="s">
        <v>319</v>
      </c>
      <c r="E364">
        <v>4</v>
      </c>
      <c r="F364">
        <v>11996</v>
      </c>
      <c r="G364" s="30">
        <v>11424.761904761905</v>
      </c>
      <c r="H364" s="11">
        <v>46119</v>
      </c>
    </row>
    <row r="365" spans="1:8">
      <c r="A365" t="s">
        <v>378</v>
      </c>
      <c r="B365" t="s">
        <v>214</v>
      </c>
      <c r="C365" t="s">
        <v>95</v>
      </c>
      <c r="D365" t="s">
        <v>319</v>
      </c>
      <c r="E365">
        <v>3</v>
      </c>
      <c r="F365">
        <v>8997</v>
      </c>
      <c r="G365" s="30">
        <v>8568.5714285714275</v>
      </c>
      <c r="H365" s="11">
        <v>46121</v>
      </c>
    </row>
    <row r="366" spans="1:8">
      <c r="A366" t="s">
        <v>378</v>
      </c>
      <c r="B366" t="s">
        <v>214</v>
      </c>
      <c r="C366" t="s">
        <v>96</v>
      </c>
      <c r="D366" t="s">
        <v>319</v>
      </c>
      <c r="E366">
        <v>6</v>
      </c>
      <c r="F366">
        <v>17994</v>
      </c>
      <c r="G366" s="30">
        <v>17137.142857142855</v>
      </c>
      <c r="H366" s="11">
        <v>46122</v>
      </c>
    </row>
    <row r="367" spans="1:8">
      <c r="A367" t="s">
        <v>378</v>
      </c>
      <c r="B367" t="s">
        <v>214</v>
      </c>
      <c r="C367" t="s">
        <v>97</v>
      </c>
      <c r="D367" t="s">
        <v>319</v>
      </c>
      <c r="E367">
        <v>5</v>
      </c>
      <c r="F367">
        <v>14995</v>
      </c>
      <c r="G367" s="30">
        <v>14280.95238095238</v>
      </c>
      <c r="H367" s="11">
        <v>46126</v>
      </c>
    </row>
    <row r="368" spans="1:8">
      <c r="A368" t="s">
        <v>378</v>
      </c>
      <c r="B368" t="s">
        <v>214</v>
      </c>
      <c r="C368" t="s">
        <v>98</v>
      </c>
      <c r="D368" t="s">
        <v>319</v>
      </c>
      <c r="E368">
        <v>7</v>
      </c>
      <c r="F368">
        <v>20993</v>
      </c>
      <c r="G368" s="30">
        <v>19993.333333333332</v>
      </c>
      <c r="H368" s="11">
        <v>46127</v>
      </c>
    </row>
    <row r="369" spans="1:8">
      <c r="A369" t="s">
        <v>378</v>
      </c>
      <c r="B369" t="s">
        <v>214</v>
      </c>
      <c r="C369" t="s">
        <v>100</v>
      </c>
      <c r="D369" t="s">
        <v>319</v>
      </c>
      <c r="E369">
        <v>4</v>
      </c>
      <c r="F369">
        <v>11996</v>
      </c>
      <c r="G369" s="30">
        <v>11424.761904761905</v>
      </c>
      <c r="H369" s="11">
        <v>46128</v>
      </c>
    </row>
    <row r="370" spans="1:8">
      <c r="A370" t="s">
        <v>378</v>
      </c>
      <c r="B370" t="s">
        <v>214</v>
      </c>
      <c r="C370" t="s">
        <v>104</v>
      </c>
      <c r="D370" t="s">
        <v>319</v>
      </c>
      <c r="E370">
        <v>8</v>
      </c>
      <c r="F370">
        <v>23992</v>
      </c>
      <c r="G370" s="30">
        <v>22849.523809523809</v>
      </c>
      <c r="H370" s="11">
        <v>46132</v>
      </c>
    </row>
    <row r="371" spans="1:8">
      <c r="A371" t="s">
        <v>378</v>
      </c>
      <c r="B371" t="s">
        <v>214</v>
      </c>
      <c r="C371" t="s">
        <v>82</v>
      </c>
      <c r="D371" t="s">
        <v>319</v>
      </c>
      <c r="E371">
        <v>10</v>
      </c>
      <c r="F371">
        <v>29990</v>
      </c>
      <c r="G371" s="30">
        <v>28561.90476190476</v>
      </c>
      <c r="H371" s="11">
        <v>46133</v>
      </c>
    </row>
    <row r="372" spans="1:8">
      <c r="A372" t="s">
        <v>378</v>
      </c>
      <c r="B372" t="s">
        <v>214</v>
      </c>
      <c r="C372" t="s">
        <v>323</v>
      </c>
      <c r="D372" t="s">
        <v>319</v>
      </c>
      <c r="E372">
        <v>7</v>
      </c>
      <c r="F372">
        <v>20993</v>
      </c>
      <c r="G372" s="30">
        <v>19993.333333333332</v>
      </c>
      <c r="H372" s="11">
        <v>46134</v>
      </c>
    </row>
    <row r="373" spans="1:8">
      <c r="A373" t="s">
        <v>378</v>
      </c>
      <c r="B373" t="s">
        <v>214</v>
      </c>
      <c r="C373" t="s">
        <v>340</v>
      </c>
      <c r="D373" t="s">
        <v>319</v>
      </c>
      <c r="E373">
        <v>3</v>
      </c>
      <c r="F373">
        <v>8997</v>
      </c>
      <c r="G373" s="30">
        <v>8568.5714285714275</v>
      </c>
      <c r="H373" s="11">
        <v>46135</v>
      </c>
    </row>
    <row r="374" spans="1:8">
      <c r="A374" t="s">
        <v>378</v>
      </c>
      <c r="B374" t="s">
        <v>214</v>
      </c>
      <c r="C374" t="s">
        <v>341</v>
      </c>
      <c r="D374" t="s">
        <v>319</v>
      </c>
      <c r="E374">
        <v>4</v>
      </c>
      <c r="F374">
        <v>11996</v>
      </c>
      <c r="G374" s="30">
        <v>11424.761904761905</v>
      </c>
      <c r="H374" s="11">
        <v>46136</v>
      </c>
    </row>
    <row r="375" spans="1:8">
      <c r="A375" t="s">
        <v>378</v>
      </c>
      <c r="B375" t="s">
        <v>214</v>
      </c>
      <c r="C375" t="s">
        <v>342</v>
      </c>
      <c r="D375" t="s">
        <v>319</v>
      </c>
      <c r="E375">
        <v>5</v>
      </c>
      <c r="F375">
        <v>14995</v>
      </c>
      <c r="G375" s="30">
        <v>14280.95238095238</v>
      </c>
      <c r="H375" s="11">
        <v>46139</v>
      </c>
    </row>
    <row r="376" spans="1:8">
      <c r="A376" t="s">
        <v>378</v>
      </c>
      <c r="B376" t="s">
        <v>214</v>
      </c>
      <c r="C376" t="s">
        <v>80</v>
      </c>
      <c r="D376" t="s">
        <v>319</v>
      </c>
      <c r="E376">
        <v>2</v>
      </c>
      <c r="F376">
        <v>5998</v>
      </c>
      <c r="G376" s="30">
        <v>5712.3809523809523</v>
      </c>
      <c r="H376" s="11">
        <v>46125</v>
      </c>
    </row>
    <row r="377" spans="1:8">
      <c r="A377" t="s">
        <v>378</v>
      </c>
      <c r="B377" t="s">
        <v>214</v>
      </c>
      <c r="C377" t="s">
        <v>93</v>
      </c>
      <c r="D377" t="s">
        <v>319</v>
      </c>
      <c r="E377">
        <v>7</v>
      </c>
      <c r="F377">
        <v>20993</v>
      </c>
      <c r="G377" s="30">
        <v>19993.333333333332</v>
      </c>
      <c r="H377" s="11">
        <v>46120</v>
      </c>
    </row>
    <row r="378" spans="1:8">
      <c r="A378" t="s">
        <v>378</v>
      </c>
      <c r="B378" t="s">
        <v>214</v>
      </c>
      <c r="C378" t="s">
        <v>102</v>
      </c>
      <c r="D378" t="s">
        <v>319</v>
      </c>
      <c r="E378">
        <v>6</v>
      </c>
      <c r="F378">
        <v>17994</v>
      </c>
      <c r="G378" s="30">
        <v>17137.142857142855</v>
      </c>
      <c r="H378" s="11">
        <v>46129</v>
      </c>
    </row>
    <row r="379" spans="1:8">
      <c r="A379" t="s">
        <v>378</v>
      </c>
      <c r="B379" t="s">
        <v>214</v>
      </c>
      <c r="C379" t="s">
        <v>344</v>
      </c>
      <c r="D379" t="s">
        <v>319</v>
      </c>
      <c r="E379">
        <v>2</v>
      </c>
      <c r="F379">
        <v>5998</v>
      </c>
      <c r="G379" s="30">
        <v>5712.3809523809523</v>
      </c>
      <c r="H379" s="11">
        <v>46137</v>
      </c>
    </row>
    <row r="380" spans="1:8">
      <c r="A380" t="s">
        <v>378</v>
      </c>
      <c r="B380" t="s">
        <v>214</v>
      </c>
      <c r="C380" t="s">
        <v>350</v>
      </c>
      <c r="D380" t="s">
        <v>319</v>
      </c>
      <c r="E380">
        <v>4</v>
      </c>
      <c r="F380">
        <v>11996</v>
      </c>
      <c r="G380" s="30">
        <v>11424.761904761905</v>
      </c>
      <c r="H380" s="11">
        <v>46140</v>
      </c>
    </row>
    <row r="381" spans="1:8">
      <c r="A381" t="s">
        <v>378</v>
      </c>
      <c r="B381" t="s">
        <v>214</v>
      </c>
      <c r="C381" t="s">
        <v>351</v>
      </c>
      <c r="D381" t="s">
        <v>319</v>
      </c>
      <c r="E381">
        <v>3</v>
      </c>
      <c r="F381">
        <v>8997</v>
      </c>
      <c r="G381" s="30">
        <v>8568.5714285714275</v>
      </c>
      <c r="H381" s="11">
        <v>46141</v>
      </c>
    </row>
    <row r="382" spans="1:8">
      <c r="A382" t="s">
        <v>378</v>
      </c>
      <c r="B382" t="s">
        <v>214</v>
      </c>
      <c r="C382" t="s">
        <v>352</v>
      </c>
      <c r="D382" t="s">
        <v>319</v>
      </c>
      <c r="E382">
        <v>6</v>
      </c>
      <c r="F382">
        <v>17994</v>
      </c>
      <c r="G382" s="30">
        <v>17137.142857142855</v>
      </c>
      <c r="H382" s="11">
        <v>46142</v>
      </c>
    </row>
    <row r="383" spans="1:8">
      <c r="A383" t="s">
        <v>378</v>
      </c>
      <c r="B383" t="s">
        <v>222</v>
      </c>
      <c r="C383" t="s">
        <v>75</v>
      </c>
      <c r="D383" t="s">
        <v>319</v>
      </c>
      <c r="E383">
        <v>16</v>
      </c>
      <c r="F383">
        <v>51200</v>
      </c>
      <c r="G383" s="30">
        <v>48761.904761904763</v>
      </c>
      <c r="H383" s="11">
        <v>46113</v>
      </c>
    </row>
    <row r="384" spans="1:8">
      <c r="A384" t="s">
        <v>378</v>
      </c>
      <c r="B384" t="s">
        <v>222</v>
      </c>
      <c r="C384" t="s">
        <v>89</v>
      </c>
      <c r="D384" t="s">
        <v>319</v>
      </c>
      <c r="E384">
        <v>6</v>
      </c>
      <c r="F384">
        <v>19200</v>
      </c>
      <c r="G384" s="30">
        <v>18285.714285714286</v>
      </c>
      <c r="H384" s="11">
        <v>46114</v>
      </c>
    </row>
    <row r="385" spans="1:8">
      <c r="A385" t="s">
        <v>378</v>
      </c>
      <c r="B385" t="s">
        <v>222</v>
      </c>
      <c r="C385" t="s">
        <v>91</v>
      </c>
      <c r="D385" t="s">
        <v>319</v>
      </c>
      <c r="E385">
        <v>5</v>
      </c>
      <c r="F385">
        <v>16000</v>
      </c>
      <c r="G385" s="30">
        <v>15238.095238095237</v>
      </c>
      <c r="H385" s="11">
        <v>46119</v>
      </c>
    </row>
    <row r="386" spans="1:8">
      <c r="A386" t="s">
        <v>378</v>
      </c>
      <c r="B386" t="s">
        <v>222</v>
      </c>
      <c r="C386" t="s">
        <v>95</v>
      </c>
      <c r="D386" t="s">
        <v>319</v>
      </c>
      <c r="E386">
        <v>3</v>
      </c>
      <c r="F386">
        <v>9600</v>
      </c>
      <c r="G386" s="30">
        <v>9142.8571428571431</v>
      </c>
      <c r="H386" s="11">
        <v>46121</v>
      </c>
    </row>
    <row r="387" spans="1:8">
      <c r="A387" t="s">
        <v>378</v>
      </c>
      <c r="B387" t="s">
        <v>222</v>
      </c>
      <c r="C387" t="s">
        <v>96</v>
      </c>
      <c r="D387" t="s">
        <v>319</v>
      </c>
      <c r="E387">
        <v>4</v>
      </c>
      <c r="F387">
        <v>12800</v>
      </c>
      <c r="G387" s="30">
        <v>12190.476190476191</v>
      </c>
      <c r="H387" s="11">
        <v>46122</v>
      </c>
    </row>
    <row r="388" spans="1:8">
      <c r="A388" t="s">
        <v>378</v>
      </c>
      <c r="B388" t="s">
        <v>222</v>
      </c>
      <c r="C388" t="s">
        <v>97</v>
      </c>
      <c r="D388" t="s">
        <v>319</v>
      </c>
      <c r="E388">
        <v>6</v>
      </c>
      <c r="F388">
        <v>19200</v>
      </c>
      <c r="G388" s="30">
        <v>18285.714285714286</v>
      </c>
      <c r="H388" s="11">
        <v>46126</v>
      </c>
    </row>
    <row r="389" spans="1:8">
      <c r="A389" t="s">
        <v>378</v>
      </c>
      <c r="B389" t="s">
        <v>222</v>
      </c>
      <c r="C389" t="s">
        <v>98</v>
      </c>
      <c r="D389" t="s">
        <v>319</v>
      </c>
      <c r="E389">
        <v>11</v>
      </c>
      <c r="F389">
        <v>35200</v>
      </c>
      <c r="G389" s="30">
        <v>33523.809523809519</v>
      </c>
      <c r="H389" s="11">
        <v>46127</v>
      </c>
    </row>
    <row r="390" spans="1:8">
      <c r="A390" t="s">
        <v>378</v>
      </c>
      <c r="B390" t="s">
        <v>222</v>
      </c>
      <c r="C390" t="s">
        <v>100</v>
      </c>
      <c r="D390" t="s">
        <v>319</v>
      </c>
      <c r="E390">
        <v>6</v>
      </c>
      <c r="F390">
        <v>19200</v>
      </c>
      <c r="G390" s="30">
        <v>18285.714285714286</v>
      </c>
      <c r="H390" s="11">
        <v>46128</v>
      </c>
    </row>
    <row r="391" spans="1:8">
      <c r="A391" t="s">
        <v>378</v>
      </c>
      <c r="B391" t="s">
        <v>222</v>
      </c>
      <c r="C391" t="s">
        <v>104</v>
      </c>
      <c r="D391" t="s">
        <v>319</v>
      </c>
      <c r="E391">
        <v>6</v>
      </c>
      <c r="F391">
        <v>19200</v>
      </c>
      <c r="G391" s="30">
        <v>18285.714285714286</v>
      </c>
      <c r="H391" s="11">
        <v>46132</v>
      </c>
    </row>
    <row r="392" spans="1:8">
      <c r="A392" t="s">
        <v>378</v>
      </c>
      <c r="B392" t="s">
        <v>222</v>
      </c>
      <c r="C392" t="s">
        <v>82</v>
      </c>
      <c r="D392" t="s">
        <v>319</v>
      </c>
      <c r="E392">
        <v>7</v>
      </c>
      <c r="F392">
        <v>22400</v>
      </c>
      <c r="G392" s="30">
        <v>21333.333333333332</v>
      </c>
      <c r="H392" s="11">
        <v>46133</v>
      </c>
    </row>
    <row r="393" spans="1:8">
      <c r="A393" t="s">
        <v>378</v>
      </c>
      <c r="B393" t="s">
        <v>222</v>
      </c>
      <c r="C393" t="s">
        <v>323</v>
      </c>
      <c r="D393" t="s">
        <v>319</v>
      </c>
      <c r="E393">
        <v>3</v>
      </c>
      <c r="F393">
        <v>9600</v>
      </c>
      <c r="G393" s="30">
        <v>9142.8571428571431</v>
      </c>
      <c r="H393" s="11">
        <v>46134</v>
      </c>
    </row>
    <row r="394" spans="1:8">
      <c r="A394" t="s">
        <v>378</v>
      </c>
      <c r="B394" t="s">
        <v>222</v>
      </c>
      <c r="C394" t="s">
        <v>340</v>
      </c>
      <c r="D394" t="s">
        <v>319</v>
      </c>
      <c r="E394">
        <v>1</v>
      </c>
      <c r="F394">
        <v>3200</v>
      </c>
      <c r="G394" s="30">
        <v>3047.6190476190477</v>
      </c>
      <c r="H394" s="11">
        <v>46135</v>
      </c>
    </row>
    <row r="395" spans="1:8">
      <c r="A395" t="s">
        <v>378</v>
      </c>
      <c r="B395" t="s">
        <v>222</v>
      </c>
      <c r="C395" t="s">
        <v>341</v>
      </c>
      <c r="D395" t="s">
        <v>319</v>
      </c>
      <c r="E395">
        <v>9</v>
      </c>
      <c r="F395">
        <v>28800</v>
      </c>
      <c r="G395" s="30">
        <v>27428.571428571428</v>
      </c>
      <c r="H395" s="11">
        <v>46136</v>
      </c>
    </row>
    <row r="396" spans="1:8">
      <c r="A396" t="s">
        <v>378</v>
      </c>
      <c r="B396" t="s">
        <v>222</v>
      </c>
      <c r="C396" t="s">
        <v>342</v>
      </c>
      <c r="D396" t="s">
        <v>319</v>
      </c>
      <c r="E396">
        <v>7</v>
      </c>
      <c r="F396">
        <v>22400</v>
      </c>
      <c r="G396" s="30">
        <v>21333.333333333332</v>
      </c>
      <c r="H396" s="11">
        <v>46139</v>
      </c>
    </row>
    <row r="397" spans="1:8">
      <c r="A397" t="s">
        <v>378</v>
      </c>
      <c r="B397" t="s">
        <v>222</v>
      </c>
      <c r="C397" t="s">
        <v>80</v>
      </c>
      <c r="D397" t="s">
        <v>319</v>
      </c>
      <c r="E397">
        <v>1</v>
      </c>
      <c r="F397">
        <v>3200</v>
      </c>
      <c r="G397" s="30">
        <v>3047.6190476190477</v>
      </c>
      <c r="H397" s="11">
        <v>46125</v>
      </c>
    </row>
    <row r="398" spans="1:8">
      <c r="A398" t="s">
        <v>378</v>
      </c>
      <c r="B398" t="s">
        <v>222</v>
      </c>
      <c r="C398" t="s">
        <v>93</v>
      </c>
      <c r="D398" t="s">
        <v>319</v>
      </c>
      <c r="E398">
        <v>4</v>
      </c>
      <c r="F398">
        <v>12800</v>
      </c>
      <c r="G398" s="30">
        <v>12190.476190476191</v>
      </c>
      <c r="H398" s="11">
        <v>46120</v>
      </c>
    </row>
    <row r="399" spans="1:8">
      <c r="A399" t="s">
        <v>378</v>
      </c>
      <c r="B399" t="s">
        <v>222</v>
      </c>
      <c r="C399" t="s">
        <v>102</v>
      </c>
      <c r="D399" t="s">
        <v>319</v>
      </c>
      <c r="E399">
        <v>4</v>
      </c>
      <c r="F399">
        <v>12800</v>
      </c>
      <c r="G399" s="30">
        <v>12190.476190476191</v>
      </c>
      <c r="H399" s="11">
        <v>46129</v>
      </c>
    </row>
    <row r="400" spans="1:8">
      <c r="A400" t="s">
        <v>378</v>
      </c>
      <c r="B400" t="s">
        <v>222</v>
      </c>
      <c r="C400" t="s">
        <v>350</v>
      </c>
      <c r="D400" t="s">
        <v>319</v>
      </c>
      <c r="E400">
        <v>1</v>
      </c>
      <c r="F400">
        <v>3200</v>
      </c>
      <c r="G400" s="30">
        <v>3047.6190476190477</v>
      </c>
      <c r="H400" s="11">
        <v>46140</v>
      </c>
    </row>
    <row r="401" spans="1:8">
      <c r="A401" t="s">
        <v>378</v>
      </c>
      <c r="B401" t="s">
        <v>222</v>
      </c>
      <c r="C401" t="s">
        <v>351</v>
      </c>
      <c r="D401" t="s">
        <v>319</v>
      </c>
      <c r="E401">
        <v>2</v>
      </c>
      <c r="F401">
        <v>6400</v>
      </c>
      <c r="G401" s="30">
        <v>6095.2380952380954</v>
      </c>
      <c r="H401" s="11">
        <v>46141</v>
      </c>
    </row>
    <row r="402" spans="1:8">
      <c r="A402" t="s">
        <v>378</v>
      </c>
      <c r="B402" t="s">
        <v>222</v>
      </c>
      <c r="C402" t="s">
        <v>352</v>
      </c>
      <c r="D402" t="s">
        <v>319</v>
      </c>
      <c r="E402">
        <v>11</v>
      </c>
      <c r="F402">
        <v>35200</v>
      </c>
      <c r="G402" s="30">
        <v>33523.809523809519</v>
      </c>
      <c r="H402" s="11">
        <v>46142</v>
      </c>
    </row>
    <row r="403" spans="1:8">
      <c r="A403" t="s">
        <v>378</v>
      </c>
      <c r="B403" t="s">
        <v>339</v>
      </c>
      <c r="C403" t="s">
        <v>340</v>
      </c>
      <c r="D403" t="s">
        <v>319</v>
      </c>
      <c r="E403">
        <v>1</v>
      </c>
      <c r="F403">
        <v>3300</v>
      </c>
      <c r="G403" s="30">
        <v>3142.8571428571427</v>
      </c>
      <c r="H403" s="11">
        <v>46135</v>
      </c>
    </row>
    <row r="404" spans="1:8">
      <c r="A404" t="s">
        <v>378</v>
      </c>
      <c r="B404" t="s">
        <v>226</v>
      </c>
      <c r="C404" t="s">
        <v>98</v>
      </c>
      <c r="D404" t="s">
        <v>319</v>
      </c>
      <c r="E404">
        <v>1</v>
      </c>
      <c r="F404">
        <v>2400</v>
      </c>
      <c r="G404" s="30">
        <v>2285.7142857142858</v>
      </c>
      <c r="H404" s="11">
        <v>46127</v>
      </c>
    </row>
    <row r="405" spans="1:8">
      <c r="A405" t="s">
        <v>378</v>
      </c>
      <c r="B405" t="s">
        <v>226</v>
      </c>
      <c r="C405" t="s">
        <v>104</v>
      </c>
      <c r="D405" t="s">
        <v>319</v>
      </c>
      <c r="E405">
        <v>1</v>
      </c>
      <c r="F405">
        <v>2400</v>
      </c>
      <c r="G405" s="30">
        <v>2285.7142857142858</v>
      </c>
      <c r="H405" s="11">
        <v>46132</v>
      </c>
    </row>
    <row r="406" spans="1:8">
      <c r="A406" t="s">
        <v>378</v>
      </c>
      <c r="B406" t="s">
        <v>226</v>
      </c>
      <c r="C406" t="s">
        <v>323</v>
      </c>
      <c r="D406" t="s">
        <v>319</v>
      </c>
      <c r="E406">
        <v>2</v>
      </c>
      <c r="F406">
        <v>4800</v>
      </c>
      <c r="G406" s="30">
        <v>4571.4285714285716</v>
      </c>
      <c r="H406" s="11">
        <v>46134</v>
      </c>
    </row>
    <row r="407" spans="1:8">
      <c r="A407" t="s">
        <v>378</v>
      </c>
      <c r="B407" t="s">
        <v>226</v>
      </c>
      <c r="C407" t="s">
        <v>80</v>
      </c>
      <c r="D407" t="s">
        <v>319</v>
      </c>
      <c r="E407">
        <v>1</v>
      </c>
      <c r="F407">
        <v>2400</v>
      </c>
      <c r="G407" s="30">
        <v>2285.7142857142858</v>
      </c>
      <c r="H407" s="11">
        <v>46125</v>
      </c>
    </row>
    <row r="408" spans="1:8">
      <c r="A408" t="s">
        <v>377</v>
      </c>
      <c r="B408" t="s">
        <v>55</v>
      </c>
      <c r="C408" t="s">
        <v>75</v>
      </c>
      <c r="D408" t="s">
        <v>319</v>
      </c>
      <c r="E408">
        <v>3</v>
      </c>
      <c r="F408">
        <v>597</v>
      </c>
      <c r="G408" s="30">
        <v>568.57142857142856</v>
      </c>
      <c r="H408" s="11">
        <v>46113</v>
      </c>
    </row>
    <row r="409" spans="1:8">
      <c r="A409" t="s">
        <v>377</v>
      </c>
      <c r="B409" t="s">
        <v>55</v>
      </c>
      <c r="C409" t="s">
        <v>89</v>
      </c>
      <c r="D409" t="s">
        <v>319</v>
      </c>
      <c r="E409">
        <v>3</v>
      </c>
      <c r="F409">
        <v>597</v>
      </c>
      <c r="G409" s="30">
        <v>568.57142857142856</v>
      </c>
      <c r="H409" s="11">
        <v>46114</v>
      </c>
    </row>
    <row r="410" spans="1:8">
      <c r="A410" t="s">
        <v>377</v>
      </c>
      <c r="B410" t="s">
        <v>55</v>
      </c>
      <c r="C410" t="s">
        <v>91</v>
      </c>
      <c r="D410" t="s">
        <v>319</v>
      </c>
      <c r="E410">
        <v>1</v>
      </c>
      <c r="F410">
        <v>199</v>
      </c>
      <c r="G410" s="30">
        <v>189.52380952380952</v>
      </c>
      <c r="H410" s="11">
        <v>46119</v>
      </c>
    </row>
    <row r="411" spans="1:8">
      <c r="A411" t="s">
        <v>377</v>
      </c>
      <c r="B411" t="s">
        <v>55</v>
      </c>
      <c r="C411" t="s">
        <v>95</v>
      </c>
      <c r="D411" t="s">
        <v>319</v>
      </c>
      <c r="E411">
        <v>2</v>
      </c>
      <c r="F411">
        <v>398</v>
      </c>
      <c r="G411" s="30">
        <v>379.04761904761904</v>
      </c>
      <c r="H411" s="11">
        <v>46121</v>
      </c>
    </row>
    <row r="412" spans="1:8">
      <c r="A412" t="s">
        <v>377</v>
      </c>
      <c r="B412" t="s">
        <v>55</v>
      </c>
      <c r="C412" t="s">
        <v>97</v>
      </c>
      <c r="D412" t="s">
        <v>319</v>
      </c>
      <c r="E412">
        <v>1</v>
      </c>
      <c r="F412">
        <v>199</v>
      </c>
      <c r="G412" s="30">
        <v>189.52380952380952</v>
      </c>
      <c r="H412" s="11">
        <v>46126</v>
      </c>
    </row>
    <row r="413" spans="1:8">
      <c r="A413" t="s">
        <v>377</v>
      </c>
      <c r="B413" t="s">
        <v>55</v>
      </c>
      <c r="C413" t="s">
        <v>98</v>
      </c>
      <c r="D413" t="s">
        <v>319</v>
      </c>
      <c r="E413">
        <v>3</v>
      </c>
      <c r="F413">
        <v>597</v>
      </c>
      <c r="G413" s="30">
        <v>568.57142857142856</v>
      </c>
      <c r="H413" s="11">
        <v>46127</v>
      </c>
    </row>
    <row r="414" spans="1:8">
      <c r="A414" t="s">
        <v>377</v>
      </c>
      <c r="B414" t="s">
        <v>55</v>
      </c>
      <c r="C414" t="s">
        <v>100</v>
      </c>
      <c r="D414" t="s">
        <v>319</v>
      </c>
      <c r="E414">
        <v>1</v>
      </c>
      <c r="F414">
        <v>199</v>
      </c>
      <c r="G414" s="30">
        <v>189.52380952380952</v>
      </c>
      <c r="H414" s="11">
        <v>46128</v>
      </c>
    </row>
    <row r="415" spans="1:8">
      <c r="A415" t="s">
        <v>377</v>
      </c>
      <c r="B415" t="s">
        <v>55</v>
      </c>
      <c r="C415" t="s">
        <v>104</v>
      </c>
      <c r="D415" t="s">
        <v>319</v>
      </c>
      <c r="E415">
        <v>2</v>
      </c>
      <c r="F415">
        <v>398</v>
      </c>
      <c r="G415" s="30">
        <v>379.04761904761904</v>
      </c>
      <c r="H415" s="11">
        <v>46132</v>
      </c>
    </row>
    <row r="416" spans="1:8">
      <c r="A416" t="s">
        <v>377</v>
      </c>
      <c r="B416" t="s">
        <v>55</v>
      </c>
      <c r="C416" t="s">
        <v>82</v>
      </c>
      <c r="D416" t="s">
        <v>319</v>
      </c>
      <c r="E416">
        <v>3</v>
      </c>
      <c r="F416">
        <v>597</v>
      </c>
      <c r="G416" s="30">
        <v>568.57142857142856</v>
      </c>
      <c r="H416" s="11">
        <v>46133</v>
      </c>
    </row>
    <row r="417" spans="1:8">
      <c r="A417" t="s">
        <v>377</v>
      </c>
      <c r="B417" t="s">
        <v>55</v>
      </c>
      <c r="C417" t="s">
        <v>323</v>
      </c>
      <c r="D417" t="s">
        <v>319</v>
      </c>
      <c r="E417">
        <v>1</v>
      </c>
      <c r="F417">
        <v>199</v>
      </c>
      <c r="G417" s="30">
        <v>189.52380952380952</v>
      </c>
      <c r="H417" s="11">
        <v>46134</v>
      </c>
    </row>
    <row r="418" spans="1:8">
      <c r="A418" t="s">
        <v>377</v>
      </c>
      <c r="B418" t="s">
        <v>55</v>
      </c>
      <c r="C418" t="s">
        <v>340</v>
      </c>
      <c r="D418" t="s">
        <v>319</v>
      </c>
      <c r="E418">
        <v>2</v>
      </c>
      <c r="F418">
        <v>398</v>
      </c>
      <c r="G418" s="30">
        <v>379.04761904761904</v>
      </c>
      <c r="H418" s="11">
        <v>46135</v>
      </c>
    </row>
    <row r="419" spans="1:8">
      <c r="A419" t="s">
        <v>377</v>
      </c>
      <c r="B419" t="s">
        <v>55</v>
      </c>
      <c r="C419" t="s">
        <v>341</v>
      </c>
      <c r="D419" t="s">
        <v>319</v>
      </c>
      <c r="E419">
        <v>3</v>
      </c>
      <c r="F419">
        <v>597</v>
      </c>
      <c r="G419" s="30">
        <v>568.57142857142856</v>
      </c>
      <c r="H419" s="11">
        <v>46136</v>
      </c>
    </row>
    <row r="420" spans="1:8" s="23" customFormat="1">
      <c r="A420" t="s">
        <v>377</v>
      </c>
      <c r="B420" t="s">
        <v>55</v>
      </c>
      <c r="C420" t="s">
        <v>342</v>
      </c>
      <c r="D420" t="s">
        <v>319</v>
      </c>
      <c r="E420">
        <v>4</v>
      </c>
      <c r="F420">
        <v>796</v>
      </c>
      <c r="G420" s="30">
        <v>758.09523809523807</v>
      </c>
      <c r="H420" s="11">
        <v>46139</v>
      </c>
    </row>
    <row r="421" spans="1:8" s="23" customFormat="1">
      <c r="A421" t="s">
        <v>377</v>
      </c>
      <c r="B421" t="s">
        <v>55</v>
      </c>
      <c r="C421" t="s">
        <v>102</v>
      </c>
      <c r="D421" t="s">
        <v>319</v>
      </c>
      <c r="E421">
        <v>1</v>
      </c>
      <c r="F421">
        <v>199</v>
      </c>
      <c r="G421" s="30">
        <v>189.52380952380952</v>
      </c>
      <c r="H421" s="11">
        <v>46129</v>
      </c>
    </row>
    <row r="422" spans="1:8" s="23" customFormat="1">
      <c r="A422" t="s">
        <v>377</v>
      </c>
      <c r="B422" t="s">
        <v>55</v>
      </c>
      <c r="C422" t="s">
        <v>350</v>
      </c>
      <c r="D422" t="s">
        <v>319</v>
      </c>
      <c r="E422">
        <v>4</v>
      </c>
      <c r="F422">
        <v>796</v>
      </c>
      <c r="G422" s="30">
        <v>758.09523809523807</v>
      </c>
      <c r="H422" s="11">
        <v>46140</v>
      </c>
    </row>
    <row r="423" spans="1:8" s="23" customFormat="1">
      <c r="A423" t="s">
        <v>377</v>
      </c>
      <c r="B423" t="s">
        <v>55</v>
      </c>
      <c r="C423" t="s">
        <v>351</v>
      </c>
      <c r="D423" t="s">
        <v>319</v>
      </c>
      <c r="E423">
        <v>3</v>
      </c>
      <c r="F423">
        <v>597</v>
      </c>
      <c r="G423" s="30">
        <v>568.57142857142856</v>
      </c>
      <c r="H423" s="11">
        <v>46141</v>
      </c>
    </row>
    <row r="424" spans="1:8" s="23" customFormat="1">
      <c r="A424" t="s">
        <v>377</v>
      </c>
      <c r="B424" t="s">
        <v>55</v>
      </c>
      <c r="C424" t="s">
        <v>352</v>
      </c>
      <c r="D424" t="s">
        <v>319</v>
      </c>
      <c r="E424">
        <v>5</v>
      </c>
      <c r="F424">
        <v>995</v>
      </c>
      <c r="G424" s="30">
        <v>947.61904761904759</v>
      </c>
      <c r="H424" s="11">
        <v>46142</v>
      </c>
    </row>
    <row r="425" spans="1:8" s="23" customFormat="1">
      <c r="A425" t="s">
        <v>377</v>
      </c>
      <c r="B425" t="s">
        <v>228</v>
      </c>
      <c r="C425" t="s">
        <v>75</v>
      </c>
      <c r="D425" t="s">
        <v>319</v>
      </c>
      <c r="E425">
        <v>1</v>
      </c>
      <c r="F425">
        <v>5199</v>
      </c>
      <c r="G425" s="30">
        <v>4951.4285714285716</v>
      </c>
      <c r="H425" s="11">
        <v>46113</v>
      </c>
    </row>
    <row r="426" spans="1:8" s="23" customFormat="1">
      <c r="A426" t="s">
        <v>379</v>
      </c>
      <c r="B426" t="s">
        <v>234</v>
      </c>
      <c r="C426" t="s">
        <v>75</v>
      </c>
      <c r="D426" t="s">
        <v>319</v>
      </c>
      <c r="E426">
        <v>1</v>
      </c>
      <c r="F426">
        <v>1099</v>
      </c>
      <c r="G426" s="30">
        <v>1046.6666666666665</v>
      </c>
      <c r="H426" s="11">
        <v>46113</v>
      </c>
    </row>
    <row r="427" spans="1:8" s="23" customFormat="1">
      <c r="A427" t="s">
        <v>379</v>
      </c>
      <c r="B427" t="s">
        <v>234</v>
      </c>
      <c r="C427" t="s">
        <v>95</v>
      </c>
      <c r="D427" t="s">
        <v>319</v>
      </c>
      <c r="E427">
        <v>1</v>
      </c>
      <c r="F427">
        <v>1099</v>
      </c>
      <c r="G427" s="30">
        <v>1046.6666666666665</v>
      </c>
      <c r="H427" s="11">
        <v>46121</v>
      </c>
    </row>
    <row r="428" spans="1:8" s="23" customFormat="1">
      <c r="A428" t="s">
        <v>379</v>
      </c>
      <c r="B428" t="s">
        <v>234</v>
      </c>
      <c r="C428" t="s">
        <v>97</v>
      </c>
      <c r="D428" t="s">
        <v>319</v>
      </c>
      <c r="E428">
        <v>1</v>
      </c>
      <c r="F428">
        <v>1099</v>
      </c>
      <c r="G428" s="30">
        <v>1046.6666666666665</v>
      </c>
      <c r="H428" s="11">
        <v>46126</v>
      </c>
    </row>
    <row r="429" spans="1:8" s="23" customFormat="1">
      <c r="A429" t="s">
        <v>379</v>
      </c>
      <c r="B429" t="s">
        <v>234</v>
      </c>
      <c r="C429" t="s">
        <v>104</v>
      </c>
      <c r="D429" t="s">
        <v>319</v>
      </c>
      <c r="E429">
        <v>1</v>
      </c>
      <c r="F429">
        <v>1099</v>
      </c>
      <c r="G429" s="30">
        <v>1046.6666666666665</v>
      </c>
      <c r="H429" s="11">
        <v>46132</v>
      </c>
    </row>
    <row r="430" spans="1:8" s="23" customFormat="1">
      <c r="A430" t="s">
        <v>379</v>
      </c>
      <c r="B430" t="s">
        <v>234</v>
      </c>
      <c r="C430" t="s">
        <v>341</v>
      </c>
      <c r="D430" t="s">
        <v>319</v>
      </c>
      <c r="E430">
        <v>1</v>
      </c>
      <c r="F430">
        <v>1099</v>
      </c>
      <c r="G430" s="30">
        <v>1046.6666666666665</v>
      </c>
      <c r="H430" s="11">
        <v>46136</v>
      </c>
    </row>
    <row r="431" spans="1:8" s="23" customFormat="1">
      <c r="A431" t="s">
        <v>379</v>
      </c>
      <c r="B431" t="s">
        <v>234</v>
      </c>
      <c r="C431" t="s">
        <v>80</v>
      </c>
      <c r="D431" t="s">
        <v>319</v>
      </c>
      <c r="E431">
        <v>1</v>
      </c>
      <c r="F431">
        <v>1099</v>
      </c>
      <c r="G431" s="30">
        <v>1046.6666666666665</v>
      </c>
      <c r="H431" s="11">
        <v>46125</v>
      </c>
    </row>
    <row r="432" spans="1:8" s="23" customFormat="1">
      <c r="A432" t="s">
        <v>379</v>
      </c>
      <c r="B432" t="s">
        <v>232</v>
      </c>
      <c r="C432" t="s">
        <v>96</v>
      </c>
      <c r="D432" t="s">
        <v>319</v>
      </c>
      <c r="E432">
        <v>2</v>
      </c>
      <c r="F432">
        <v>1798</v>
      </c>
      <c r="G432" s="30">
        <v>1712.3809523809523</v>
      </c>
      <c r="H432" s="11">
        <v>46122</v>
      </c>
    </row>
    <row r="433" spans="1:8" s="23" customFormat="1">
      <c r="A433" t="s">
        <v>379</v>
      </c>
      <c r="B433" t="s">
        <v>232</v>
      </c>
      <c r="C433" t="s">
        <v>97</v>
      </c>
      <c r="D433" t="s">
        <v>319</v>
      </c>
      <c r="E433">
        <v>2</v>
      </c>
      <c r="F433">
        <v>1798</v>
      </c>
      <c r="G433" s="30">
        <v>1712.3809523809523</v>
      </c>
      <c r="H433" s="11">
        <v>46126</v>
      </c>
    </row>
    <row r="434" spans="1:8" s="23" customFormat="1">
      <c r="A434" t="s">
        <v>379</v>
      </c>
      <c r="B434" t="s">
        <v>232</v>
      </c>
      <c r="C434" t="s">
        <v>82</v>
      </c>
      <c r="D434" t="s">
        <v>319</v>
      </c>
      <c r="E434">
        <v>1</v>
      </c>
      <c r="F434">
        <v>899</v>
      </c>
      <c r="G434" s="30">
        <v>856.19047619047615</v>
      </c>
      <c r="H434" s="11">
        <v>46133</v>
      </c>
    </row>
    <row r="435" spans="1:8" s="23" customFormat="1">
      <c r="A435" t="s">
        <v>379</v>
      </c>
      <c r="B435" t="s">
        <v>232</v>
      </c>
      <c r="C435" t="s">
        <v>323</v>
      </c>
      <c r="D435" t="s">
        <v>319</v>
      </c>
      <c r="E435">
        <v>1</v>
      </c>
      <c r="F435">
        <v>899</v>
      </c>
      <c r="G435" s="30">
        <v>856.19047619047615</v>
      </c>
      <c r="H435" s="11">
        <v>46134</v>
      </c>
    </row>
    <row r="436" spans="1:8" s="23" customFormat="1">
      <c r="A436" t="s">
        <v>379</v>
      </c>
      <c r="B436" t="s">
        <v>232</v>
      </c>
      <c r="C436" t="s">
        <v>341</v>
      </c>
      <c r="D436" t="s">
        <v>319</v>
      </c>
      <c r="E436">
        <v>2</v>
      </c>
      <c r="F436">
        <v>1798</v>
      </c>
      <c r="G436" s="30">
        <v>1712.3809523809523</v>
      </c>
      <c r="H436" s="11">
        <v>46136</v>
      </c>
    </row>
    <row r="437" spans="1:8" s="23" customFormat="1">
      <c r="A437" t="s">
        <v>379</v>
      </c>
      <c r="B437" t="s">
        <v>232</v>
      </c>
      <c r="C437" t="s">
        <v>80</v>
      </c>
      <c r="D437" t="s">
        <v>319</v>
      </c>
      <c r="E437">
        <v>1</v>
      </c>
      <c r="F437">
        <v>899</v>
      </c>
      <c r="G437" s="30">
        <v>856.19047619047615</v>
      </c>
      <c r="H437" s="11">
        <v>46125</v>
      </c>
    </row>
    <row r="438" spans="1:8" s="23" customFormat="1">
      <c r="A438" t="s">
        <v>379</v>
      </c>
      <c r="B438" t="s">
        <v>232</v>
      </c>
      <c r="C438" t="s">
        <v>93</v>
      </c>
      <c r="D438" t="s">
        <v>319</v>
      </c>
      <c r="E438">
        <v>1</v>
      </c>
      <c r="F438">
        <v>899</v>
      </c>
      <c r="G438" s="30">
        <v>856.19047619047615</v>
      </c>
      <c r="H438" s="11">
        <v>46120</v>
      </c>
    </row>
    <row r="439" spans="1:8" s="23" customFormat="1">
      <c r="A439" t="s">
        <v>381</v>
      </c>
      <c r="B439" t="s">
        <v>315</v>
      </c>
      <c r="C439" t="s">
        <v>75</v>
      </c>
      <c r="D439" t="s">
        <v>319</v>
      </c>
      <c r="E439">
        <v>1</v>
      </c>
      <c r="F439">
        <v>499</v>
      </c>
      <c r="G439" s="30">
        <v>475.23809523809524</v>
      </c>
      <c r="H439" s="11">
        <v>46113</v>
      </c>
    </row>
    <row r="440" spans="1:8" s="23" customFormat="1">
      <c r="A440" t="s">
        <v>381</v>
      </c>
      <c r="B440" t="s">
        <v>315</v>
      </c>
      <c r="C440" t="s">
        <v>82</v>
      </c>
      <c r="D440" t="s">
        <v>319</v>
      </c>
      <c r="E440">
        <v>1</v>
      </c>
      <c r="F440">
        <v>499</v>
      </c>
      <c r="G440" s="30">
        <v>475.23809523809524</v>
      </c>
      <c r="H440" s="11">
        <v>46133</v>
      </c>
    </row>
    <row r="441" spans="1:8" s="23" customFormat="1">
      <c r="A441" t="s">
        <v>381</v>
      </c>
      <c r="B441" t="s">
        <v>315</v>
      </c>
      <c r="C441" t="s">
        <v>350</v>
      </c>
      <c r="D441" t="s">
        <v>319</v>
      </c>
      <c r="E441">
        <v>1</v>
      </c>
      <c r="F441">
        <v>499</v>
      </c>
      <c r="G441" s="30">
        <v>475.23809523809524</v>
      </c>
      <c r="H441" s="11">
        <v>46140</v>
      </c>
    </row>
    <row r="442" spans="1:8" s="23" customFormat="1">
      <c r="A442" t="s">
        <v>381</v>
      </c>
      <c r="B442" t="s">
        <v>316</v>
      </c>
      <c r="C442" t="s">
        <v>75</v>
      </c>
      <c r="D442" t="s">
        <v>319</v>
      </c>
      <c r="E442">
        <v>6</v>
      </c>
      <c r="F442">
        <v>28728</v>
      </c>
      <c r="G442" s="30">
        <v>27360</v>
      </c>
      <c r="H442" s="11">
        <v>46113</v>
      </c>
    </row>
    <row r="443" spans="1:8" s="23" customFormat="1">
      <c r="A443" t="s">
        <v>381</v>
      </c>
      <c r="B443" t="s">
        <v>316</v>
      </c>
      <c r="C443" t="s">
        <v>89</v>
      </c>
      <c r="D443" t="s">
        <v>319</v>
      </c>
      <c r="E443">
        <v>2</v>
      </c>
      <c r="F443">
        <v>9576</v>
      </c>
      <c r="G443" s="30">
        <v>9120</v>
      </c>
      <c r="H443" s="11">
        <v>46114</v>
      </c>
    </row>
    <row r="444" spans="1:8" s="23" customFormat="1">
      <c r="A444" t="s">
        <v>381</v>
      </c>
      <c r="B444" t="s">
        <v>316</v>
      </c>
      <c r="C444" t="s">
        <v>91</v>
      </c>
      <c r="D444" t="s">
        <v>319</v>
      </c>
      <c r="E444">
        <v>3</v>
      </c>
      <c r="F444">
        <v>14364</v>
      </c>
      <c r="G444" s="30">
        <v>13680</v>
      </c>
      <c r="H444" s="11">
        <v>46119</v>
      </c>
    </row>
    <row r="445" spans="1:8" s="23" customFormat="1">
      <c r="A445" t="s">
        <v>381</v>
      </c>
      <c r="B445" t="s">
        <v>316</v>
      </c>
      <c r="C445" t="s">
        <v>95</v>
      </c>
      <c r="D445" t="s">
        <v>319</v>
      </c>
      <c r="E445">
        <v>2</v>
      </c>
      <c r="F445">
        <v>9576</v>
      </c>
      <c r="G445" s="30">
        <v>9120</v>
      </c>
      <c r="H445" s="11">
        <v>46121</v>
      </c>
    </row>
    <row r="446" spans="1:8" s="23" customFormat="1">
      <c r="A446" t="s">
        <v>381</v>
      </c>
      <c r="B446" t="s">
        <v>316</v>
      </c>
      <c r="C446" t="s">
        <v>96</v>
      </c>
      <c r="D446" t="s">
        <v>319</v>
      </c>
      <c r="E446">
        <v>1</v>
      </c>
      <c r="F446">
        <v>4788</v>
      </c>
      <c r="G446" s="30">
        <v>4560</v>
      </c>
      <c r="H446" s="11">
        <v>46122</v>
      </c>
    </row>
    <row r="447" spans="1:8" s="23" customFormat="1">
      <c r="A447" t="s">
        <v>381</v>
      </c>
      <c r="B447" t="s">
        <v>316</v>
      </c>
      <c r="C447" t="s">
        <v>97</v>
      </c>
      <c r="D447" t="s">
        <v>319</v>
      </c>
      <c r="E447">
        <v>2</v>
      </c>
      <c r="F447">
        <v>9576</v>
      </c>
      <c r="G447" s="30">
        <v>9120</v>
      </c>
      <c r="H447" s="11">
        <v>46126</v>
      </c>
    </row>
    <row r="448" spans="1:8" s="23" customFormat="1">
      <c r="A448" t="s">
        <v>381</v>
      </c>
      <c r="B448" t="s">
        <v>316</v>
      </c>
      <c r="C448" t="s">
        <v>98</v>
      </c>
      <c r="D448" t="s">
        <v>319</v>
      </c>
      <c r="E448">
        <v>2</v>
      </c>
      <c r="F448">
        <v>9576</v>
      </c>
      <c r="G448" s="30">
        <v>9120</v>
      </c>
      <c r="H448" s="11">
        <v>46127</v>
      </c>
    </row>
    <row r="449" spans="1:8" s="23" customFormat="1">
      <c r="A449" t="s">
        <v>381</v>
      </c>
      <c r="B449" t="s">
        <v>316</v>
      </c>
      <c r="C449" t="s">
        <v>104</v>
      </c>
      <c r="D449" t="s">
        <v>319</v>
      </c>
      <c r="E449">
        <v>4</v>
      </c>
      <c r="F449">
        <v>19152</v>
      </c>
      <c r="G449" s="30">
        <v>18240</v>
      </c>
      <c r="H449" s="11">
        <v>46132</v>
      </c>
    </row>
    <row r="450" spans="1:8" s="23" customFormat="1">
      <c r="A450" t="s">
        <v>381</v>
      </c>
      <c r="B450" t="s">
        <v>316</v>
      </c>
      <c r="C450" t="s">
        <v>82</v>
      </c>
      <c r="D450" t="s">
        <v>319</v>
      </c>
      <c r="E450">
        <v>1</v>
      </c>
      <c r="F450">
        <v>4788</v>
      </c>
      <c r="G450" s="30">
        <v>4560</v>
      </c>
      <c r="H450" s="11">
        <v>46133</v>
      </c>
    </row>
    <row r="451" spans="1:8" s="23" customFormat="1">
      <c r="A451" t="s">
        <v>381</v>
      </c>
      <c r="B451" t="s">
        <v>316</v>
      </c>
      <c r="C451" t="s">
        <v>323</v>
      </c>
      <c r="D451" t="s">
        <v>319</v>
      </c>
      <c r="E451">
        <v>1</v>
      </c>
      <c r="F451">
        <v>4788</v>
      </c>
      <c r="G451" s="30">
        <v>4560</v>
      </c>
      <c r="H451" s="11">
        <v>46134</v>
      </c>
    </row>
    <row r="452" spans="1:8" s="23" customFormat="1">
      <c r="A452" t="s">
        <v>381</v>
      </c>
      <c r="B452" t="s">
        <v>316</v>
      </c>
      <c r="C452" t="s">
        <v>340</v>
      </c>
      <c r="D452" t="s">
        <v>319</v>
      </c>
      <c r="E452">
        <v>1</v>
      </c>
      <c r="F452">
        <v>4788</v>
      </c>
      <c r="G452" s="30">
        <v>4560</v>
      </c>
      <c r="H452" s="11">
        <v>46135</v>
      </c>
    </row>
    <row r="453" spans="1:8" s="23" customFormat="1">
      <c r="A453" t="s">
        <v>381</v>
      </c>
      <c r="B453" t="s">
        <v>316</v>
      </c>
      <c r="C453" t="s">
        <v>341</v>
      </c>
      <c r="D453" t="s">
        <v>319</v>
      </c>
      <c r="E453">
        <v>1</v>
      </c>
      <c r="F453">
        <v>4788</v>
      </c>
      <c r="G453" s="30">
        <v>4560</v>
      </c>
      <c r="H453" s="11">
        <v>46136</v>
      </c>
    </row>
    <row r="454" spans="1:8" s="23" customFormat="1">
      <c r="A454" t="s">
        <v>381</v>
      </c>
      <c r="B454" t="s">
        <v>316</v>
      </c>
      <c r="C454" t="s">
        <v>80</v>
      </c>
      <c r="D454" t="s">
        <v>319</v>
      </c>
      <c r="E454">
        <v>4</v>
      </c>
      <c r="F454">
        <v>19152</v>
      </c>
      <c r="G454" s="30">
        <v>18240</v>
      </c>
      <c r="H454" s="11">
        <v>46125</v>
      </c>
    </row>
    <row r="455" spans="1:8" s="23" customFormat="1">
      <c r="A455" t="s">
        <v>381</v>
      </c>
      <c r="B455" t="s">
        <v>316</v>
      </c>
      <c r="C455" t="s">
        <v>93</v>
      </c>
      <c r="D455" t="s">
        <v>319</v>
      </c>
      <c r="E455">
        <v>1</v>
      </c>
      <c r="F455">
        <v>4788</v>
      </c>
      <c r="G455" s="30">
        <v>4560</v>
      </c>
      <c r="H455" s="11">
        <v>46120</v>
      </c>
    </row>
    <row r="456" spans="1:8" s="23" customFormat="1">
      <c r="A456" t="s">
        <v>381</v>
      </c>
      <c r="B456" t="s">
        <v>316</v>
      </c>
      <c r="C456" t="s">
        <v>102</v>
      </c>
      <c r="D456" t="s">
        <v>319</v>
      </c>
      <c r="E456">
        <v>1</v>
      </c>
      <c r="F456">
        <v>4788</v>
      </c>
      <c r="G456" s="30">
        <v>4560</v>
      </c>
      <c r="H456" s="11">
        <v>46129</v>
      </c>
    </row>
    <row r="457" spans="1:8" s="23" customFormat="1">
      <c r="A457" t="s">
        <v>381</v>
      </c>
      <c r="B457" t="s">
        <v>316</v>
      </c>
      <c r="C457" t="s">
        <v>317</v>
      </c>
      <c r="D457" t="s">
        <v>319</v>
      </c>
      <c r="E457">
        <v>1</v>
      </c>
      <c r="F457">
        <v>4788</v>
      </c>
      <c r="G457" s="30">
        <v>4560</v>
      </c>
      <c r="H457" s="11">
        <v>46116</v>
      </c>
    </row>
    <row r="458" spans="1:8" s="23" customFormat="1">
      <c r="A458" t="s">
        <v>381</v>
      </c>
      <c r="B458" t="s">
        <v>316</v>
      </c>
      <c r="C458" t="s">
        <v>318</v>
      </c>
      <c r="D458" t="s">
        <v>319</v>
      </c>
      <c r="E458">
        <v>1</v>
      </c>
      <c r="F458">
        <v>4788</v>
      </c>
      <c r="G458" s="30">
        <v>4560</v>
      </c>
      <c r="H458" s="11">
        <v>46123</v>
      </c>
    </row>
    <row r="459" spans="1:8" s="23" customFormat="1">
      <c r="A459" t="s">
        <v>381</v>
      </c>
      <c r="B459" t="s">
        <v>316</v>
      </c>
      <c r="C459" t="s">
        <v>350</v>
      </c>
      <c r="D459" t="s">
        <v>319</v>
      </c>
      <c r="E459">
        <v>1</v>
      </c>
      <c r="F459">
        <v>4788</v>
      </c>
      <c r="G459" s="30">
        <v>4560</v>
      </c>
      <c r="H459" s="11">
        <v>46140</v>
      </c>
    </row>
    <row r="460" spans="1:8" s="23" customFormat="1">
      <c r="A460" t="s">
        <v>381</v>
      </c>
      <c r="B460" t="s">
        <v>316</v>
      </c>
      <c r="C460" t="s">
        <v>351</v>
      </c>
      <c r="D460" t="s">
        <v>319</v>
      </c>
      <c r="E460">
        <v>2</v>
      </c>
      <c r="F460">
        <v>9576</v>
      </c>
      <c r="G460" s="30">
        <v>9120</v>
      </c>
      <c r="H460" s="11">
        <v>46141</v>
      </c>
    </row>
    <row r="461" spans="1:8" s="23" customFormat="1">
      <c r="A461" t="s">
        <v>381</v>
      </c>
      <c r="B461" t="s">
        <v>316</v>
      </c>
      <c r="C461" t="s">
        <v>352</v>
      </c>
      <c r="D461" t="s">
        <v>319</v>
      </c>
      <c r="E461">
        <v>1</v>
      </c>
      <c r="F461">
        <v>4788</v>
      </c>
      <c r="G461" s="30">
        <v>4560</v>
      </c>
      <c r="H461" s="11">
        <v>46142</v>
      </c>
    </row>
    <row r="462" spans="1:8" s="23" customFormat="1">
      <c r="A462" t="s">
        <v>377</v>
      </c>
      <c r="B462" t="s">
        <v>229</v>
      </c>
      <c r="C462" t="s">
        <v>75</v>
      </c>
      <c r="D462" t="s">
        <v>319</v>
      </c>
      <c r="E462">
        <v>2</v>
      </c>
      <c r="F462">
        <v>798</v>
      </c>
      <c r="G462" s="30">
        <v>760</v>
      </c>
      <c r="H462" s="11">
        <v>46113</v>
      </c>
    </row>
    <row r="463" spans="1:8" s="23" customFormat="1">
      <c r="A463" t="s">
        <v>377</v>
      </c>
      <c r="B463" t="s">
        <v>229</v>
      </c>
      <c r="C463" t="s">
        <v>89</v>
      </c>
      <c r="D463" t="s">
        <v>319</v>
      </c>
      <c r="E463">
        <v>1</v>
      </c>
      <c r="F463">
        <v>399</v>
      </c>
      <c r="G463" s="30">
        <v>380</v>
      </c>
      <c r="H463" s="11">
        <v>46114</v>
      </c>
    </row>
    <row r="464" spans="1:8" s="23" customFormat="1">
      <c r="A464" t="s">
        <v>377</v>
      </c>
      <c r="B464" t="s">
        <v>229</v>
      </c>
      <c r="C464" t="s">
        <v>91</v>
      </c>
      <c r="D464" t="s">
        <v>319</v>
      </c>
      <c r="E464">
        <v>1</v>
      </c>
      <c r="F464">
        <v>399</v>
      </c>
      <c r="G464" s="30">
        <v>380</v>
      </c>
      <c r="H464" s="11">
        <v>46119</v>
      </c>
    </row>
    <row r="465" spans="1:8" s="23" customFormat="1">
      <c r="A465" t="s">
        <v>377</v>
      </c>
      <c r="B465" t="s">
        <v>229</v>
      </c>
      <c r="C465" t="s">
        <v>95</v>
      </c>
      <c r="D465" t="s">
        <v>319</v>
      </c>
      <c r="E465">
        <v>1</v>
      </c>
      <c r="F465">
        <v>399</v>
      </c>
      <c r="G465" s="30">
        <v>380</v>
      </c>
      <c r="H465" s="11">
        <v>46121</v>
      </c>
    </row>
    <row r="466" spans="1:8" s="23" customFormat="1">
      <c r="A466" t="s">
        <v>377</v>
      </c>
      <c r="B466" t="s">
        <v>229</v>
      </c>
      <c r="C466" t="s">
        <v>97</v>
      </c>
      <c r="D466" t="s">
        <v>319</v>
      </c>
      <c r="E466">
        <v>2</v>
      </c>
      <c r="F466">
        <v>798</v>
      </c>
      <c r="G466" s="30">
        <v>760</v>
      </c>
      <c r="H466" s="11">
        <v>46126</v>
      </c>
    </row>
    <row r="467" spans="1:8" s="23" customFormat="1">
      <c r="A467" t="s">
        <v>377</v>
      </c>
      <c r="B467" t="s">
        <v>229</v>
      </c>
      <c r="C467" t="s">
        <v>98</v>
      </c>
      <c r="D467" t="s">
        <v>319</v>
      </c>
      <c r="E467">
        <v>1</v>
      </c>
      <c r="F467">
        <v>399</v>
      </c>
      <c r="G467" s="30">
        <v>380</v>
      </c>
      <c r="H467" s="11">
        <v>46127</v>
      </c>
    </row>
    <row r="468" spans="1:8" s="23" customFormat="1">
      <c r="A468" t="s">
        <v>377</v>
      </c>
      <c r="B468" t="s">
        <v>229</v>
      </c>
      <c r="C468" t="s">
        <v>100</v>
      </c>
      <c r="D468" t="s">
        <v>319</v>
      </c>
      <c r="E468">
        <v>2</v>
      </c>
      <c r="F468">
        <v>798</v>
      </c>
      <c r="G468" s="30">
        <v>760</v>
      </c>
      <c r="H468" s="11">
        <v>46128</v>
      </c>
    </row>
    <row r="469" spans="1:8" s="23" customFormat="1">
      <c r="A469" t="s">
        <v>377</v>
      </c>
      <c r="B469" t="s">
        <v>229</v>
      </c>
      <c r="C469" t="s">
        <v>82</v>
      </c>
      <c r="D469" t="s">
        <v>319</v>
      </c>
      <c r="E469">
        <v>2</v>
      </c>
      <c r="F469">
        <v>798</v>
      </c>
      <c r="G469" s="30">
        <v>760</v>
      </c>
      <c r="H469" s="11">
        <v>46133</v>
      </c>
    </row>
    <row r="470" spans="1:8" s="23" customFormat="1">
      <c r="A470" t="s">
        <v>377</v>
      </c>
      <c r="B470" t="s">
        <v>229</v>
      </c>
      <c r="C470" t="s">
        <v>341</v>
      </c>
      <c r="D470" t="s">
        <v>319</v>
      </c>
      <c r="E470">
        <v>1</v>
      </c>
      <c r="F470">
        <v>399</v>
      </c>
      <c r="G470" s="30">
        <v>380</v>
      </c>
      <c r="H470" s="11">
        <v>46136</v>
      </c>
    </row>
    <row r="471" spans="1:8" s="23" customFormat="1">
      <c r="A471" t="s">
        <v>377</v>
      </c>
      <c r="B471" t="s">
        <v>229</v>
      </c>
      <c r="C471" t="s">
        <v>342</v>
      </c>
      <c r="D471" t="s">
        <v>319</v>
      </c>
      <c r="E471">
        <v>2</v>
      </c>
      <c r="F471">
        <v>798</v>
      </c>
      <c r="G471" s="30">
        <v>760</v>
      </c>
      <c r="H471" s="11">
        <v>46139</v>
      </c>
    </row>
    <row r="472" spans="1:8" s="23" customFormat="1">
      <c r="A472" t="s">
        <v>377</v>
      </c>
      <c r="B472" t="s">
        <v>229</v>
      </c>
      <c r="C472" t="s">
        <v>102</v>
      </c>
      <c r="D472" t="s">
        <v>319</v>
      </c>
      <c r="E472">
        <v>3</v>
      </c>
      <c r="F472">
        <v>1197</v>
      </c>
      <c r="G472" s="30">
        <v>1140</v>
      </c>
      <c r="H472" s="11">
        <v>46129</v>
      </c>
    </row>
    <row r="473" spans="1:8" s="23" customFormat="1">
      <c r="A473" t="s">
        <v>377</v>
      </c>
      <c r="B473" t="s">
        <v>229</v>
      </c>
      <c r="C473" t="s">
        <v>350</v>
      </c>
      <c r="D473" t="s">
        <v>319</v>
      </c>
      <c r="E473">
        <v>3</v>
      </c>
      <c r="F473">
        <v>1197</v>
      </c>
      <c r="G473" s="30">
        <v>1140</v>
      </c>
      <c r="H473" s="11">
        <v>46140</v>
      </c>
    </row>
    <row r="474" spans="1:8" s="23" customFormat="1">
      <c r="A474" t="s">
        <v>377</v>
      </c>
      <c r="B474" t="s">
        <v>229</v>
      </c>
      <c r="C474" t="s">
        <v>351</v>
      </c>
      <c r="D474" t="s">
        <v>319</v>
      </c>
      <c r="E474">
        <v>1</v>
      </c>
      <c r="F474">
        <v>399</v>
      </c>
      <c r="G474" s="30">
        <v>380</v>
      </c>
      <c r="H474" s="11">
        <v>46141</v>
      </c>
    </row>
    <row r="475" spans="1:8" s="23" customFormat="1">
      <c r="A475" t="s">
        <v>377</v>
      </c>
      <c r="B475" t="s">
        <v>229</v>
      </c>
      <c r="C475" t="s">
        <v>352</v>
      </c>
      <c r="D475" t="s">
        <v>319</v>
      </c>
      <c r="E475">
        <v>1</v>
      </c>
      <c r="F475">
        <v>399</v>
      </c>
      <c r="G475" s="30">
        <v>380</v>
      </c>
      <c r="H475" s="11">
        <v>46142</v>
      </c>
    </row>
    <row r="476" spans="1:8" s="23" customFormat="1">
      <c r="A476" t="s">
        <v>379</v>
      </c>
      <c r="B476" t="s">
        <v>230</v>
      </c>
      <c r="C476" t="s">
        <v>100</v>
      </c>
      <c r="D476" t="s">
        <v>319</v>
      </c>
      <c r="E476">
        <v>2</v>
      </c>
      <c r="F476">
        <v>2398</v>
      </c>
      <c r="G476" s="30">
        <v>2283.8095238095239</v>
      </c>
      <c r="H476" s="11">
        <v>46128</v>
      </c>
    </row>
    <row r="477" spans="1:8" s="23" customFormat="1">
      <c r="A477" t="s">
        <v>379</v>
      </c>
      <c r="B477" t="s">
        <v>230</v>
      </c>
      <c r="C477" t="s">
        <v>104</v>
      </c>
      <c r="D477" t="s">
        <v>319</v>
      </c>
      <c r="E477">
        <v>2</v>
      </c>
      <c r="F477">
        <v>2398</v>
      </c>
      <c r="G477" s="30">
        <v>2283.8095238095239</v>
      </c>
      <c r="H477" s="11">
        <v>46132</v>
      </c>
    </row>
    <row r="478" spans="1:8" s="23" customFormat="1">
      <c r="A478" t="s">
        <v>379</v>
      </c>
      <c r="B478" t="s">
        <v>230</v>
      </c>
      <c r="C478" t="s">
        <v>82</v>
      </c>
      <c r="D478" t="s">
        <v>319</v>
      </c>
      <c r="E478">
        <v>1</v>
      </c>
      <c r="F478">
        <v>1199</v>
      </c>
      <c r="G478" s="30">
        <v>1141.9047619047619</v>
      </c>
      <c r="H478" s="11">
        <v>46133</v>
      </c>
    </row>
    <row r="479" spans="1:8" s="23" customFormat="1">
      <c r="A479" t="s">
        <v>379</v>
      </c>
      <c r="B479" t="s">
        <v>230</v>
      </c>
      <c r="C479" t="s">
        <v>323</v>
      </c>
      <c r="D479" t="s">
        <v>319</v>
      </c>
      <c r="E479">
        <v>2</v>
      </c>
      <c r="F479">
        <v>2398</v>
      </c>
      <c r="G479" s="30">
        <v>2283.8095238095239</v>
      </c>
      <c r="H479" s="11">
        <v>46134</v>
      </c>
    </row>
    <row r="480" spans="1:8" s="23" customFormat="1">
      <c r="A480" t="s">
        <v>379</v>
      </c>
      <c r="B480" t="s">
        <v>230</v>
      </c>
      <c r="C480" t="s">
        <v>340</v>
      </c>
      <c r="D480" t="s">
        <v>319</v>
      </c>
      <c r="E480">
        <v>3</v>
      </c>
      <c r="F480">
        <v>3597</v>
      </c>
      <c r="G480" s="30">
        <v>3425.7142857142858</v>
      </c>
      <c r="H480" s="11">
        <v>46135</v>
      </c>
    </row>
    <row r="481" spans="1:8" s="23" customFormat="1">
      <c r="A481" t="s">
        <v>379</v>
      </c>
      <c r="B481" t="s">
        <v>230</v>
      </c>
      <c r="C481" t="s">
        <v>341</v>
      </c>
      <c r="D481" t="s">
        <v>319</v>
      </c>
      <c r="E481">
        <v>2</v>
      </c>
      <c r="F481">
        <v>2398</v>
      </c>
      <c r="G481" s="30">
        <v>2283.8095238095239</v>
      </c>
      <c r="H481" s="11">
        <v>46136</v>
      </c>
    </row>
    <row r="482" spans="1:8" s="23" customFormat="1">
      <c r="A482" t="s">
        <v>379</v>
      </c>
      <c r="B482" t="s">
        <v>230</v>
      </c>
      <c r="C482" t="s">
        <v>342</v>
      </c>
      <c r="D482" t="s">
        <v>319</v>
      </c>
      <c r="E482">
        <v>1</v>
      </c>
      <c r="F482">
        <v>1199</v>
      </c>
      <c r="G482" s="30">
        <v>1141.9047619047619</v>
      </c>
      <c r="H482" s="11">
        <v>46139</v>
      </c>
    </row>
    <row r="483" spans="1:8" s="23" customFormat="1">
      <c r="A483" t="s">
        <v>379</v>
      </c>
      <c r="B483" t="s">
        <v>230</v>
      </c>
      <c r="C483" t="s">
        <v>102</v>
      </c>
      <c r="D483" t="s">
        <v>319</v>
      </c>
      <c r="E483">
        <v>2</v>
      </c>
      <c r="F483">
        <v>2398</v>
      </c>
      <c r="G483" s="30">
        <v>2283.8095238095239</v>
      </c>
      <c r="H483" s="11">
        <v>46129</v>
      </c>
    </row>
    <row r="484" spans="1:8" s="23" customFormat="1">
      <c r="A484" t="s">
        <v>379</v>
      </c>
      <c r="B484" t="s">
        <v>230</v>
      </c>
      <c r="C484" t="s">
        <v>350</v>
      </c>
      <c r="D484" t="s">
        <v>319</v>
      </c>
      <c r="E484">
        <v>1</v>
      </c>
      <c r="F484">
        <v>1199</v>
      </c>
      <c r="G484" s="30">
        <v>1141.9047619047619</v>
      </c>
      <c r="H484" s="11">
        <v>46140</v>
      </c>
    </row>
    <row r="485" spans="1:8" s="23" customFormat="1">
      <c r="A485" t="s">
        <v>379</v>
      </c>
      <c r="B485" t="s">
        <v>231</v>
      </c>
      <c r="C485" t="s">
        <v>97</v>
      </c>
      <c r="D485" t="s">
        <v>319</v>
      </c>
      <c r="E485">
        <v>2</v>
      </c>
      <c r="F485">
        <v>2198</v>
      </c>
      <c r="G485" s="30">
        <v>2093.333333333333</v>
      </c>
      <c r="H485" s="11">
        <v>46126</v>
      </c>
    </row>
    <row r="486" spans="1:8" s="23" customFormat="1">
      <c r="A486" t="s">
        <v>379</v>
      </c>
      <c r="B486" t="s">
        <v>231</v>
      </c>
      <c r="C486" t="s">
        <v>98</v>
      </c>
      <c r="D486" t="s">
        <v>319</v>
      </c>
      <c r="E486">
        <v>2</v>
      </c>
      <c r="F486">
        <v>2198</v>
      </c>
      <c r="G486" s="30">
        <v>2093.333333333333</v>
      </c>
      <c r="H486" s="11">
        <v>46127</v>
      </c>
    </row>
    <row r="487" spans="1:8" s="23" customFormat="1">
      <c r="A487" t="s">
        <v>379</v>
      </c>
      <c r="B487" t="s">
        <v>231</v>
      </c>
      <c r="C487" t="s">
        <v>104</v>
      </c>
      <c r="D487" t="s">
        <v>319</v>
      </c>
      <c r="E487">
        <v>2</v>
      </c>
      <c r="F487">
        <v>2198</v>
      </c>
      <c r="G487" s="30">
        <v>2093.333333333333</v>
      </c>
      <c r="H487" s="11">
        <v>46132</v>
      </c>
    </row>
    <row r="488" spans="1:8" s="23" customFormat="1">
      <c r="A488" t="s">
        <v>379</v>
      </c>
      <c r="B488" t="s">
        <v>231</v>
      </c>
      <c r="C488" t="s">
        <v>82</v>
      </c>
      <c r="D488" t="s">
        <v>319</v>
      </c>
      <c r="E488">
        <v>4</v>
      </c>
      <c r="F488">
        <v>4396</v>
      </c>
      <c r="G488" s="30">
        <v>4186.6666666666661</v>
      </c>
      <c r="H488" s="11">
        <v>46133</v>
      </c>
    </row>
    <row r="489" spans="1:8" s="23" customFormat="1">
      <c r="A489" t="s">
        <v>379</v>
      </c>
      <c r="B489" t="s">
        <v>231</v>
      </c>
      <c r="C489" t="s">
        <v>341</v>
      </c>
      <c r="D489" t="s">
        <v>319</v>
      </c>
      <c r="E489">
        <v>2</v>
      </c>
      <c r="F489">
        <v>2198</v>
      </c>
      <c r="G489" s="30">
        <v>2093.333333333333</v>
      </c>
      <c r="H489" s="11">
        <v>46136</v>
      </c>
    </row>
    <row r="490" spans="1:8" s="23" customFormat="1">
      <c r="A490" t="s">
        <v>379</v>
      </c>
      <c r="B490" t="s">
        <v>231</v>
      </c>
      <c r="C490" t="s">
        <v>342</v>
      </c>
      <c r="D490" t="s">
        <v>319</v>
      </c>
      <c r="E490">
        <v>1</v>
      </c>
      <c r="F490">
        <v>1099</v>
      </c>
      <c r="G490" s="30">
        <v>1046.6666666666665</v>
      </c>
      <c r="H490" s="11">
        <v>46139</v>
      </c>
    </row>
    <row r="491" spans="1:8" s="23" customFormat="1">
      <c r="A491" t="s">
        <v>379</v>
      </c>
      <c r="B491" t="s">
        <v>231</v>
      </c>
      <c r="C491" t="s">
        <v>102</v>
      </c>
      <c r="D491" t="s">
        <v>319</v>
      </c>
      <c r="E491">
        <v>1</v>
      </c>
      <c r="F491">
        <v>1099</v>
      </c>
      <c r="G491" s="30">
        <v>1046.6666666666665</v>
      </c>
      <c r="H491" s="11">
        <v>46129</v>
      </c>
    </row>
    <row r="492" spans="1:8" s="23" customFormat="1">
      <c r="A492" t="s">
        <v>379</v>
      </c>
      <c r="B492" t="s">
        <v>231</v>
      </c>
      <c r="C492" t="s">
        <v>350</v>
      </c>
      <c r="D492" t="s">
        <v>319</v>
      </c>
      <c r="E492">
        <v>1</v>
      </c>
      <c r="F492">
        <v>1099</v>
      </c>
      <c r="G492" s="30">
        <v>1046.6666666666665</v>
      </c>
      <c r="H492" s="11">
        <v>46140</v>
      </c>
    </row>
    <row r="493" spans="1:8" s="23" customFormat="1">
      <c r="A493" t="s">
        <v>379</v>
      </c>
      <c r="B493" t="s">
        <v>235</v>
      </c>
      <c r="C493" t="s">
        <v>91</v>
      </c>
      <c r="D493" t="s">
        <v>319</v>
      </c>
      <c r="E493">
        <v>1</v>
      </c>
      <c r="F493">
        <v>1780</v>
      </c>
      <c r="G493" s="30">
        <v>1695.2380952380952</v>
      </c>
      <c r="H493" s="11">
        <v>46119</v>
      </c>
    </row>
    <row r="494" spans="1:8" s="23" customFormat="1">
      <c r="A494" t="s">
        <v>379</v>
      </c>
      <c r="B494" t="s">
        <v>236</v>
      </c>
      <c r="C494" t="s">
        <v>93</v>
      </c>
      <c r="D494" t="s">
        <v>319</v>
      </c>
      <c r="E494">
        <v>1</v>
      </c>
      <c r="F494">
        <v>4999</v>
      </c>
      <c r="G494" s="30">
        <v>4760.9523809523807</v>
      </c>
      <c r="H494" s="11">
        <v>46120</v>
      </c>
    </row>
    <row r="495" spans="1:8" s="23" customFormat="1">
      <c r="A495" t="s">
        <v>377</v>
      </c>
      <c r="B495" t="s">
        <v>237</v>
      </c>
      <c r="C495" t="s">
        <v>91</v>
      </c>
      <c r="D495" t="s">
        <v>319</v>
      </c>
      <c r="E495">
        <v>1</v>
      </c>
      <c r="F495">
        <v>0</v>
      </c>
      <c r="G495" s="30">
        <v>0</v>
      </c>
      <c r="H495" s="11">
        <v>46119</v>
      </c>
    </row>
    <row r="496" spans="1:8" s="23" customFormat="1">
      <c r="A496" t="s">
        <v>377</v>
      </c>
      <c r="B496" t="s">
        <v>238</v>
      </c>
      <c r="C496" t="s">
        <v>93</v>
      </c>
      <c r="D496" t="s">
        <v>319</v>
      </c>
      <c r="E496">
        <v>1</v>
      </c>
      <c r="F496">
        <v>0</v>
      </c>
      <c r="G496" s="30">
        <v>0</v>
      </c>
      <c r="H496" s="11">
        <v>46120</v>
      </c>
    </row>
    <row r="497" spans="1:8" s="23" customFormat="1">
      <c r="A497">
        <v>0</v>
      </c>
      <c r="B497"/>
      <c r="C497"/>
      <c r="D497"/>
      <c r="E497"/>
      <c r="F497"/>
      <c r="G497" s="30">
        <v>0</v>
      </c>
      <c r="H497" s="11" t="s">
        <v>382</v>
      </c>
    </row>
    <row r="498" spans="1:8" s="23" customFormat="1">
      <c r="A498">
        <v>0</v>
      </c>
      <c r="B498"/>
      <c r="C498"/>
      <c r="D498"/>
      <c r="E498"/>
      <c r="F498"/>
      <c r="G498" s="30">
        <v>0</v>
      </c>
      <c r="H498" s="11" t="s">
        <v>382</v>
      </c>
    </row>
    <row r="499" spans="1:8" s="23" customFormat="1">
      <c r="A499">
        <v>0</v>
      </c>
      <c r="B499"/>
      <c r="C499"/>
      <c r="D499"/>
      <c r="E499"/>
      <c r="F499"/>
      <c r="G499" s="30">
        <v>0</v>
      </c>
      <c r="H499" s="11" t="s">
        <v>382</v>
      </c>
    </row>
    <row r="500" spans="1:8">
      <c r="A500">
        <v>0</v>
      </c>
      <c r="G500" s="30">
        <v>0</v>
      </c>
      <c r="H500" s="11" t="s">
        <v>382</v>
      </c>
    </row>
    <row r="501" spans="1:8">
      <c r="A501">
        <v>0</v>
      </c>
      <c r="G501" s="30">
        <v>0</v>
      </c>
      <c r="H501" s="11" t="s">
        <v>382</v>
      </c>
    </row>
    <row r="502" spans="1:8">
      <c r="A502">
        <v>0</v>
      </c>
      <c r="G502" s="30">
        <v>0</v>
      </c>
      <c r="H502" s="11" t="s">
        <v>382</v>
      </c>
    </row>
    <row r="503" spans="1:8">
      <c r="A503">
        <v>0</v>
      </c>
      <c r="G503" s="30">
        <v>0</v>
      </c>
      <c r="H503" s="11" t="s">
        <v>382</v>
      </c>
    </row>
    <row r="504" spans="1:8">
      <c r="A504">
        <v>0</v>
      </c>
      <c r="G504" s="30">
        <v>0</v>
      </c>
      <c r="H504" s="11" t="s">
        <v>382</v>
      </c>
    </row>
    <row r="505" spans="1:8">
      <c r="A505">
        <v>0</v>
      </c>
      <c r="G505" s="30">
        <v>0</v>
      </c>
      <c r="H505" s="11" t="s">
        <v>382</v>
      </c>
    </row>
    <row r="506" spans="1:8">
      <c r="A506">
        <v>0</v>
      </c>
      <c r="G506" s="30">
        <v>0</v>
      </c>
      <c r="H506" s="11" t="s">
        <v>382</v>
      </c>
    </row>
    <row r="507" spans="1:8">
      <c r="A507">
        <v>0</v>
      </c>
      <c r="G507" s="30">
        <v>0</v>
      </c>
      <c r="H507" s="11" t="s">
        <v>382</v>
      </c>
    </row>
    <row r="508" spans="1:8">
      <c r="A508">
        <v>0</v>
      </c>
      <c r="G508" s="30">
        <v>0</v>
      </c>
      <c r="H508" s="11" t="s">
        <v>382</v>
      </c>
    </row>
    <row r="509" spans="1:8">
      <c r="A509">
        <v>0</v>
      </c>
      <c r="G509" s="30">
        <v>0</v>
      </c>
      <c r="H509" s="11" t="s">
        <v>382</v>
      </c>
    </row>
    <row r="510" spans="1:8">
      <c r="A510">
        <v>0</v>
      </c>
      <c r="G510" s="30">
        <v>0</v>
      </c>
      <c r="H510" s="11" t="s">
        <v>382</v>
      </c>
    </row>
    <row r="511" spans="1:8">
      <c r="A511">
        <v>0</v>
      </c>
      <c r="G511" s="30">
        <v>0</v>
      </c>
      <c r="H511" s="11" t="s">
        <v>382</v>
      </c>
    </row>
    <row r="512" spans="1:8">
      <c r="A512">
        <v>0</v>
      </c>
      <c r="G512" s="30">
        <v>0</v>
      </c>
      <c r="H512" s="11" t="s">
        <v>382</v>
      </c>
    </row>
    <row r="513" spans="1:8">
      <c r="A513">
        <v>0</v>
      </c>
      <c r="G513" s="30">
        <v>0</v>
      </c>
      <c r="H513" s="11" t="s">
        <v>382</v>
      </c>
    </row>
    <row r="514" spans="1:8">
      <c r="A514">
        <v>0</v>
      </c>
      <c r="G514" s="30">
        <v>0</v>
      </c>
      <c r="H514" s="11" t="s">
        <v>382</v>
      </c>
    </row>
    <row r="515" spans="1:8">
      <c r="A515">
        <v>0</v>
      </c>
      <c r="G515" s="30">
        <v>0</v>
      </c>
      <c r="H515" s="11" t="s">
        <v>382</v>
      </c>
    </row>
    <row r="516" spans="1:8">
      <c r="A516">
        <v>0</v>
      </c>
      <c r="G516" s="30">
        <v>0</v>
      </c>
      <c r="H516" s="11" t="s">
        <v>382</v>
      </c>
    </row>
    <row r="517" spans="1:8">
      <c r="A517">
        <v>0</v>
      </c>
      <c r="G517" s="30">
        <v>0</v>
      </c>
      <c r="H517" s="11" t="s">
        <v>382</v>
      </c>
    </row>
    <row r="518" spans="1:8">
      <c r="A518">
        <v>0</v>
      </c>
      <c r="G518" s="30">
        <v>0</v>
      </c>
      <c r="H518" s="11" t="s">
        <v>382</v>
      </c>
    </row>
    <row r="519" spans="1:8">
      <c r="A519">
        <v>0</v>
      </c>
      <c r="G519" s="30">
        <v>0</v>
      </c>
      <c r="H519" s="11" t="s">
        <v>382</v>
      </c>
    </row>
    <row r="520" spans="1:8">
      <c r="A520">
        <v>0</v>
      </c>
      <c r="G520" s="30">
        <v>0</v>
      </c>
      <c r="H520" s="11" t="s">
        <v>382</v>
      </c>
    </row>
    <row r="521" spans="1:8">
      <c r="A521">
        <v>0</v>
      </c>
      <c r="G521" s="30">
        <v>0</v>
      </c>
      <c r="H521" s="11" t="s">
        <v>382</v>
      </c>
    </row>
    <row r="522" spans="1:8">
      <c r="A522">
        <v>0</v>
      </c>
      <c r="G522" s="30">
        <v>0</v>
      </c>
      <c r="H522" s="11" t="s">
        <v>382</v>
      </c>
    </row>
    <row r="523" spans="1:8">
      <c r="A523">
        <v>0</v>
      </c>
      <c r="G523" s="30">
        <v>0</v>
      </c>
      <c r="H523" s="11" t="s">
        <v>382</v>
      </c>
    </row>
    <row r="524" spans="1:8">
      <c r="A524">
        <v>0</v>
      </c>
      <c r="G524" s="30">
        <v>0</v>
      </c>
      <c r="H524" s="11" t="s">
        <v>382</v>
      </c>
    </row>
    <row r="525" spans="1:8">
      <c r="A525">
        <v>0</v>
      </c>
      <c r="G525" s="30">
        <v>0</v>
      </c>
      <c r="H525" s="11" t="s">
        <v>382</v>
      </c>
    </row>
    <row r="526" spans="1:8">
      <c r="A526">
        <v>0</v>
      </c>
      <c r="G526" s="30">
        <v>0</v>
      </c>
      <c r="H526" s="11" t="s">
        <v>382</v>
      </c>
    </row>
    <row r="527" spans="1:8">
      <c r="A527">
        <v>0</v>
      </c>
      <c r="G527" s="30">
        <v>0</v>
      </c>
      <c r="H527" s="11" t="s">
        <v>382</v>
      </c>
    </row>
    <row r="528" spans="1:8">
      <c r="A528">
        <v>0</v>
      </c>
      <c r="G528" s="30">
        <v>0</v>
      </c>
      <c r="H528" s="11" t="s">
        <v>382</v>
      </c>
    </row>
    <row r="529" spans="1:8">
      <c r="A529">
        <v>0</v>
      </c>
      <c r="G529" s="30">
        <v>0</v>
      </c>
      <c r="H529" s="11" t="s">
        <v>382</v>
      </c>
    </row>
    <row r="530" spans="1:8">
      <c r="A530">
        <v>0</v>
      </c>
      <c r="G530" s="30">
        <v>0</v>
      </c>
      <c r="H530" s="11" t="s">
        <v>382</v>
      </c>
    </row>
    <row r="531" spans="1:8">
      <c r="A531">
        <v>0</v>
      </c>
      <c r="G531" s="30">
        <v>0</v>
      </c>
      <c r="H531" s="11" t="s">
        <v>382</v>
      </c>
    </row>
    <row r="532" spans="1:8">
      <c r="A532">
        <v>0</v>
      </c>
      <c r="G532" s="30">
        <v>0</v>
      </c>
      <c r="H532" s="11" t="s">
        <v>382</v>
      </c>
    </row>
    <row r="533" spans="1:8">
      <c r="A533">
        <v>0</v>
      </c>
      <c r="G533" s="30">
        <v>0</v>
      </c>
      <c r="H533" s="11" t="s">
        <v>382</v>
      </c>
    </row>
    <row r="534" spans="1:8">
      <c r="A534">
        <v>0</v>
      </c>
      <c r="G534" s="30">
        <v>0</v>
      </c>
      <c r="H534" s="11" t="s">
        <v>382</v>
      </c>
    </row>
    <row r="535" spans="1:8">
      <c r="A535">
        <v>0</v>
      </c>
      <c r="G535" s="30">
        <v>0</v>
      </c>
      <c r="H535" s="11" t="s">
        <v>382</v>
      </c>
    </row>
    <row r="536" spans="1:8">
      <c r="A536">
        <v>0</v>
      </c>
      <c r="G536" s="30">
        <v>0</v>
      </c>
      <c r="H536" s="11" t="s">
        <v>382</v>
      </c>
    </row>
    <row r="537" spans="1:8">
      <c r="A537">
        <v>0</v>
      </c>
      <c r="G537" s="30">
        <v>0</v>
      </c>
      <c r="H537" s="11" t="s">
        <v>382</v>
      </c>
    </row>
    <row r="538" spans="1:8">
      <c r="A538">
        <v>0</v>
      </c>
      <c r="G538" s="30">
        <v>0</v>
      </c>
      <c r="H538" s="11" t="s">
        <v>382</v>
      </c>
    </row>
    <row r="539" spans="1:8">
      <c r="A539">
        <v>0</v>
      </c>
      <c r="G539" s="30">
        <v>0</v>
      </c>
      <c r="H539" s="11" t="s">
        <v>382</v>
      </c>
    </row>
    <row r="540" spans="1:8">
      <c r="A540">
        <v>0</v>
      </c>
      <c r="G540" s="30">
        <v>0</v>
      </c>
      <c r="H540" s="11" t="s">
        <v>382</v>
      </c>
    </row>
    <row r="541" spans="1:8">
      <c r="A541">
        <v>0</v>
      </c>
      <c r="G541" s="30">
        <v>0</v>
      </c>
      <c r="H541" s="11" t="s">
        <v>382</v>
      </c>
    </row>
    <row r="542" spans="1:8">
      <c r="A542">
        <v>0</v>
      </c>
      <c r="G542" s="30">
        <v>0</v>
      </c>
      <c r="H542" s="11" t="s">
        <v>382</v>
      </c>
    </row>
    <row r="543" spans="1:8">
      <c r="A543">
        <v>0</v>
      </c>
      <c r="G543" s="30">
        <v>0</v>
      </c>
      <c r="H543" s="11" t="s">
        <v>382</v>
      </c>
    </row>
    <row r="544" spans="1:8">
      <c r="A544">
        <v>0</v>
      </c>
      <c r="G544" s="30">
        <v>0</v>
      </c>
      <c r="H544" s="11" t="s">
        <v>382</v>
      </c>
    </row>
    <row r="545" spans="1:8">
      <c r="A545">
        <v>0</v>
      </c>
      <c r="G545" s="30">
        <v>0</v>
      </c>
      <c r="H545" s="11" t="s">
        <v>382</v>
      </c>
    </row>
    <row r="546" spans="1:8">
      <c r="A546">
        <v>0</v>
      </c>
      <c r="G546" s="30">
        <v>0</v>
      </c>
      <c r="H546" s="11" t="s">
        <v>382</v>
      </c>
    </row>
    <row r="547" spans="1:8">
      <c r="A547">
        <v>0</v>
      </c>
      <c r="G547" s="30">
        <v>0</v>
      </c>
      <c r="H547" s="11" t="s">
        <v>382</v>
      </c>
    </row>
    <row r="548" spans="1:8">
      <c r="A548">
        <v>0</v>
      </c>
      <c r="G548" s="30">
        <v>0</v>
      </c>
      <c r="H548" s="11" t="s">
        <v>382</v>
      </c>
    </row>
    <row r="549" spans="1:8">
      <c r="A549">
        <v>0</v>
      </c>
      <c r="G549" s="30">
        <v>0</v>
      </c>
      <c r="H549" s="11" t="s">
        <v>382</v>
      </c>
    </row>
    <row r="550" spans="1:8">
      <c r="A550">
        <v>0</v>
      </c>
      <c r="G550" s="30">
        <v>0</v>
      </c>
      <c r="H550" s="11" t="s">
        <v>382</v>
      </c>
    </row>
    <row r="551" spans="1:8">
      <c r="A551">
        <v>0</v>
      </c>
      <c r="G551" s="30">
        <v>0</v>
      </c>
      <c r="H551" s="11" t="s">
        <v>382</v>
      </c>
    </row>
    <row r="552" spans="1:8">
      <c r="A552">
        <v>0</v>
      </c>
      <c r="G552" s="30">
        <v>0</v>
      </c>
      <c r="H552" s="11" t="s">
        <v>382</v>
      </c>
    </row>
    <row r="553" spans="1:8">
      <c r="A553">
        <v>0</v>
      </c>
      <c r="G553" s="30">
        <v>0</v>
      </c>
      <c r="H553" s="11" t="s">
        <v>382</v>
      </c>
    </row>
    <row r="554" spans="1:8">
      <c r="A554">
        <v>0</v>
      </c>
      <c r="G554" s="30">
        <v>0</v>
      </c>
      <c r="H554" s="11" t="s">
        <v>382</v>
      </c>
    </row>
    <row r="555" spans="1:8">
      <c r="A555">
        <v>0</v>
      </c>
      <c r="G555" s="30">
        <v>0</v>
      </c>
      <c r="H555" s="11" t="s">
        <v>382</v>
      </c>
    </row>
    <row r="556" spans="1:8">
      <c r="A556">
        <v>0</v>
      </c>
      <c r="G556" s="30">
        <v>0</v>
      </c>
      <c r="H556" s="11" t="s">
        <v>382</v>
      </c>
    </row>
    <row r="557" spans="1:8">
      <c r="A557">
        <v>0</v>
      </c>
      <c r="G557" s="30">
        <v>0</v>
      </c>
      <c r="H557" s="11" t="s">
        <v>382</v>
      </c>
    </row>
    <row r="558" spans="1:8">
      <c r="A558">
        <v>0</v>
      </c>
      <c r="G558" s="30">
        <v>0</v>
      </c>
      <c r="H558" s="11" t="s">
        <v>382</v>
      </c>
    </row>
    <row r="559" spans="1:8">
      <c r="A559">
        <v>0</v>
      </c>
      <c r="G559" s="30">
        <v>0</v>
      </c>
      <c r="H559" s="11" t="s">
        <v>382</v>
      </c>
    </row>
    <row r="560" spans="1:8">
      <c r="A560">
        <v>0</v>
      </c>
      <c r="G560" s="30">
        <v>0</v>
      </c>
      <c r="H560" s="11" t="s">
        <v>382</v>
      </c>
    </row>
    <row r="561" spans="1:8">
      <c r="A561">
        <v>0</v>
      </c>
      <c r="G561" s="30">
        <v>0</v>
      </c>
      <c r="H561" s="11" t="s">
        <v>382</v>
      </c>
    </row>
    <row r="562" spans="1:8">
      <c r="A562">
        <v>0</v>
      </c>
      <c r="G562" s="30">
        <v>0</v>
      </c>
      <c r="H562" s="11" t="s">
        <v>382</v>
      </c>
    </row>
    <row r="563" spans="1:8">
      <c r="A563">
        <v>0</v>
      </c>
      <c r="G563" s="30">
        <v>0</v>
      </c>
      <c r="H563" s="11" t="s">
        <v>382</v>
      </c>
    </row>
    <row r="564" spans="1:8">
      <c r="A564">
        <v>0</v>
      </c>
      <c r="G564" s="30">
        <v>0</v>
      </c>
      <c r="H564" s="11" t="s">
        <v>382</v>
      </c>
    </row>
    <row r="565" spans="1:8">
      <c r="A565">
        <v>0</v>
      </c>
      <c r="G565" s="30">
        <v>0</v>
      </c>
      <c r="H565" s="11" t="s">
        <v>382</v>
      </c>
    </row>
    <row r="566" spans="1:8">
      <c r="A566">
        <v>0</v>
      </c>
      <c r="G566" s="30">
        <v>0</v>
      </c>
      <c r="H566" s="11" t="s">
        <v>382</v>
      </c>
    </row>
    <row r="567" spans="1:8">
      <c r="A567">
        <v>0</v>
      </c>
      <c r="G567" s="30">
        <v>0</v>
      </c>
      <c r="H567" s="11" t="s">
        <v>382</v>
      </c>
    </row>
    <row r="568" spans="1:8">
      <c r="A568">
        <v>0</v>
      </c>
      <c r="G568" s="30">
        <v>0</v>
      </c>
      <c r="H568" s="11" t="s">
        <v>382</v>
      </c>
    </row>
    <row r="569" spans="1:8">
      <c r="A569">
        <v>0</v>
      </c>
      <c r="G569" s="30">
        <v>0</v>
      </c>
      <c r="H569" s="11" t="s">
        <v>382</v>
      </c>
    </row>
    <row r="570" spans="1:8">
      <c r="A570">
        <v>0</v>
      </c>
      <c r="G570" s="30">
        <v>0</v>
      </c>
      <c r="H570" s="11" t="s">
        <v>382</v>
      </c>
    </row>
    <row r="571" spans="1:8">
      <c r="A571">
        <v>0</v>
      </c>
      <c r="G571" s="30">
        <v>0</v>
      </c>
      <c r="H571" s="11" t="s">
        <v>382</v>
      </c>
    </row>
    <row r="572" spans="1:8">
      <c r="A572">
        <v>0</v>
      </c>
      <c r="G572" s="30">
        <v>0</v>
      </c>
      <c r="H572" s="11" t="s">
        <v>382</v>
      </c>
    </row>
    <row r="573" spans="1:8">
      <c r="A573">
        <v>0</v>
      </c>
      <c r="G573" s="30">
        <v>0</v>
      </c>
      <c r="H573" s="11" t="s">
        <v>382</v>
      </c>
    </row>
    <row r="574" spans="1:8">
      <c r="A574">
        <v>0</v>
      </c>
      <c r="G574" s="30">
        <v>0</v>
      </c>
      <c r="H574" s="11" t="s">
        <v>382</v>
      </c>
    </row>
    <row r="575" spans="1:8">
      <c r="A575">
        <v>0</v>
      </c>
      <c r="G575" s="30">
        <v>0</v>
      </c>
      <c r="H575" s="11" t="s">
        <v>382</v>
      </c>
    </row>
    <row r="576" spans="1:8">
      <c r="A576">
        <v>0</v>
      </c>
      <c r="G576" s="30">
        <v>0</v>
      </c>
      <c r="H576" s="11" t="s">
        <v>382</v>
      </c>
    </row>
    <row r="577" spans="1:8">
      <c r="A577">
        <v>0</v>
      </c>
      <c r="G577" s="30">
        <v>0</v>
      </c>
      <c r="H577" s="11" t="s">
        <v>382</v>
      </c>
    </row>
    <row r="578" spans="1:8">
      <c r="A578">
        <v>0</v>
      </c>
      <c r="G578" s="30">
        <v>0</v>
      </c>
      <c r="H578" s="11" t="s">
        <v>382</v>
      </c>
    </row>
    <row r="579" spans="1:8">
      <c r="A579">
        <v>0</v>
      </c>
      <c r="G579" s="30">
        <v>0</v>
      </c>
      <c r="H579" s="11" t="s">
        <v>382</v>
      </c>
    </row>
    <row r="580" spans="1:8">
      <c r="A580">
        <v>0</v>
      </c>
      <c r="G580" s="30">
        <v>0</v>
      </c>
      <c r="H580" s="11" t="s">
        <v>382</v>
      </c>
    </row>
    <row r="581" spans="1:8">
      <c r="A581">
        <v>0</v>
      </c>
      <c r="G581" s="30">
        <v>0</v>
      </c>
      <c r="H581" s="11" t="s">
        <v>382</v>
      </c>
    </row>
    <row r="582" spans="1:8">
      <c r="A582">
        <v>0</v>
      </c>
      <c r="G582" s="30">
        <v>0</v>
      </c>
      <c r="H582" s="11" t="s">
        <v>382</v>
      </c>
    </row>
    <row r="583" spans="1:8">
      <c r="A583">
        <v>0</v>
      </c>
      <c r="G583" s="30">
        <v>0</v>
      </c>
      <c r="H583" s="11" t="s">
        <v>382</v>
      </c>
    </row>
    <row r="584" spans="1:8">
      <c r="A584">
        <v>0</v>
      </c>
      <c r="G584" s="30">
        <v>0</v>
      </c>
      <c r="H584" s="11" t="s">
        <v>382</v>
      </c>
    </row>
    <row r="585" spans="1:8">
      <c r="A585">
        <v>0</v>
      </c>
      <c r="G585" s="30">
        <v>0</v>
      </c>
      <c r="H585" s="11" t="s">
        <v>382</v>
      </c>
    </row>
    <row r="586" spans="1:8">
      <c r="A586">
        <v>0</v>
      </c>
      <c r="G586" s="30">
        <v>0</v>
      </c>
      <c r="H586" s="11" t="s">
        <v>382</v>
      </c>
    </row>
    <row r="587" spans="1:8">
      <c r="A587">
        <v>0</v>
      </c>
      <c r="G587" s="30">
        <v>0</v>
      </c>
      <c r="H587" s="11" t="s">
        <v>382</v>
      </c>
    </row>
    <row r="588" spans="1:8">
      <c r="A588">
        <v>0</v>
      </c>
      <c r="G588" s="30">
        <v>0</v>
      </c>
      <c r="H588" s="11" t="s">
        <v>382</v>
      </c>
    </row>
    <row r="589" spans="1:8">
      <c r="A589">
        <v>0</v>
      </c>
      <c r="G589" s="30">
        <v>0</v>
      </c>
      <c r="H589" s="11" t="s">
        <v>382</v>
      </c>
    </row>
    <row r="590" spans="1:8">
      <c r="A590">
        <v>0</v>
      </c>
      <c r="G590" s="30">
        <v>0</v>
      </c>
      <c r="H590" s="11" t="s">
        <v>382</v>
      </c>
    </row>
    <row r="591" spans="1:8">
      <c r="A591">
        <v>0</v>
      </c>
      <c r="G591" s="30">
        <v>0</v>
      </c>
      <c r="H591" s="11" t="s">
        <v>382</v>
      </c>
    </row>
    <row r="592" spans="1:8">
      <c r="A592">
        <v>0</v>
      </c>
      <c r="G592" s="30">
        <v>0</v>
      </c>
      <c r="H592" s="11" t="s">
        <v>382</v>
      </c>
    </row>
    <row r="593" spans="1:8">
      <c r="A593">
        <v>0</v>
      </c>
      <c r="G593" s="30">
        <v>0</v>
      </c>
      <c r="H593" s="11" t="s">
        <v>382</v>
      </c>
    </row>
    <row r="594" spans="1:8">
      <c r="A594">
        <v>0</v>
      </c>
      <c r="G594" s="30">
        <v>0</v>
      </c>
      <c r="H594" s="11" t="s">
        <v>382</v>
      </c>
    </row>
    <row r="595" spans="1:8">
      <c r="A595">
        <v>0</v>
      </c>
      <c r="G595" s="30">
        <v>0</v>
      </c>
      <c r="H595" s="11" t="s">
        <v>382</v>
      </c>
    </row>
    <row r="596" spans="1:8">
      <c r="A596">
        <v>0</v>
      </c>
      <c r="G596" s="30">
        <v>0</v>
      </c>
      <c r="H596" s="11" t="s">
        <v>382</v>
      </c>
    </row>
    <row r="597" spans="1:8">
      <c r="A597">
        <v>0</v>
      </c>
      <c r="G597" s="30">
        <v>0</v>
      </c>
      <c r="H597" s="11" t="s">
        <v>382</v>
      </c>
    </row>
    <row r="598" spans="1:8">
      <c r="A598">
        <v>0</v>
      </c>
      <c r="G598" s="30">
        <v>0</v>
      </c>
      <c r="H598" s="11" t="s">
        <v>382</v>
      </c>
    </row>
    <row r="599" spans="1:8">
      <c r="A599">
        <v>0</v>
      </c>
      <c r="G599" s="30">
        <v>0</v>
      </c>
      <c r="H599" s="11" t="s">
        <v>382</v>
      </c>
    </row>
    <row r="600" spans="1:8">
      <c r="A600">
        <v>0</v>
      </c>
      <c r="G600" s="30">
        <v>0</v>
      </c>
      <c r="H600" s="11" t="s">
        <v>382</v>
      </c>
    </row>
    <row r="601" spans="1:8">
      <c r="A601">
        <v>0</v>
      </c>
      <c r="G601" s="30">
        <v>0</v>
      </c>
      <c r="H601" s="11" t="s">
        <v>382</v>
      </c>
    </row>
    <row r="602" spans="1:8">
      <c r="A602">
        <v>0</v>
      </c>
      <c r="G602" s="30">
        <v>0</v>
      </c>
      <c r="H602" s="11" t="s">
        <v>382</v>
      </c>
    </row>
    <row r="603" spans="1:8">
      <c r="A603">
        <v>0</v>
      </c>
      <c r="G603" s="30">
        <v>0</v>
      </c>
      <c r="H603" s="11" t="s">
        <v>382</v>
      </c>
    </row>
    <row r="604" spans="1:8">
      <c r="A604">
        <v>0</v>
      </c>
      <c r="G604" s="30">
        <v>0</v>
      </c>
      <c r="H604" s="11" t="s">
        <v>382</v>
      </c>
    </row>
    <row r="605" spans="1:8">
      <c r="A605">
        <v>0</v>
      </c>
      <c r="G605" s="30">
        <v>0</v>
      </c>
      <c r="H605" s="11" t="s">
        <v>382</v>
      </c>
    </row>
    <row r="606" spans="1:8">
      <c r="A606">
        <v>0</v>
      </c>
      <c r="G606" s="30">
        <v>0</v>
      </c>
      <c r="H606" s="11" t="s">
        <v>382</v>
      </c>
    </row>
    <row r="607" spans="1:8">
      <c r="A607">
        <v>0</v>
      </c>
      <c r="G607" s="30">
        <v>0</v>
      </c>
      <c r="H607" s="11" t="s">
        <v>382</v>
      </c>
    </row>
    <row r="608" spans="1:8">
      <c r="A608">
        <v>0</v>
      </c>
      <c r="G608" s="30">
        <v>0</v>
      </c>
      <c r="H608" s="11" t="s">
        <v>382</v>
      </c>
    </row>
    <row r="609" spans="1:8">
      <c r="A609">
        <v>0</v>
      </c>
      <c r="G609" s="30">
        <v>0</v>
      </c>
      <c r="H609" s="11" t="s">
        <v>382</v>
      </c>
    </row>
    <row r="610" spans="1:8">
      <c r="A610">
        <v>0</v>
      </c>
      <c r="G610" s="30">
        <v>0</v>
      </c>
      <c r="H610" s="11" t="s">
        <v>382</v>
      </c>
    </row>
    <row r="611" spans="1:8">
      <c r="A611">
        <v>0</v>
      </c>
      <c r="G611" s="30">
        <v>0</v>
      </c>
      <c r="H611" s="11" t="s">
        <v>382</v>
      </c>
    </row>
    <row r="612" spans="1:8">
      <c r="A612">
        <v>0</v>
      </c>
      <c r="G612" s="30">
        <v>0</v>
      </c>
      <c r="H612" s="11" t="s">
        <v>382</v>
      </c>
    </row>
    <row r="613" spans="1:8">
      <c r="A613">
        <v>0</v>
      </c>
      <c r="G613" s="30">
        <v>0</v>
      </c>
      <c r="H613" s="11" t="s">
        <v>382</v>
      </c>
    </row>
    <row r="614" spans="1:8">
      <c r="A614">
        <v>0</v>
      </c>
      <c r="G614" s="30">
        <v>0</v>
      </c>
      <c r="H614" s="11" t="s">
        <v>382</v>
      </c>
    </row>
    <row r="615" spans="1:8">
      <c r="A615">
        <v>0</v>
      </c>
      <c r="G615" s="30">
        <v>0</v>
      </c>
      <c r="H615" s="11" t="s">
        <v>382</v>
      </c>
    </row>
    <row r="616" spans="1:8">
      <c r="A616">
        <v>0</v>
      </c>
      <c r="G616" s="30">
        <v>0</v>
      </c>
      <c r="H616" s="11" t="s">
        <v>382</v>
      </c>
    </row>
    <row r="617" spans="1:8">
      <c r="A617">
        <v>0</v>
      </c>
      <c r="G617" s="30">
        <v>0</v>
      </c>
      <c r="H617" s="11" t="s">
        <v>382</v>
      </c>
    </row>
    <row r="618" spans="1:8">
      <c r="A618">
        <v>0</v>
      </c>
      <c r="G618" s="30">
        <v>0</v>
      </c>
      <c r="H618" s="11" t="s">
        <v>382</v>
      </c>
    </row>
    <row r="619" spans="1:8">
      <c r="A619">
        <v>0</v>
      </c>
      <c r="G619" s="30">
        <v>0</v>
      </c>
      <c r="H619" s="11" t="s">
        <v>382</v>
      </c>
    </row>
    <row r="620" spans="1:8">
      <c r="A620">
        <v>0</v>
      </c>
      <c r="G620" s="30">
        <v>0</v>
      </c>
      <c r="H620" s="11" t="s">
        <v>382</v>
      </c>
    </row>
    <row r="621" spans="1:8">
      <c r="A621">
        <v>0</v>
      </c>
      <c r="G621" s="30">
        <v>0</v>
      </c>
      <c r="H621" s="11" t="s">
        <v>382</v>
      </c>
    </row>
    <row r="622" spans="1:8">
      <c r="A622">
        <v>0</v>
      </c>
      <c r="G622" s="30">
        <v>0</v>
      </c>
      <c r="H622" s="11" t="s">
        <v>382</v>
      </c>
    </row>
    <row r="623" spans="1:8">
      <c r="A623">
        <v>0</v>
      </c>
      <c r="G623" s="30">
        <v>0</v>
      </c>
      <c r="H623" s="11" t="s">
        <v>382</v>
      </c>
    </row>
    <row r="624" spans="1:8">
      <c r="A624">
        <v>0</v>
      </c>
      <c r="G624" s="30">
        <v>0</v>
      </c>
      <c r="H624" s="11" t="s">
        <v>382</v>
      </c>
    </row>
    <row r="625" spans="1:8">
      <c r="A625">
        <v>0</v>
      </c>
      <c r="G625" s="30">
        <v>0</v>
      </c>
      <c r="H625" s="11" t="s">
        <v>382</v>
      </c>
    </row>
    <row r="626" spans="1:8">
      <c r="A626">
        <v>0</v>
      </c>
      <c r="G626" s="30">
        <v>0</v>
      </c>
      <c r="H626" s="11" t="s">
        <v>382</v>
      </c>
    </row>
    <row r="627" spans="1:8">
      <c r="A627">
        <v>0</v>
      </c>
      <c r="G627" s="30">
        <v>0</v>
      </c>
      <c r="H627" s="11" t="s">
        <v>382</v>
      </c>
    </row>
    <row r="628" spans="1:8">
      <c r="A628">
        <v>0</v>
      </c>
      <c r="G628" s="30">
        <v>0</v>
      </c>
      <c r="H628" s="11" t="s">
        <v>382</v>
      </c>
    </row>
    <row r="629" spans="1:8">
      <c r="A629">
        <v>0</v>
      </c>
      <c r="G629" s="30">
        <v>0</v>
      </c>
      <c r="H629" s="11" t="s">
        <v>382</v>
      </c>
    </row>
    <row r="630" spans="1:8">
      <c r="A630">
        <v>0</v>
      </c>
      <c r="G630" s="30">
        <v>0</v>
      </c>
      <c r="H630" s="11" t="s">
        <v>382</v>
      </c>
    </row>
    <row r="631" spans="1:8">
      <c r="A631">
        <v>0</v>
      </c>
      <c r="G631" s="30">
        <v>0</v>
      </c>
      <c r="H631" s="11" t="s">
        <v>382</v>
      </c>
    </row>
    <row r="632" spans="1:8">
      <c r="A632">
        <v>0</v>
      </c>
      <c r="G632" s="30">
        <v>0</v>
      </c>
      <c r="H632" s="11" t="s">
        <v>382</v>
      </c>
    </row>
    <row r="633" spans="1:8">
      <c r="A633">
        <v>0</v>
      </c>
      <c r="G633" s="30">
        <v>0</v>
      </c>
      <c r="H633" s="11" t="s">
        <v>382</v>
      </c>
    </row>
    <row r="634" spans="1:8">
      <c r="A634">
        <v>0</v>
      </c>
      <c r="G634" s="30">
        <v>0</v>
      </c>
      <c r="H634" s="11" t="s">
        <v>382</v>
      </c>
    </row>
    <row r="635" spans="1:8">
      <c r="A635">
        <v>0</v>
      </c>
      <c r="G635" s="30">
        <v>0</v>
      </c>
      <c r="H635" s="11" t="s">
        <v>382</v>
      </c>
    </row>
    <row r="636" spans="1:8">
      <c r="A636">
        <v>0</v>
      </c>
      <c r="G636" s="30">
        <v>0</v>
      </c>
      <c r="H636" s="11" t="s">
        <v>382</v>
      </c>
    </row>
    <row r="637" spans="1:8">
      <c r="A637">
        <v>0</v>
      </c>
      <c r="G637" s="30">
        <v>0</v>
      </c>
      <c r="H637" s="11" t="s">
        <v>382</v>
      </c>
    </row>
    <row r="638" spans="1:8">
      <c r="A638">
        <v>0</v>
      </c>
      <c r="G638" s="30">
        <v>0</v>
      </c>
      <c r="H638" s="11" t="s">
        <v>382</v>
      </c>
    </row>
    <row r="639" spans="1:8">
      <c r="A639">
        <v>0</v>
      </c>
      <c r="G639" s="30">
        <v>0</v>
      </c>
      <c r="H639" s="11" t="s">
        <v>382</v>
      </c>
    </row>
    <row r="640" spans="1:8">
      <c r="A640">
        <v>0</v>
      </c>
      <c r="G640" s="30">
        <v>0</v>
      </c>
      <c r="H640" s="11" t="s">
        <v>382</v>
      </c>
    </row>
    <row r="641" spans="1:8">
      <c r="A641">
        <v>0</v>
      </c>
      <c r="G641" s="30">
        <v>0</v>
      </c>
      <c r="H641" s="11" t="s">
        <v>382</v>
      </c>
    </row>
    <row r="642" spans="1:8">
      <c r="A642">
        <v>0</v>
      </c>
      <c r="G642" s="30">
        <v>0</v>
      </c>
      <c r="H642" s="11" t="s">
        <v>382</v>
      </c>
    </row>
    <row r="643" spans="1:8">
      <c r="A643">
        <v>0</v>
      </c>
      <c r="G643" s="30">
        <v>0</v>
      </c>
      <c r="H643" s="11" t="s">
        <v>382</v>
      </c>
    </row>
    <row r="644" spans="1:8">
      <c r="A644">
        <v>0</v>
      </c>
      <c r="G644" s="30">
        <v>0</v>
      </c>
      <c r="H644" s="11" t="s">
        <v>382</v>
      </c>
    </row>
    <row r="645" spans="1:8">
      <c r="A645">
        <v>0</v>
      </c>
      <c r="G645" s="30">
        <v>0</v>
      </c>
      <c r="H645" s="11" t="s">
        <v>382</v>
      </c>
    </row>
    <row r="646" spans="1:8">
      <c r="A646">
        <v>0</v>
      </c>
      <c r="G646" s="30">
        <v>0</v>
      </c>
      <c r="H646" s="11" t="s">
        <v>382</v>
      </c>
    </row>
    <row r="647" spans="1:8">
      <c r="A647">
        <v>0</v>
      </c>
      <c r="G647" s="30">
        <v>0</v>
      </c>
      <c r="H647" s="11" t="s">
        <v>382</v>
      </c>
    </row>
    <row r="648" spans="1:8">
      <c r="A648">
        <v>0</v>
      </c>
      <c r="G648" s="30">
        <v>0</v>
      </c>
      <c r="H648" s="11" t="s">
        <v>382</v>
      </c>
    </row>
    <row r="649" spans="1:8">
      <c r="A649">
        <v>0</v>
      </c>
      <c r="G649" s="30">
        <v>0</v>
      </c>
      <c r="H649" s="11" t="s">
        <v>382</v>
      </c>
    </row>
    <row r="650" spans="1:8">
      <c r="A650">
        <v>0</v>
      </c>
      <c r="G650" s="30">
        <v>0</v>
      </c>
      <c r="H650" s="11" t="s">
        <v>382</v>
      </c>
    </row>
    <row r="651" spans="1:8">
      <c r="A651">
        <v>0</v>
      </c>
      <c r="G651" s="30">
        <v>0</v>
      </c>
      <c r="H651" s="11" t="s">
        <v>382</v>
      </c>
    </row>
    <row r="652" spans="1:8">
      <c r="A652">
        <v>0</v>
      </c>
      <c r="G652" s="30">
        <v>0</v>
      </c>
      <c r="H652" s="11" t="s">
        <v>382</v>
      </c>
    </row>
    <row r="653" spans="1:8">
      <c r="A653">
        <v>0</v>
      </c>
      <c r="G653" s="30">
        <v>0</v>
      </c>
      <c r="H653" s="11" t="s">
        <v>382</v>
      </c>
    </row>
    <row r="654" spans="1:8">
      <c r="A654">
        <v>0</v>
      </c>
      <c r="G654" s="30">
        <v>0</v>
      </c>
      <c r="H654" s="11" t="s">
        <v>382</v>
      </c>
    </row>
    <row r="655" spans="1:8">
      <c r="A655">
        <v>0</v>
      </c>
      <c r="G655" s="30">
        <v>0</v>
      </c>
      <c r="H655" s="11" t="s">
        <v>382</v>
      </c>
    </row>
    <row r="656" spans="1:8">
      <c r="A656">
        <v>0</v>
      </c>
      <c r="G656" s="30">
        <v>0</v>
      </c>
      <c r="H656" s="11" t="s">
        <v>382</v>
      </c>
    </row>
    <row r="657" spans="1:8">
      <c r="A657">
        <v>0</v>
      </c>
      <c r="G657" s="30">
        <v>0</v>
      </c>
      <c r="H657" s="11" t="s">
        <v>382</v>
      </c>
    </row>
    <row r="658" spans="1:8">
      <c r="A658">
        <v>0</v>
      </c>
      <c r="G658" s="30">
        <v>0</v>
      </c>
      <c r="H658" s="11" t="s">
        <v>382</v>
      </c>
    </row>
    <row r="659" spans="1:8">
      <c r="A659">
        <v>0</v>
      </c>
      <c r="G659" s="30">
        <v>0</v>
      </c>
      <c r="H659" s="11" t="s">
        <v>382</v>
      </c>
    </row>
    <row r="660" spans="1:8">
      <c r="A660">
        <v>0</v>
      </c>
      <c r="G660" s="30">
        <v>0</v>
      </c>
      <c r="H660" s="11" t="s">
        <v>382</v>
      </c>
    </row>
    <row r="661" spans="1:8">
      <c r="A661">
        <v>0</v>
      </c>
      <c r="G661" s="30">
        <v>0</v>
      </c>
      <c r="H661" s="11" t="s">
        <v>382</v>
      </c>
    </row>
    <row r="662" spans="1:8">
      <c r="A662">
        <v>0</v>
      </c>
      <c r="G662" s="30">
        <v>0</v>
      </c>
      <c r="H662" s="11" t="s">
        <v>382</v>
      </c>
    </row>
    <row r="663" spans="1:8">
      <c r="A663">
        <v>0</v>
      </c>
      <c r="G663" s="30">
        <v>0</v>
      </c>
      <c r="H663" s="11" t="s">
        <v>382</v>
      </c>
    </row>
    <row r="664" spans="1:8">
      <c r="A664">
        <v>0</v>
      </c>
      <c r="G664" s="30">
        <v>0</v>
      </c>
      <c r="H664" s="11" t="s">
        <v>382</v>
      </c>
    </row>
    <row r="665" spans="1:8">
      <c r="A665">
        <v>0</v>
      </c>
      <c r="G665" s="30">
        <v>0</v>
      </c>
      <c r="H665" s="11" t="s">
        <v>382</v>
      </c>
    </row>
    <row r="666" spans="1:8">
      <c r="A666">
        <v>0</v>
      </c>
      <c r="G666" s="30">
        <v>0</v>
      </c>
      <c r="H666" s="11" t="s">
        <v>382</v>
      </c>
    </row>
    <row r="667" spans="1:8">
      <c r="A667">
        <v>0</v>
      </c>
      <c r="G667" s="30">
        <v>0</v>
      </c>
      <c r="H667" s="11" t="s">
        <v>382</v>
      </c>
    </row>
    <row r="668" spans="1:8">
      <c r="A668">
        <v>0</v>
      </c>
      <c r="G668" s="30">
        <v>0</v>
      </c>
      <c r="H668" s="11" t="s">
        <v>382</v>
      </c>
    </row>
    <row r="669" spans="1:8">
      <c r="A669">
        <v>0</v>
      </c>
      <c r="G669" s="30">
        <v>0</v>
      </c>
      <c r="H669" s="11" t="s">
        <v>382</v>
      </c>
    </row>
    <row r="670" spans="1:8">
      <c r="A670">
        <v>0</v>
      </c>
      <c r="G670" s="30">
        <v>0</v>
      </c>
      <c r="H670" s="11" t="s">
        <v>382</v>
      </c>
    </row>
    <row r="671" spans="1:8">
      <c r="A671">
        <v>0</v>
      </c>
      <c r="G671" s="30">
        <v>0</v>
      </c>
      <c r="H671" s="11" t="s">
        <v>382</v>
      </c>
    </row>
    <row r="672" spans="1:8">
      <c r="A672">
        <v>0</v>
      </c>
      <c r="G672" s="30">
        <v>0</v>
      </c>
      <c r="H672" s="11" t="s">
        <v>382</v>
      </c>
    </row>
    <row r="673" spans="1:8">
      <c r="A673">
        <v>0</v>
      </c>
      <c r="G673" s="30">
        <v>0</v>
      </c>
      <c r="H673" s="11" t="s">
        <v>382</v>
      </c>
    </row>
    <row r="674" spans="1:8">
      <c r="A674">
        <v>0</v>
      </c>
      <c r="G674" s="30">
        <v>0</v>
      </c>
      <c r="H674" s="11" t="s">
        <v>382</v>
      </c>
    </row>
    <row r="675" spans="1:8">
      <c r="A675">
        <v>0</v>
      </c>
      <c r="G675" s="30">
        <v>0</v>
      </c>
      <c r="H675" s="11" t="s">
        <v>382</v>
      </c>
    </row>
    <row r="676" spans="1:8">
      <c r="A676">
        <v>0</v>
      </c>
      <c r="G676" s="30">
        <v>0</v>
      </c>
      <c r="H676" s="11" t="s">
        <v>382</v>
      </c>
    </row>
    <row r="677" spans="1:8">
      <c r="A677">
        <v>0</v>
      </c>
      <c r="G677" s="30">
        <v>0</v>
      </c>
      <c r="H677" s="11" t="s">
        <v>382</v>
      </c>
    </row>
    <row r="678" spans="1:8">
      <c r="A678">
        <v>0</v>
      </c>
      <c r="G678" s="30">
        <v>0</v>
      </c>
      <c r="H678" s="11" t="s">
        <v>382</v>
      </c>
    </row>
    <row r="679" spans="1:8">
      <c r="A679">
        <v>0</v>
      </c>
      <c r="G679" s="30">
        <v>0</v>
      </c>
      <c r="H679" s="11" t="s">
        <v>382</v>
      </c>
    </row>
    <row r="680" spans="1:8">
      <c r="A680">
        <v>0</v>
      </c>
      <c r="G680" s="30">
        <v>0</v>
      </c>
      <c r="H680" s="11" t="s">
        <v>382</v>
      </c>
    </row>
    <row r="681" spans="1:8">
      <c r="A681">
        <v>0</v>
      </c>
      <c r="G681" s="30">
        <v>0</v>
      </c>
      <c r="H681" s="11" t="s">
        <v>382</v>
      </c>
    </row>
    <row r="682" spans="1:8">
      <c r="A682">
        <v>0</v>
      </c>
      <c r="G682" s="30">
        <v>0</v>
      </c>
      <c r="H682" s="11" t="s">
        <v>382</v>
      </c>
    </row>
    <row r="683" spans="1:8">
      <c r="A683">
        <v>0</v>
      </c>
      <c r="G683" s="30">
        <v>0</v>
      </c>
      <c r="H683" s="11" t="s">
        <v>382</v>
      </c>
    </row>
    <row r="684" spans="1:8">
      <c r="A684">
        <v>0</v>
      </c>
      <c r="G684" s="30">
        <v>0</v>
      </c>
      <c r="H684" s="11" t="s">
        <v>382</v>
      </c>
    </row>
    <row r="685" spans="1:8">
      <c r="A685">
        <v>0</v>
      </c>
      <c r="G685" s="30">
        <v>0</v>
      </c>
      <c r="H685" s="11" t="s">
        <v>382</v>
      </c>
    </row>
    <row r="686" spans="1:8">
      <c r="A686">
        <v>0</v>
      </c>
      <c r="G686" s="30">
        <v>0</v>
      </c>
      <c r="H686" s="11" t="s">
        <v>382</v>
      </c>
    </row>
    <row r="687" spans="1:8">
      <c r="A687">
        <v>0</v>
      </c>
      <c r="G687" s="30">
        <v>0</v>
      </c>
      <c r="H687" s="11" t="s">
        <v>382</v>
      </c>
    </row>
    <row r="688" spans="1:8">
      <c r="A688">
        <v>0</v>
      </c>
      <c r="G688" s="30">
        <v>0</v>
      </c>
      <c r="H688" s="11" t="s">
        <v>382</v>
      </c>
    </row>
    <row r="689" spans="1:8">
      <c r="A689">
        <v>0</v>
      </c>
      <c r="G689" s="30">
        <v>0</v>
      </c>
      <c r="H689" s="11" t="s">
        <v>382</v>
      </c>
    </row>
    <row r="690" spans="1:8">
      <c r="A690">
        <v>0</v>
      </c>
      <c r="G690" s="30">
        <v>0</v>
      </c>
      <c r="H690" s="11" t="s">
        <v>382</v>
      </c>
    </row>
    <row r="691" spans="1:8">
      <c r="A691">
        <v>0</v>
      </c>
      <c r="G691" s="30">
        <v>0</v>
      </c>
      <c r="H691" s="11" t="s">
        <v>382</v>
      </c>
    </row>
    <row r="692" spans="1:8">
      <c r="A692">
        <v>0</v>
      </c>
      <c r="G692" s="30">
        <v>0</v>
      </c>
      <c r="H692" s="11" t="s">
        <v>382</v>
      </c>
    </row>
    <row r="693" spans="1:8">
      <c r="A693">
        <v>0</v>
      </c>
      <c r="G693" s="30">
        <v>0</v>
      </c>
      <c r="H693" s="11" t="s">
        <v>382</v>
      </c>
    </row>
    <row r="694" spans="1:8">
      <c r="A694">
        <v>0</v>
      </c>
      <c r="G694" s="30">
        <v>0</v>
      </c>
      <c r="H694" s="11" t="s">
        <v>382</v>
      </c>
    </row>
    <row r="695" spans="1:8">
      <c r="A695">
        <v>0</v>
      </c>
      <c r="G695" s="30">
        <v>0</v>
      </c>
      <c r="H695" s="11" t="s">
        <v>382</v>
      </c>
    </row>
    <row r="696" spans="1:8">
      <c r="A696">
        <v>0</v>
      </c>
      <c r="G696" s="30">
        <v>0</v>
      </c>
      <c r="H696" s="11" t="s">
        <v>382</v>
      </c>
    </row>
    <row r="697" spans="1:8">
      <c r="A697">
        <v>0</v>
      </c>
      <c r="G697" s="30">
        <v>0</v>
      </c>
      <c r="H697" s="11" t="s">
        <v>382</v>
      </c>
    </row>
    <row r="698" spans="1:8">
      <c r="A698">
        <v>0</v>
      </c>
      <c r="G698" s="30">
        <v>0</v>
      </c>
      <c r="H698" s="11" t="s">
        <v>382</v>
      </c>
    </row>
    <row r="699" spans="1:8">
      <c r="A699">
        <v>0</v>
      </c>
      <c r="G699" s="30">
        <v>0</v>
      </c>
      <c r="H699" s="11" t="s">
        <v>382</v>
      </c>
    </row>
  </sheetData>
  <phoneticPr fontId="4" type="noConversion"/>
  <conditionalFormatting sqref="A3:A699">
    <cfRule type="cellIs" dxfId="75" priority="6" operator="equal">
      <formula>"Mirafeel"</formula>
    </cfRule>
    <cfRule type="cellIs" dxfId="74" priority="7" operator="equal">
      <formula>"學習"</formula>
    </cfRule>
  </conditionalFormatting>
  <conditionalFormatting sqref="A4:A699">
    <cfRule type="cellIs" dxfId="73" priority="5" operator="equal">
      <formula>"生活周邊"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D68D-DFD9-4010-AA5D-FF7E1E80CCD0}">
  <sheetPr>
    <tabColor theme="5" tint="-0.249977111117893"/>
  </sheetPr>
  <dimension ref="A1:G1725"/>
  <sheetViews>
    <sheetView tabSelected="1" topLeftCell="A120" zoomScale="85" zoomScaleNormal="85" workbookViewId="0">
      <selection activeCell="I152" sqref="I152"/>
    </sheetView>
  </sheetViews>
  <sheetFormatPr defaultRowHeight="15.75"/>
  <cols>
    <col min="2" max="2" width="19.44140625" customWidth="1"/>
    <col min="3" max="3" width="23.21875" style="23" customWidth="1"/>
    <col min="4" max="4" width="16.33203125" bestFit="1" customWidth="1"/>
    <col min="5" max="5" width="13.88671875" style="23" bestFit="1" customWidth="1"/>
    <col min="6" max="6" width="17.109375" bestFit="1" customWidth="1"/>
    <col min="7" max="7" width="13.5546875" customWidth="1"/>
  </cols>
  <sheetData>
    <row r="1" spans="1:6">
      <c r="B1" s="40" t="s">
        <v>44</v>
      </c>
      <c r="C1" s="40" t="s">
        <v>45</v>
      </c>
      <c r="E1"/>
    </row>
    <row r="2" spans="1:6">
      <c r="C2"/>
      <c r="E2"/>
    </row>
    <row r="3" spans="1:6" ht="16.5">
      <c r="A3" t="s">
        <v>47</v>
      </c>
      <c r="B3" s="41" t="s">
        <v>363</v>
      </c>
      <c r="C3" s="42" t="s">
        <v>48</v>
      </c>
      <c r="D3" s="40" t="s">
        <v>49</v>
      </c>
      <c r="E3" s="40" t="s">
        <v>365</v>
      </c>
      <c r="F3" s="41" t="s">
        <v>321</v>
      </c>
    </row>
    <row r="4" spans="1:6">
      <c r="A4" t="str">
        <f>IFERROR(VLOOKUP(B4,[1]銷貨單品號主檔!$A:$D,4,0),"學習周邊")</f>
        <v>學習周邊</v>
      </c>
      <c r="B4" s="40" t="s">
        <v>99</v>
      </c>
      <c r="C4" s="40" t="s">
        <v>357</v>
      </c>
      <c r="D4" s="40" t="s">
        <v>54</v>
      </c>
      <c r="E4" s="43">
        <v>0</v>
      </c>
      <c r="F4" s="43">
        <v>0</v>
      </c>
    </row>
    <row r="5" spans="1:6">
      <c r="A5" t="str">
        <f>IFERROR(VLOOKUP(B5,[1]銷貨單品號主檔!$A:$D,4,0),"學習周邊")</f>
        <v>學習周邊</v>
      </c>
      <c r="B5" s="40" t="s">
        <v>99</v>
      </c>
      <c r="C5" s="40" t="s">
        <v>358</v>
      </c>
      <c r="D5" s="40" t="s">
        <v>54</v>
      </c>
      <c r="E5" s="43">
        <v>0</v>
      </c>
      <c r="F5" s="43">
        <v>0</v>
      </c>
    </row>
    <row r="6" spans="1:6">
      <c r="A6" t="str">
        <f>IFERROR(VLOOKUP(B6,[1]銷貨單品號主檔!$A:$D,4,0),"學習周邊")</f>
        <v>學習周邊</v>
      </c>
      <c r="B6" s="40" t="s">
        <v>99</v>
      </c>
      <c r="C6" s="40" t="s">
        <v>359</v>
      </c>
      <c r="D6" s="40" t="s">
        <v>54</v>
      </c>
      <c r="E6" s="43">
        <v>0</v>
      </c>
      <c r="F6" s="43">
        <v>0</v>
      </c>
    </row>
    <row r="7" spans="1:6">
      <c r="A7" t="str">
        <f>IFERROR(VLOOKUP(B7,[1]銷貨單品號主檔!$A:$D,4,0),"學習周邊")</f>
        <v>學習周邊</v>
      </c>
      <c r="B7" s="40" t="s">
        <v>99</v>
      </c>
      <c r="C7" s="40" t="s">
        <v>366</v>
      </c>
      <c r="D7" s="40" t="s">
        <v>54</v>
      </c>
      <c r="E7" s="43">
        <v>0</v>
      </c>
      <c r="F7" s="43">
        <v>0</v>
      </c>
    </row>
    <row r="8" spans="1:6">
      <c r="A8" t="str">
        <f>IFERROR(VLOOKUP(B8,[1]銷貨單品號主檔!$A:$D,4,0),"學習周邊")</f>
        <v>生活周邊</v>
      </c>
      <c r="B8" s="40" t="s">
        <v>127</v>
      </c>
      <c r="C8" s="40" t="s">
        <v>359</v>
      </c>
      <c r="D8" s="40" t="s">
        <v>54</v>
      </c>
      <c r="E8" s="43">
        <v>1</v>
      </c>
      <c r="F8" s="43">
        <v>189.52380952380952</v>
      </c>
    </row>
    <row r="9" spans="1:6">
      <c r="A9" t="str">
        <f>IFERROR(VLOOKUP(B9,[1]銷貨單品號主檔!$A:$D,4,0),"學習周邊")</f>
        <v>生活周邊</v>
      </c>
      <c r="B9" s="40" t="s">
        <v>79</v>
      </c>
      <c r="C9" s="40" t="s">
        <v>358</v>
      </c>
      <c r="D9" s="40" t="s">
        <v>54</v>
      </c>
      <c r="E9" s="43">
        <v>1</v>
      </c>
      <c r="F9" s="43">
        <v>1903.8095238095236</v>
      </c>
    </row>
    <row r="10" spans="1:6">
      <c r="A10" t="str">
        <f>IFERROR(VLOOKUP(B10,[1]銷貨單品號主檔!$A:$D,4,0),"學習周邊")</f>
        <v>生活周邊</v>
      </c>
      <c r="B10" s="40" t="s">
        <v>79</v>
      </c>
      <c r="C10" s="40" t="s">
        <v>367</v>
      </c>
      <c r="D10" s="40" t="s">
        <v>54</v>
      </c>
      <c r="E10" s="43">
        <v>1</v>
      </c>
      <c r="F10" s="43">
        <v>1903.8095238095236</v>
      </c>
    </row>
    <row r="11" spans="1:6">
      <c r="A11" t="str">
        <f>IFERROR(VLOOKUP(B11,[1]銷貨單品號主檔!$A:$D,4,0),"學習周邊")</f>
        <v>學習周邊</v>
      </c>
      <c r="B11" s="40" t="s">
        <v>134</v>
      </c>
      <c r="C11" s="40" t="s">
        <v>385</v>
      </c>
      <c r="D11" s="40" t="s">
        <v>54</v>
      </c>
      <c r="E11" s="43">
        <v>0</v>
      </c>
      <c r="F11" s="43">
        <v>0</v>
      </c>
    </row>
    <row r="12" spans="1:6">
      <c r="A12" t="str">
        <f>IFERROR(VLOOKUP(B12,[1]銷貨單品號主檔!$A:$D,4,0),"學習周邊")</f>
        <v>生活周邊</v>
      </c>
      <c r="B12" s="40" t="s">
        <v>142</v>
      </c>
      <c r="C12" s="40" t="s">
        <v>367</v>
      </c>
      <c r="D12" s="40" t="s">
        <v>54</v>
      </c>
      <c r="E12" s="43">
        <v>2</v>
      </c>
      <c r="F12" s="43">
        <v>38.095238095238095</v>
      </c>
    </row>
    <row r="13" spans="1:6">
      <c r="A13" t="str">
        <f>IFERROR(VLOOKUP(B13,[1]銷貨單品號主檔!$A:$D,4,0),"學習周邊")</f>
        <v>生活周邊</v>
      </c>
      <c r="B13" s="40" t="s">
        <v>142</v>
      </c>
      <c r="C13" s="40" t="s">
        <v>385</v>
      </c>
      <c r="D13" s="40" t="s">
        <v>54</v>
      </c>
      <c r="E13" s="43">
        <v>0</v>
      </c>
      <c r="F13" s="43">
        <v>0</v>
      </c>
    </row>
    <row r="14" spans="1:6">
      <c r="A14" t="str">
        <f>IFERROR(VLOOKUP(B14,[1]銷貨單品號主檔!$A:$D,4,0),"學習周邊")</f>
        <v>生活周邊</v>
      </c>
      <c r="B14" s="40" t="s">
        <v>144</v>
      </c>
      <c r="C14" s="40" t="s">
        <v>367</v>
      </c>
      <c r="D14" s="40" t="s">
        <v>54</v>
      </c>
      <c r="E14" s="43">
        <v>2</v>
      </c>
      <c r="F14" s="43">
        <v>38.095238095238095</v>
      </c>
    </row>
    <row r="15" spans="1:6">
      <c r="A15" t="str">
        <f>IFERROR(VLOOKUP(B15,[1]銷貨單品號主檔!$A:$D,4,0),"學習周邊")</f>
        <v>生活周邊</v>
      </c>
      <c r="B15" s="40" t="s">
        <v>147</v>
      </c>
      <c r="C15" s="40" t="s">
        <v>367</v>
      </c>
      <c r="D15" s="40" t="s">
        <v>54</v>
      </c>
      <c r="E15" s="43">
        <v>1</v>
      </c>
      <c r="F15" s="43">
        <v>167.61904761904762</v>
      </c>
    </row>
    <row r="16" spans="1:6">
      <c r="A16" t="str">
        <f>IFERROR(VLOOKUP(B16,[1]銷貨單品號主檔!$A:$D,4,0),"學習周邊")</f>
        <v>生活周邊</v>
      </c>
      <c r="B16" s="40" t="s">
        <v>154</v>
      </c>
      <c r="C16" s="40" t="s">
        <v>358</v>
      </c>
      <c r="D16" s="40" t="s">
        <v>54</v>
      </c>
      <c r="E16" s="43">
        <v>1</v>
      </c>
      <c r="F16" s="43">
        <v>440</v>
      </c>
    </row>
    <row r="17" spans="1:6">
      <c r="A17" t="str">
        <f>IFERROR(VLOOKUP(B17,[1]銷貨單品號主檔!$A:$D,4,0),"學習周邊")</f>
        <v>生活周邊</v>
      </c>
      <c r="B17" s="40" t="s">
        <v>154</v>
      </c>
      <c r="C17" s="40" t="s">
        <v>359</v>
      </c>
      <c r="D17" s="40" t="s">
        <v>54</v>
      </c>
      <c r="E17" s="43">
        <v>1</v>
      </c>
      <c r="F17" s="43">
        <v>440</v>
      </c>
    </row>
    <row r="18" spans="1:6">
      <c r="A18" t="str">
        <f>IFERROR(VLOOKUP(B18,[1]銷貨單品號主檔!$A:$D,4,0),"學習周邊")</f>
        <v>生活周邊</v>
      </c>
      <c r="B18" s="40" t="s">
        <v>160</v>
      </c>
      <c r="C18" s="40" t="s">
        <v>358</v>
      </c>
      <c r="D18" s="40" t="s">
        <v>54</v>
      </c>
      <c r="E18" s="43">
        <v>1</v>
      </c>
      <c r="F18" s="43">
        <v>209.52380952380952</v>
      </c>
    </row>
    <row r="19" spans="1:6">
      <c r="A19" t="str">
        <f>IFERROR(VLOOKUP(B19,[1]銷貨單品號主檔!$A:$D,4,0),"學習周邊")</f>
        <v>生活周邊</v>
      </c>
      <c r="B19" s="40" t="s">
        <v>160</v>
      </c>
      <c r="C19" s="40" t="s">
        <v>366</v>
      </c>
      <c r="D19" s="40" t="s">
        <v>54</v>
      </c>
      <c r="E19" s="43">
        <v>1</v>
      </c>
      <c r="F19" s="43">
        <v>209.52380952380952</v>
      </c>
    </row>
    <row r="20" spans="1:6">
      <c r="A20" t="str">
        <f>IFERROR(VLOOKUP(B20,[1]銷貨單品號主檔!$A:$D,4,0),"學習周邊")</f>
        <v>生活周邊</v>
      </c>
      <c r="B20" s="40" t="s">
        <v>166</v>
      </c>
      <c r="C20" s="40" t="s">
        <v>358</v>
      </c>
      <c r="D20" s="40" t="s">
        <v>54</v>
      </c>
      <c r="E20" s="43">
        <v>1</v>
      </c>
      <c r="F20" s="43">
        <v>209.52380952380952</v>
      </c>
    </row>
    <row r="21" spans="1:6">
      <c r="A21" t="str">
        <f>IFERROR(VLOOKUP(B21,[1]銷貨單品號主檔!$A:$D,4,0),"學習周邊")</f>
        <v>生活周邊</v>
      </c>
      <c r="B21" s="40" t="s">
        <v>166</v>
      </c>
      <c r="C21" s="40" t="s">
        <v>359</v>
      </c>
      <c r="D21" s="40" t="s">
        <v>54</v>
      </c>
      <c r="E21" s="43">
        <v>1</v>
      </c>
      <c r="F21" s="43">
        <v>209.52380952380952</v>
      </c>
    </row>
    <row r="22" spans="1:6">
      <c r="A22" t="str">
        <f>IFERROR(VLOOKUP(B22,[1]銷貨單品號主檔!$A:$D,4,0),"學習周邊")</f>
        <v>生活周邊</v>
      </c>
      <c r="B22" s="40" t="s">
        <v>166</v>
      </c>
      <c r="C22" s="40" t="s">
        <v>366</v>
      </c>
      <c r="D22" s="40" t="s">
        <v>54</v>
      </c>
      <c r="E22" s="43">
        <v>2</v>
      </c>
      <c r="F22" s="43">
        <v>419.04761904761904</v>
      </c>
    </row>
    <row r="23" spans="1:6">
      <c r="A23" t="str">
        <f>IFERROR(VLOOKUP(B23,[1]銷貨單品號主檔!$A:$D,4,0),"學習周邊")</f>
        <v>生活周邊</v>
      </c>
      <c r="B23" s="40" t="s">
        <v>171</v>
      </c>
      <c r="C23" s="40" t="s">
        <v>359</v>
      </c>
      <c r="D23" s="40" t="s">
        <v>54</v>
      </c>
      <c r="E23" s="43">
        <v>1</v>
      </c>
      <c r="F23" s="43">
        <v>760.95238095238096</v>
      </c>
    </row>
    <row r="24" spans="1:6">
      <c r="A24" t="str">
        <f>IFERROR(VLOOKUP(B24,[1]銷貨單品號主檔!$A:$D,4,0),"學習周邊")</f>
        <v>學習</v>
      </c>
      <c r="B24" s="40" t="s">
        <v>111</v>
      </c>
      <c r="C24" s="40" t="s">
        <v>358</v>
      </c>
      <c r="D24" s="40" t="s">
        <v>54</v>
      </c>
      <c r="E24" s="43">
        <v>1</v>
      </c>
      <c r="F24" s="43">
        <v>4285.7142857142853</v>
      </c>
    </row>
    <row r="25" spans="1:6">
      <c r="A25" t="str">
        <f>IFERROR(VLOOKUP(B25,[1]銷貨單品號主檔!$A:$D,4,0),"學習周邊")</f>
        <v>學習</v>
      </c>
      <c r="B25" s="40" t="s">
        <v>111</v>
      </c>
      <c r="C25" s="40" t="s">
        <v>359</v>
      </c>
      <c r="D25" s="40" t="s">
        <v>54</v>
      </c>
      <c r="E25" s="43">
        <v>1</v>
      </c>
      <c r="F25" s="43">
        <v>4285.7142857142853</v>
      </c>
    </row>
    <row r="26" spans="1:6">
      <c r="A26" t="str">
        <f>IFERROR(VLOOKUP(B26,[1]銷貨單品號主檔!$A:$D,4,0),"學習周邊")</f>
        <v>學習</v>
      </c>
      <c r="B26" s="40" t="s">
        <v>111</v>
      </c>
      <c r="C26" s="40" t="s">
        <v>366</v>
      </c>
      <c r="D26" s="40" t="s">
        <v>54</v>
      </c>
      <c r="E26" s="43">
        <v>1</v>
      </c>
      <c r="F26" s="43">
        <v>4285.7142857142853</v>
      </c>
    </row>
    <row r="27" spans="1:6">
      <c r="A27" t="str">
        <f>IFERROR(VLOOKUP(B27,[1]銷貨單品號主檔!$A:$D,4,0),"學習周邊")</f>
        <v>學習</v>
      </c>
      <c r="B27" s="40" t="s">
        <v>111</v>
      </c>
      <c r="C27" s="40" t="s">
        <v>367</v>
      </c>
      <c r="D27" s="40" t="s">
        <v>54</v>
      </c>
      <c r="E27" s="43">
        <v>4</v>
      </c>
      <c r="F27" s="43">
        <v>17142.857142857141</v>
      </c>
    </row>
    <row r="28" spans="1:6">
      <c r="A28" t="str">
        <f>IFERROR(VLOOKUP(B28,[1]銷貨單品號主檔!$A:$D,4,0),"學習周邊")</f>
        <v>學習</v>
      </c>
      <c r="B28" s="40" t="s">
        <v>111</v>
      </c>
      <c r="C28" s="40" t="s">
        <v>367</v>
      </c>
      <c r="D28" s="40" t="s">
        <v>174</v>
      </c>
      <c r="E28" s="43">
        <v>1</v>
      </c>
      <c r="F28" s="43">
        <v>4285.7142857142853</v>
      </c>
    </row>
    <row r="29" spans="1:6">
      <c r="A29" t="str">
        <f>IFERROR(VLOOKUP(B29,[1]銷貨單品號主檔!$A:$D,4,0),"學習周邊")</f>
        <v>學習</v>
      </c>
      <c r="B29" s="40" t="s">
        <v>111</v>
      </c>
      <c r="C29" s="40" t="s">
        <v>385</v>
      </c>
      <c r="D29" s="40" t="s">
        <v>54</v>
      </c>
      <c r="E29" s="43">
        <v>2</v>
      </c>
      <c r="F29" s="43">
        <v>8571.4285714285706</v>
      </c>
    </row>
    <row r="30" spans="1:6">
      <c r="A30" t="str">
        <f>IFERROR(VLOOKUP(B30,[1]銷貨單品號主檔!$A:$D,4,0),"學習周邊")</f>
        <v>學習周邊</v>
      </c>
      <c r="B30" s="40" t="s">
        <v>386</v>
      </c>
      <c r="C30" s="40" t="s">
        <v>385</v>
      </c>
      <c r="D30" s="40" t="s">
        <v>54</v>
      </c>
      <c r="E30" s="43">
        <v>0</v>
      </c>
      <c r="F30" s="43">
        <v>0</v>
      </c>
    </row>
    <row r="31" spans="1:6">
      <c r="A31" t="str">
        <f>IFERROR(VLOOKUP(B31,[1]銷貨單品號主檔!$A:$D,4,0),"學習周邊")</f>
        <v>學習周邊</v>
      </c>
      <c r="B31" s="40" t="s">
        <v>184</v>
      </c>
      <c r="C31" s="40" t="s">
        <v>367</v>
      </c>
      <c r="D31" s="40" t="s">
        <v>54</v>
      </c>
      <c r="E31" s="43">
        <v>0</v>
      </c>
      <c r="F31" s="43">
        <v>0</v>
      </c>
    </row>
    <row r="32" spans="1:6">
      <c r="A32" t="str">
        <f>IFERROR(VLOOKUP(B32,[1]銷貨單品號主檔!$A:$D,4,0),"學習周邊")</f>
        <v>學習周邊</v>
      </c>
      <c r="B32" s="40" t="s">
        <v>184</v>
      </c>
      <c r="C32" s="40" t="s">
        <v>385</v>
      </c>
      <c r="D32" s="40" t="s">
        <v>54</v>
      </c>
      <c r="E32" s="43">
        <v>0</v>
      </c>
      <c r="F32" s="43">
        <v>0</v>
      </c>
    </row>
    <row r="33" spans="1:6">
      <c r="A33" t="str">
        <f>IFERROR(VLOOKUP(B33,[1]銷貨單品號主檔!$A:$D,4,0),"學習周邊")</f>
        <v>生活周邊</v>
      </c>
      <c r="B33" s="40" t="s">
        <v>193</v>
      </c>
      <c r="C33" s="40" t="s">
        <v>357</v>
      </c>
      <c r="D33" s="40" t="s">
        <v>54</v>
      </c>
      <c r="E33" s="43">
        <v>1</v>
      </c>
      <c r="F33" s="43">
        <v>284.76190476190476</v>
      </c>
    </row>
    <row r="34" spans="1:6">
      <c r="A34" t="str">
        <f>IFERROR(VLOOKUP(B34,[1]銷貨單品號主檔!$A:$D,4,0),"學習周邊")</f>
        <v>生活周邊</v>
      </c>
      <c r="B34" s="40" t="s">
        <v>205</v>
      </c>
      <c r="C34" s="40" t="s">
        <v>357</v>
      </c>
      <c r="D34" s="40" t="s">
        <v>54</v>
      </c>
      <c r="E34" s="43">
        <v>1</v>
      </c>
      <c r="F34" s="43">
        <v>340</v>
      </c>
    </row>
    <row r="35" spans="1:6">
      <c r="A35" t="str">
        <f>IFERROR(VLOOKUP(B35,[1]銷貨單品號主檔!$A:$D,4,0),"學習周邊")</f>
        <v>生活周邊</v>
      </c>
      <c r="B35" s="40" t="s">
        <v>212</v>
      </c>
      <c r="C35" s="40" t="s">
        <v>367</v>
      </c>
      <c r="D35" s="40" t="s">
        <v>54</v>
      </c>
      <c r="E35" s="43">
        <v>1</v>
      </c>
      <c r="F35" s="43">
        <v>260</v>
      </c>
    </row>
    <row r="36" spans="1:6">
      <c r="A36" t="str">
        <f>IFERROR(VLOOKUP(B36,[1]銷貨單品號主檔!$A:$D,4,0),"學習周邊")</f>
        <v>生活周邊</v>
      </c>
      <c r="B36" s="40" t="s">
        <v>213</v>
      </c>
      <c r="C36" s="40" t="s">
        <v>359</v>
      </c>
      <c r="D36" s="40" t="s">
        <v>54</v>
      </c>
      <c r="E36" s="43">
        <v>1</v>
      </c>
      <c r="F36" s="43">
        <v>284.76190476190476</v>
      </c>
    </row>
    <row r="37" spans="1:6">
      <c r="A37" t="str">
        <f>IFERROR(VLOOKUP(B37,[1]銷貨單品號主檔!$A:$D,4,0),"學習周邊")</f>
        <v>生活周邊</v>
      </c>
      <c r="B37" s="40" t="s">
        <v>213</v>
      </c>
      <c r="C37" s="40" t="s">
        <v>367</v>
      </c>
      <c r="D37" s="40" t="s">
        <v>54</v>
      </c>
      <c r="E37" s="43">
        <v>1</v>
      </c>
      <c r="F37" s="43">
        <v>284.76190476190476</v>
      </c>
    </row>
    <row r="38" spans="1:6">
      <c r="A38" t="str">
        <f>IFERROR(VLOOKUP(B38,[1]銷貨單品號主檔!$A:$D,4,0),"學習周邊")</f>
        <v>生活周邊</v>
      </c>
      <c r="B38" s="40" t="s">
        <v>217</v>
      </c>
      <c r="C38" s="40" t="s">
        <v>358</v>
      </c>
      <c r="D38" s="40" t="s">
        <v>54</v>
      </c>
      <c r="E38" s="43">
        <v>1</v>
      </c>
      <c r="F38" s="43">
        <v>657.14285714285711</v>
      </c>
    </row>
    <row r="39" spans="1:6">
      <c r="A39" t="str">
        <f>IFERROR(VLOOKUP(B39,[1]銷貨單品號主檔!$A:$D,4,0),"學習周邊")</f>
        <v>生活周邊</v>
      </c>
      <c r="B39" s="40" t="s">
        <v>220</v>
      </c>
      <c r="C39" s="40" t="s">
        <v>367</v>
      </c>
      <c r="D39" s="40" t="s">
        <v>54</v>
      </c>
      <c r="E39" s="43">
        <v>1</v>
      </c>
      <c r="F39" s="43">
        <v>209.52380952380952</v>
      </c>
    </row>
    <row r="40" spans="1:6">
      <c r="A40" t="str">
        <f>IFERROR(VLOOKUP(B40,[1]銷貨單品號主檔!$A:$D,4,0),"學習周邊")</f>
        <v>生活周邊</v>
      </c>
      <c r="B40" s="40" t="s">
        <v>223</v>
      </c>
      <c r="C40" s="40" t="s">
        <v>359</v>
      </c>
      <c r="D40" s="40" t="s">
        <v>54</v>
      </c>
      <c r="E40" s="43">
        <v>1</v>
      </c>
      <c r="F40" s="43">
        <v>380</v>
      </c>
    </row>
    <row r="41" spans="1:6">
      <c r="A41" t="str">
        <f>IFERROR(VLOOKUP(B41,[1]銷貨單品號主檔!$A:$D,4,0),"學習周邊")</f>
        <v>生活周邊</v>
      </c>
      <c r="B41" s="40" t="s">
        <v>223</v>
      </c>
      <c r="C41" s="40" t="s">
        <v>366</v>
      </c>
      <c r="D41" s="40" t="s">
        <v>54</v>
      </c>
      <c r="E41" s="43">
        <v>2</v>
      </c>
      <c r="F41" s="43">
        <v>760</v>
      </c>
    </row>
    <row r="42" spans="1:6">
      <c r="A42" t="str">
        <f>IFERROR(VLOOKUP(B42,[1]銷貨單品號主檔!$A:$D,4,0),"學習周邊")</f>
        <v>生活周邊</v>
      </c>
      <c r="B42" s="40" t="s">
        <v>224</v>
      </c>
      <c r="C42" s="40" t="s">
        <v>359</v>
      </c>
      <c r="D42" s="40" t="s">
        <v>54</v>
      </c>
      <c r="E42" s="43">
        <v>1</v>
      </c>
      <c r="F42" s="43">
        <v>856.19047619047615</v>
      </c>
    </row>
    <row r="43" spans="1:6">
      <c r="A43" t="str">
        <f>IFERROR(VLOOKUP(B43,[1]銷貨單品號主檔!$A:$D,4,0),"學習周邊")</f>
        <v>學習</v>
      </c>
      <c r="B43" s="40" t="s">
        <v>133</v>
      </c>
      <c r="C43" s="40" t="s">
        <v>358</v>
      </c>
      <c r="D43" s="40" t="s">
        <v>54</v>
      </c>
      <c r="E43" s="43">
        <v>1</v>
      </c>
      <c r="F43" s="43">
        <v>4571.4285714285716</v>
      </c>
    </row>
    <row r="44" spans="1:6">
      <c r="A44" t="str">
        <f>IFERROR(VLOOKUP(B44,[1]銷貨單品號主檔!$A:$D,4,0),"學習周邊")</f>
        <v>學習</v>
      </c>
      <c r="B44" s="40" t="s">
        <v>133</v>
      </c>
      <c r="C44" s="40" t="s">
        <v>359</v>
      </c>
      <c r="D44" s="40" t="s">
        <v>54</v>
      </c>
      <c r="E44" s="43">
        <v>1</v>
      </c>
      <c r="F44" s="43">
        <v>4571.4285714285716</v>
      </c>
    </row>
    <row r="45" spans="1:6">
      <c r="A45" t="str">
        <f>IFERROR(VLOOKUP(B45,[1]銷貨單品號主檔!$A:$D,4,0),"學習周邊")</f>
        <v>學習</v>
      </c>
      <c r="B45" s="40" t="s">
        <v>133</v>
      </c>
      <c r="C45" s="40" t="s">
        <v>366</v>
      </c>
      <c r="D45" s="40" t="s">
        <v>54</v>
      </c>
      <c r="E45" s="43">
        <v>1</v>
      </c>
      <c r="F45" s="43">
        <v>4571.4285714285716</v>
      </c>
    </row>
    <row r="46" spans="1:6">
      <c r="A46" t="str">
        <f>IFERROR(VLOOKUP(B46,[1]銷貨單品號主檔!$A:$D,4,0),"學習周邊")</f>
        <v>學習</v>
      </c>
      <c r="B46" s="40" t="s">
        <v>133</v>
      </c>
      <c r="C46" s="40" t="s">
        <v>367</v>
      </c>
      <c r="D46" s="40" t="s">
        <v>54</v>
      </c>
      <c r="E46" s="43">
        <v>2</v>
      </c>
      <c r="F46" s="43">
        <v>9142.8571428571431</v>
      </c>
    </row>
    <row r="47" spans="1:6">
      <c r="A47" t="str">
        <f>IFERROR(VLOOKUP(B47,[1]銷貨單品號主檔!$A:$D,4,0),"學習周邊")</f>
        <v>學習</v>
      </c>
      <c r="B47" s="40" t="s">
        <v>133</v>
      </c>
      <c r="C47" s="40" t="s">
        <v>385</v>
      </c>
      <c r="D47" s="40" t="s">
        <v>54</v>
      </c>
      <c r="E47" s="43">
        <v>1</v>
      </c>
      <c r="F47" s="43">
        <v>4571.4285714285716</v>
      </c>
    </row>
    <row r="48" spans="1:6">
      <c r="A48" t="str">
        <f>IFERROR(VLOOKUP(B48,[1]銷貨單品號主檔!$A:$D,4,0),"學習周邊")</f>
        <v>學習周邊</v>
      </c>
      <c r="B48" s="40" t="s">
        <v>368</v>
      </c>
      <c r="C48" s="40" t="s">
        <v>367</v>
      </c>
      <c r="D48" s="40" t="s">
        <v>54</v>
      </c>
      <c r="E48" s="43">
        <v>0</v>
      </c>
      <c r="F48" s="43">
        <v>0</v>
      </c>
    </row>
    <row r="49" spans="1:6">
      <c r="A49" t="str">
        <f>IFERROR(VLOOKUP(B49,[1]銷貨單品號主檔!$A:$D,4,0),"學習周邊")</f>
        <v>學習周邊</v>
      </c>
      <c r="B49" s="40" t="s">
        <v>165</v>
      </c>
      <c r="C49" s="40" t="s">
        <v>385</v>
      </c>
      <c r="D49" s="40" t="s">
        <v>54</v>
      </c>
      <c r="E49" s="43">
        <v>0</v>
      </c>
      <c r="F49" s="43">
        <v>0</v>
      </c>
    </row>
    <row r="50" spans="1:6">
      <c r="A50" t="str">
        <f>IFERROR(VLOOKUP(B50,[1]銷貨單品號主檔!$A:$D,4,0),"學習周邊")</f>
        <v>學習周邊</v>
      </c>
      <c r="B50" s="40" t="s">
        <v>240</v>
      </c>
      <c r="C50" s="40" t="s">
        <v>367</v>
      </c>
      <c r="D50" s="40" t="s">
        <v>54</v>
      </c>
      <c r="E50" s="43">
        <v>0</v>
      </c>
      <c r="F50" s="43">
        <v>0</v>
      </c>
    </row>
    <row r="51" spans="1:6">
      <c r="A51" t="str">
        <f>IFERROR(VLOOKUP(B51,[1]銷貨單品號主檔!$A:$D,4,0),"學習周邊")</f>
        <v>學習周邊</v>
      </c>
      <c r="B51" s="40" t="s">
        <v>240</v>
      </c>
      <c r="C51" s="40" t="s">
        <v>385</v>
      </c>
      <c r="D51" s="40" t="s">
        <v>54</v>
      </c>
      <c r="E51" s="43">
        <v>0</v>
      </c>
      <c r="F51" s="43">
        <v>0</v>
      </c>
    </row>
    <row r="52" spans="1:6">
      <c r="A52" t="str">
        <f>IFERROR(VLOOKUP(B52,[1]銷貨單品號主檔!$A:$D,4,0),"學習周邊")</f>
        <v>生活周邊</v>
      </c>
      <c r="B52" s="40" t="s">
        <v>242</v>
      </c>
      <c r="C52" s="40" t="s">
        <v>367</v>
      </c>
      <c r="D52" s="40" t="s">
        <v>54</v>
      </c>
      <c r="E52" s="43">
        <v>1</v>
      </c>
      <c r="F52" s="43">
        <v>271.42857142857144</v>
      </c>
    </row>
    <row r="53" spans="1:6">
      <c r="A53" t="str">
        <f>IFERROR(VLOOKUP(B53,[1]銷貨單品號主檔!$A:$D,4,0),"學習周邊")</f>
        <v>生活周邊</v>
      </c>
      <c r="B53" s="40" t="s">
        <v>250</v>
      </c>
      <c r="C53" s="40" t="s">
        <v>367</v>
      </c>
      <c r="D53" s="40" t="s">
        <v>54</v>
      </c>
      <c r="E53" s="43">
        <v>1</v>
      </c>
      <c r="F53" s="43">
        <v>1485.7142857142856</v>
      </c>
    </row>
    <row r="54" spans="1:6">
      <c r="A54" t="str">
        <f>IFERROR(VLOOKUP(B54,[1]銷貨單品號主檔!$A:$D,4,0),"學習周邊")</f>
        <v>生活周邊</v>
      </c>
      <c r="B54" s="40" t="s">
        <v>251</v>
      </c>
      <c r="C54" s="40" t="s">
        <v>367</v>
      </c>
      <c r="D54" s="40" t="s">
        <v>54</v>
      </c>
      <c r="E54" s="43">
        <v>1</v>
      </c>
      <c r="F54" s="43">
        <v>500</v>
      </c>
    </row>
    <row r="55" spans="1:6">
      <c r="A55" t="str">
        <f>IFERROR(VLOOKUP(B55,[1]銷貨單品號主檔!$A:$D,4,0),"學習周邊")</f>
        <v>生活周邊</v>
      </c>
      <c r="B55" s="40" t="s">
        <v>253</v>
      </c>
      <c r="C55" s="40" t="s">
        <v>359</v>
      </c>
      <c r="D55" s="40" t="s">
        <v>54</v>
      </c>
      <c r="E55" s="43">
        <v>1</v>
      </c>
      <c r="F55" s="43">
        <v>284.76190476190476</v>
      </c>
    </row>
    <row r="56" spans="1:6">
      <c r="A56" t="str">
        <f>IFERROR(VLOOKUP(B56,[1]銷貨單品號主檔!$A:$D,4,0),"學習周邊")</f>
        <v>學習</v>
      </c>
      <c r="B56" s="40" t="s">
        <v>145</v>
      </c>
      <c r="C56" s="40" t="s">
        <v>357</v>
      </c>
      <c r="D56" s="40" t="s">
        <v>54</v>
      </c>
      <c r="E56" s="43">
        <v>2</v>
      </c>
      <c r="F56" s="43">
        <v>8188.5714285714284</v>
      </c>
    </row>
    <row r="57" spans="1:6">
      <c r="A57" t="str">
        <f>IFERROR(VLOOKUP(B57,[1]銷貨單品號主檔!$A:$D,4,0),"學習周邊")</f>
        <v>學習</v>
      </c>
      <c r="B57" s="40" t="s">
        <v>145</v>
      </c>
      <c r="C57" s="40" t="s">
        <v>358</v>
      </c>
      <c r="D57" s="40" t="s">
        <v>54</v>
      </c>
      <c r="E57" s="43">
        <v>1</v>
      </c>
      <c r="F57" s="43">
        <v>4094.2857142857142</v>
      </c>
    </row>
    <row r="58" spans="1:6">
      <c r="A58" t="str">
        <f>IFERROR(VLOOKUP(B58,[1]銷貨單品號主檔!$A:$D,4,0),"學習周邊")</f>
        <v>學習</v>
      </c>
      <c r="B58" s="40" t="s">
        <v>145</v>
      </c>
      <c r="C58" s="40" t="s">
        <v>367</v>
      </c>
      <c r="D58" s="40" t="s">
        <v>54</v>
      </c>
      <c r="E58" s="43">
        <v>1</v>
      </c>
      <c r="F58" s="43">
        <v>4094.2857142857142</v>
      </c>
    </row>
    <row r="59" spans="1:6">
      <c r="A59" t="str">
        <f>IFERROR(VLOOKUP(B59,[1]銷貨單品號主檔!$A:$D,4,0),"學習周邊")</f>
        <v>學習周邊</v>
      </c>
      <c r="B59" s="40" t="s">
        <v>101</v>
      </c>
      <c r="C59" s="40" t="s">
        <v>357</v>
      </c>
      <c r="D59" s="40" t="s">
        <v>54</v>
      </c>
      <c r="E59" s="43">
        <v>2</v>
      </c>
      <c r="F59" s="43">
        <v>1902.8571428571429</v>
      </c>
    </row>
    <row r="60" spans="1:6">
      <c r="A60" t="str">
        <f>IFERROR(VLOOKUP(B60,[1]銷貨單品號主檔!$A:$D,4,0),"學習周邊")</f>
        <v>學習周邊</v>
      </c>
      <c r="B60" s="40" t="s">
        <v>101</v>
      </c>
      <c r="C60" s="40" t="s">
        <v>359</v>
      </c>
      <c r="D60" s="40" t="s">
        <v>54</v>
      </c>
      <c r="E60" s="43">
        <v>1</v>
      </c>
      <c r="F60" s="43">
        <v>951.42857142857144</v>
      </c>
    </row>
    <row r="61" spans="1:6">
      <c r="A61" t="str">
        <f>IFERROR(VLOOKUP(B61,[1]銷貨單品號主檔!$A:$D,4,0),"學習周邊")</f>
        <v>學習周邊</v>
      </c>
      <c r="B61" s="40" t="s">
        <v>101</v>
      </c>
      <c r="C61" s="40" t="s">
        <v>366</v>
      </c>
      <c r="D61" s="40" t="s">
        <v>54</v>
      </c>
      <c r="E61" s="43">
        <v>1</v>
      </c>
      <c r="F61" s="43">
        <v>951.42857142857144</v>
      </c>
    </row>
    <row r="62" spans="1:6">
      <c r="A62" t="str">
        <f>IFERROR(VLOOKUP(B62,[1]銷貨單品號主檔!$A:$D,4,0),"學習周邊")</f>
        <v>學習</v>
      </c>
      <c r="B62" s="40" t="s">
        <v>132</v>
      </c>
      <c r="C62" s="40" t="s">
        <v>358</v>
      </c>
      <c r="D62" s="40" t="s">
        <v>54</v>
      </c>
      <c r="E62" s="43">
        <v>1</v>
      </c>
      <c r="F62" s="43">
        <v>3047.6190476190477</v>
      </c>
    </row>
    <row r="63" spans="1:6">
      <c r="A63" t="str">
        <f>IFERROR(VLOOKUP(B63,[1]銷貨單品號主檔!$A:$D,4,0),"學習周邊")</f>
        <v>學習</v>
      </c>
      <c r="B63" s="40" t="s">
        <v>132</v>
      </c>
      <c r="C63" s="40" t="s">
        <v>366</v>
      </c>
      <c r="D63" s="40" t="s">
        <v>54</v>
      </c>
      <c r="E63" s="43">
        <v>1</v>
      </c>
      <c r="F63" s="43">
        <v>3047.6190476190477</v>
      </c>
    </row>
    <row r="64" spans="1:6">
      <c r="A64" t="str">
        <f>IFERROR(VLOOKUP(B64,[1]銷貨單品號主檔!$A:$D,4,0),"學習周邊")</f>
        <v>學習</v>
      </c>
      <c r="B64" s="40" t="s">
        <v>132</v>
      </c>
      <c r="C64" s="40" t="s">
        <v>367</v>
      </c>
      <c r="D64" s="40" t="s">
        <v>54</v>
      </c>
      <c r="E64" s="43">
        <v>6</v>
      </c>
      <c r="F64" s="43">
        <v>18285.714285714286</v>
      </c>
    </row>
    <row r="65" spans="1:6">
      <c r="A65" t="str">
        <f>IFERROR(VLOOKUP(B65,[1]銷貨單品號主檔!$A:$D,4,0),"學習周邊")</f>
        <v>學習</v>
      </c>
      <c r="B65" s="40" t="s">
        <v>132</v>
      </c>
      <c r="C65" s="40" t="s">
        <v>385</v>
      </c>
      <c r="D65" s="40" t="s">
        <v>54</v>
      </c>
      <c r="E65" s="43">
        <v>2</v>
      </c>
      <c r="F65" s="43">
        <v>6095.2380952380954</v>
      </c>
    </row>
    <row r="66" spans="1:6">
      <c r="A66" t="str">
        <f>IFERROR(VLOOKUP(B66,[1]銷貨單品號主檔!$A:$D,4,0),"學習周邊")</f>
        <v>生活周邊</v>
      </c>
      <c r="B66" s="40" t="s">
        <v>369</v>
      </c>
      <c r="C66" s="40" t="s">
        <v>366</v>
      </c>
      <c r="D66" s="40" t="s">
        <v>54</v>
      </c>
      <c r="E66" s="43">
        <v>2</v>
      </c>
      <c r="F66" s="43">
        <v>760</v>
      </c>
    </row>
    <row r="67" spans="1:6">
      <c r="A67" t="str">
        <f>IFERROR(VLOOKUP(B67,[1]銷貨單品號主檔!$A:$D,4,0),"學習周邊")</f>
        <v>生活周邊</v>
      </c>
      <c r="B67" s="40" t="s">
        <v>256</v>
      </c>
      <c r="C67" s="40" t="s">
        <v>359</v>
      </c>
      <c r="D67" s="40" t="s">
        <v>54</v>
      </c>
      <c r="E67" s="43">
        <v>1</v>
      </c>
      <c r="F67" s="43">
        <v>289.52380952380952</v>
      </c>
    </row>
    <row r="68" spans="1:6">
      <c r="A68" t="str">
        <f>IFERROR(VLOOKUP(B68,[1]銷貨單品號主檔!$A:$D,4,0),"學習周邊")</f>
        <v>生活周邊</v>
      </c>
      <c r="B68" s="40" t="s">
        <v>46</v>
      </c>
      <c r="C68" s="40" t="s">
        <v>367</v>
      </c>
      <c r="D68" s="40" t="s">
        <v>54</v>
      </c>
      <c r="E68" s="43">
        <v>1</v>
      </c>
      <c r="F68" s="43">
        <v>1522.8571428571429</v>
      </c>
    </row>
    <row r="69" spans="1:6">
      <c r="A69" t="str">
        <f>IFERROR(VLOOKUP(B69,[1]銷貨單品號主檔!$A:$D,4,0),"學習周邊")</f>
        <v>生活周邊</v>
      </c>
      <c r="B69" s="40" t="s">
        <v>46</v>
      </c>
      <c r="C69" s="40" t="s">
        <v>385</v>
      </c>
      <c r="D69" s="40" t="s">
        <v>54</v>
      </c>
      <c r="E69" s="43">
        <v>1</v>
      </c>
      <c r="F69" s="43">
        <v>1522.8571428571429</v>
      </c>
    </row>
    <row r="70" spans="1:6">
      <c r="A70" t="str">
        <f>IFERROR(VLOOKUP(B70,[1]銷貨單品號主檔!$A:$D,4,0),"學習周邊")</f>
        <v>生活周邊</v>
      </c>
      <c r="B70" s="40" t="s">
        <v>258</v>
      </c>
      <c r="C70" s="40" t="s">
        <v>358</v>
      </c>
      <c r="D70" s="40" t="s">
        <v>54</v>
      </c>
      <c r="E70" s="43">
        <v>2</v>
      </c>
      <c r="F70" s="43">
        <v>1712.3809523809523</v>
      </c>
    </row>
    <row r="71" spans="1:6">
      <c r="A71" t="str">
        <f>IFERROR(VLOOKUP(B71,[1]銷貨單品號主檔!$A:$D,4,0),"學習周邊")</f>
        <v>生活周邊</v>
      </c>
      <c r="B71" s="40" t="s">
        <v>258</v>
      </c>
      <c r="C71" s="40" t="s">
        <v>367</v>
      </c>
      <c r="D71" s="40" t="s">
        <v>54</v>
      </c>
      <c r="E71" s="43">
        <v>2</v>
      </c>
      <c r="F71" s="43">
        <v>1712.3809523809523</v>
      </c>
    </row>
    <row r="72" spans="1:6">
      <c r="A72" t="str">
        <f>IFERROR(VLOOKUP(B72,[1]銷貨單品號主檔!$A:$D,4,0),"學習周邊")</f>
        <v>生活周邊</v>
      </c>
      <c r="B72" s="40" t="s">
        <v>260</v>
      </c>
      <c r="C72" s="40" t="s">
        <v>366</v>
      </c>
      <c r="D72" s="40" t="s">
        <v>54</v>
      </c>
      <c r="E72" s="43">
        <v>2</v>
      </c>
      <c r="F72" s="43">
        <v>760</v>
      </c>
    </row>
    <row r="73" spans="1:6">
      <c r="A73" t="str">
        <f>IFERROR(VLOOKUP(B73,[1]銷貨單品號主檔!$A:$D,4,0),"學習周邊")</f>
        <v>學習周邊</v>
      </c>
      <c r="B73" s="40" t="s">
        <v>120</v>
      </c>
      <c r="C73" s="40" t="s">
        <v>357</v>
      </c>
      <c r="D73" s="40" t="s">
        <v>54</v>
      </c>
      <c r="E73" s="43">
        <v>1</v>
      </c>
      <c r="F73" s="43">
        <v>665.71428571428567</v>
      </c>
    </row>
    <row r="74" spans="1:6">
      <c r="A74" t="str">
        <f>IFERROR(VLOOKUP(B74,[1]銷貨單品號主檔!$A:$D,4,0),"學習周邊")</f>
        <v>生活周邊</v>
      </c>
      <c r="B74" s="40" t="s">
        <v>263</v>
      </c>
      <c r="C74" s="40" t="s">
        <v>357</v>
      </c>
      <c r="D74" s="40" t="s">
        <v>54</v>
      </c>
      <c r="E74" s="43">
        <v>1</v>
      </c>
      <c r="F74" s="43">
        <v>1428.5714285714284</v>
      </c>
    </row>
    <row r="75" spans="1:6">
      <c r="A75" t="str">
        <f>IFERROR(VLOOKUP(B75,[1]銷貨單品號主檔!$A:$D,4,0),"學習周邊")</f>
        <v>生活周邊</v>
      </c>
      <c r="B75" s="40" t="s">
        <v>263</v>
      </c>
      <c r="C75" s="40" t="s">
        <v>385</v>
      </c>
      <c r="D75" s="40" t="s">
        <v>54</v>
      </c>
      <c r="E75" s="43">
        <v>1</v>
      </c>
      <c r="F75" s="43">
        <v>1428.5714285714284</v>
      </c>
    </row>
    <row r="76" spans="1:6">
      <c r="A76" t="str">
        <f>IFERROR(VLOOKUP(B76,[1]銷貨單品號主檔!$A:$D,4,0),"學習周邊")</f>
        <v>生活周邊</v>
      </c>
      <c r="B76" s="40" t="s">
        <v>264</v>
      </c>
      <c r="C76" s="40" t="s">
        <v>367</v>
      </c>
      <c r="D76" s="40" t="s">
        <v>54</v>
      </c>
      <c r="E76" s="43">
        <v>2</v>
      </c>
      <c r="F76" s="43">
        <v>666.66666666666663</v>
      </c>
    </row>
    <row r="77" spans="1:6">
      <c r="A77" t="str">
        <f>IFERROR(VLOOKUP(B77,[1]銷貨單品號主檔!$A:$D,4,0),"學習周邊")</f>
        <v>生活周邊</v>
      </c>
      <c r="B77" s="40" t="s">
        <v>266</v>
      </c>
      <c r="C77" s="40" t="s">
        <v>357</v>
      </c>
      <c r="D77" s="40" t="s">
        <v>54</v>
      </c>
      <c r="E77" s="43">
        <v>1</v>
      </c>
      <c r="F77" s="43">
        <v>1333.3333333333333</v>
      </c>
    </row>
    <row r="78" spans="1:6">
      <c r="A78" t="str">
        <f>IFERROR(VLOOKUP(B78,[1]銷貨單品號主檔!$A:$D,4,0),"學習周邊")</f>
        <v>生活周邊</v>
      </c>
      <c r="B78" s="40" t="s">
        <v>266</v>
      </c>
      <c r="C78" s="40" t="s">
        <v>366</v>
      </c>
      <c r="D78" s="40" t="s">
        <v>54</v>
      </c>
      <c r="E78" s="43">
        <v>1</v>
      </c>
      <c r="F78" s="43">
        <v>1333.3333333333333</v>
      </c>
    </row>
    <row r="79" spans="1:6">
      <c r="A79" t="str">
        <f>IFERROR(VLOOKUP(B79,[1]銷貨單品號主檔!$A:$D,4,0),"學習周邊")</f>
        <v>生活周邊</v>
      </c>
      <c r="B79" s="40" t="s">
        <v>267</v>
      </c>
      <c r="C79" s="40" t="s">
        <v>359</v>
      </c>
      <c r="D79" s="40" t="s">
        <v>54</v>
      </c>
      <c r="E79" s="43">
        <v>1</v>
      </c>
      <c r="F79" s="43">
        <v>714.28571428571422</v>
      </c>
    </row>
    <row r="80" spans="1:6">
      <c r="A80" t="str">
        <f>IFERROR(VLOOKUP(B80,[1]銷貨單品號主檔!$A:$D,4,0),"學習周邊")</f>
        <v>生活周邊</v>
      </c>
      <c r="B80" s="40" t="s">
        <v>267</v>
      </c>
      <c r="C80" s="40" t="s">
        <v>367</v>
      </c>
      <c r="D80" s="40" t="s">
        <v>54</v>
      </c>
      <c r="E80" s="43">
        <v>1</v>
      </c>
      <c r="F80" s="43">
        <v>714.28571428571422</v>
      </c>
    </row>
    <row r="81" spans="1:6">
      <c r="A81" t="str">
        <f>IFERROR(VLOOKUP(B81,[1]銷貨單品號主檔!$A:$D,4,0),"學習周邊")</f>
        <v>生活周邊</v>
      </c>
      <c r="B81" s="40" t="s">
        <v>267</v>
      </c>
      <c r="C81" s="40" t="s">
        <v>385</v>
      </c>
      <c r="D81" s="40" t="s">
        <v>54</v>
      </c>
      <c r="E81" s="43">
        <v>1</v>
      </c>
      <c r="F81" s="43">
        <v>714.28571428571422</v>
      </c>
    </row>
    <row r="82" spans="1:6">
      <c r="A82" t="str">
        <f>IFERROR(VLOOKUP(B82,[1]銷貨單品號主檔!$A:$D,4,0),"學習周邊")</f>
        <v>生活周邊</v>
      </c>
      <c r="B82" s="40" t="s">
        <v>268</v>
      </c>
      <c r="C82" s="40" t="s">
        <v>359</v>
      </c>
      <c r="D82" s="40" t="s">
        <v>54</v>
      </c>
      <c r="E82" s="43">
        <v>2</v>
      </c>
      <c r="F82" s="43">
        <v>1428.5714285714284</v>
      </c>
    </row>
    <row r="83" spans="1:6">
      <c r="A83" t="str">
        <f>IFERROR(VLOOKUP(B83,[1]銷貨單品號主檔!$A:$D,4,0),"學習周邊")</f>
        <v>生活周邊</v>
      </c>
      <c r="B83" s="40" t="s">
        <v>268</v>
      </c>
      <c r="C83" s="40" t="s">
        <v>367</v>
      </c>
      <c r="D83" s="40" t="s">
        <v>54</v>
      </c>
      <c r="E83" s="43">
        <v>1</v>
      </c>
      <c r="F83" s="43">
        <v>714.28571428571422</v>
      </c>
    </row>
    <row r="84" spans="1:6">
      <c r="A84" t="str">
        <f>IFERROR(VLOOKUP(B84,[1]銷貨單品號主檔!$A:$D,4,0),"學習周邊")</f>
        <v>生活周邊</v>
      </c>
      <c r="B84" s="40" t="s">
        <v>269</v>
      </c>
      <c r="C84" s="40" t="s">
        <v>367</v>
      </c>
      <c r="D84" s="40" t="s">
        <v>54</v>
      </c>
      <c r="E84" s="43">
        <v>1</v>
      </c>
      <c r="F84" s="43">
        <v>276.1904761904762</v>
      </c>
    </row>
    <row r="85" spans="1:6">
      <c r="A85" t="str">
        <f>IFERROR(VLOOKUP(B85,[1]銷貨單品號主檔!$A:$D,4,0),"學習周邊")</f>
        <v>生活周邊</v>
      </c>
      <c r="B85" s="40" t="s">
        <v>272</v>
      </c>
      <c r="C85" s="40" t="s">
        <v>357</v>
      </c>
      <c r="D85" s="40" t="s">
        <v>54</v>
      </c>
      <c r="E85" s="43">
        <v>1</v>
      </c>
      <c r="F85" s="43">
        <v>760.95238095238096</v>
      </c>
    </row>
    <row r="86" spans="1:6">
      <c r="A86" t="str">
        <f>IFERROR(VLOOKUP(B86,[1]銷貨單品號主檔!$A:$D,4,0),"學習周邊")</f>
        <v>生活周邊</v>
      </c>
      <c r="B86" s="40" t="s">
        <v>272</v>
      </c>
      <c r="C86" s="40" t="s">
        <v>359</v>
      </c>
      <c r="D86" s="40" t="s">
        <v>54</v>
      </c>
      <c r="E86" s="43">
        <v>2</v>
      </c>
      <c r="F86" s="43">
        <v>1521.9047619047619</v>
      </c>
    </row>
    <row r="87" spans="1:6">
      <c r="A87" t="str">
        <f>IFERROR(VLOOKUP(B87,[1]銷貨單品號主檔!$A:$D,4,0),"學習周邊")</f>
        <v>生活周邊</v>
      </c>
      <c r="B87" s="40" t="s">
        <v>272</v>
      </c>
      <c r="C87" s="40" t="s">
        <v>366</v>
      </c>
      <c r="D87" s="40" t="s">
        <v>54</v>
      </c>
      <c r="E87" s="43">
        <v>1</v>
      </c>
      <c r="F87" s="43">
        <v>760.95238095238096</v>
      </c>
    </row>
    <row r="88" spans="1:6">
      <c r="A88" t="str">
        <f>IFERROR(VLOOKUP(B88,[1]銷貨單品號主檔!$A:$D,4,0),"學習周邊")</f>
        <v>Mirafeel</v>
      </c>
      <c r="B88" s="40" t="s">
        <v>278</v>
      </c>
      <c r="C88" s="40" t="s">
        <v>366</v>
      </c>
      <c r="D88" s="40" t="s">
        <v>54</v>
      </c>
      <c r="E88" s="43">
        <v>1</v>
      </c>
      <c r="F88" s="43">
        <v>28.571428571428569</v>
      </c>
    </row>
    <row r="89" spans="1:6">
      <c r="A89" t="str">
        <f>IFERROR(VLOOKUP(B89,[1]銷貨單品號主檔!$A:$D,4,0),"學習周邊")</f>
        <v>Mirafeel</v>
      </c>
      <c r="B89" s="40" t="s">
        <v>189</v>
      </c>
      <c r="C89" s="40" t="s">
        <v>366</v>
      </c>
      <c r="D89" s="40" t="s">
        <v>54</v>
      </c>
      <c r="E89" s="43">
        <v>3</v>
      </c>
      <c r="F89" s="43">
        <v>6000</v>
      </c>
    </row>
    <row r="90" spans="1:6">
      <c r="A90" t="str">
        <f>IFERROR(VLOOKUP(B90,[1]銷貨單品號主檔!$A:$D,4,0),"學習周邊")</f>
        <v>Mirafeel</v>
      </c>
      <c r="B90" s="40" t="s">
        <v>280</v>
      </c>
      <c r="C90" s="40" t="s">
        <v>358</v>
      </c>
      <c r="D90" s="40" t="s">
        <v>54</v>
      </c>
      <c r="E90" s="43">
        <v>1</v>
      </c>
      <c r="F90" s="43">
        <v>2666.6666666666665</v>
      </c>
    </row>
    <row r="91" spans="1:6">
      <c r="A91" t="str">
        <f>IFERROR(VLOOKUP(B91,[1]銷貨單品號主檔!$A:$D,4,0),"學習周邊")</f>
        <v>Mirafeel</v>
      </c>
      <c r="B91" s="40" t="s">
        <v>280</v>
      </c>
      <c r="C91" s="40" t="s">
        <v>385</v>
      </c>
      <c r="D91" s="40" t="s">
        <v>174</v>
      </c>
      <c r="E91" s="43">
        <v>3</v>
      </c>
      <c r="F91" s="43">
        <v>8000</v>
      </c>
    </row>
    <row r="92" spans="1:6">
      <c r="A92" t="str">
        <f>IFERROR(VLOOKUP(B92,[1]銷貨單品號主檔!$A:$D,4,0),"學習周邊")</f>
        <v>學習周邊</v>
      </c>
      <c r="B92" s="40" t="s">
        <v>387</v>
      </c>
      <c r="C92" s="40" t="s">
        <v>385</v>
      </c>
      <c r="D92" s="40" t="s">
        <v>54</v>
      </c>
      <c r="E92" s="43">
        <v>0</v>
      </c>
      <c r="F92" s="43">
        <v>0</v>
      </c>
    </row>
    <row r="93" spans="1:6">
      <c r="A93" t="str">
        <f>IFERROR(VLOOKUP(B93,[1]銷貨單品號主檔!$A:$D,4,0),"學習周邊")</f>
        <v>生活周邊</v>
      </c>
      <c r="B93" s="40" t="s">
        <v>285</v>
      </c>
      <c r="C93" s="40" t="s">
        <v>357</v>
      </c>
      <c r="D93" s="40" t="s">
        <v>54</v>
      </c>
      <c r="E93" s="43">
        <v>1</v>
      </c>
      <c r="F93" s="43">
        <v>856.19047619047615</v>
      </c>
    </row>
    <row r="94" spans="1:6">
      <c r="A94" t="str">
        <f>IFERROR(VLOOKUP(B94,[1]銷貨單品號主檔!$A:$D,4,0),"學習周邊")</f>
        <v>生活周邊</v>
      </c>
      <c r="B94" s="40" t="s">
        <v>285</v>
      </c>
      <c r="C94" s="40" t="s">
        <v>367</v>
      </c>
      <c r="D94" s="40" t="s">
        <v>54</v>
      </c>
      <c r="E94" s="43">
        <v>1</v>
      </c>
      <c r="F94" s="43">
        <v>856.19047619047615</v>
      </c>
    </row>
    <row r="95" spans="1:6">
      <c r="A95" t="str">
        <f>IFERROR(VLOOKUP(B95,[1]銷貨單品號主檔!$A:$D,4,0),"學習周邊")</f>
        <v>生活周邊</v>
      </c>
      <c r="B95" s="40" t="s">
        <v>287</v>
      </c>
      <c r="C95" s="40" t="s">
        <v>357</v>
      </c>
      <c r="D95" s="40" t="s">
        <v>54</v>
      </c>
      <c r="E95" s="43">
        <v>1</v>
      </c>
      <c r="F95" s="43">
        <v>80</v>
      </c>
    </row>
    <row r="96" spans="1:6">
      <c r="A96" t="str">
        <f>IFERROR(VLOOKUP(B96,[1]銷貨單品號主檔!$A:$D,4,0),"學習周邊")</f>
        <v>生活周邊</v>
      </c>
      <c r="B96" s="40" t="s">
        <v>287</v>
      </c>
      <c r="C96" s="40" t="s">
        <v>359</v>
      </c>
      <c r="D96" s="40" t="s">
        <v>54</v>
      </c>
      <c r="E96" s="43">
        <v>2</v>
      </c>
      <c r="F96" s="43">
        <v>160</v>
      </c>
    </row>
    <row r="97" spans="1:6">
      <c r="A97" t="str">
        <f>IFERROR(VLOOKUP(B97,[1]銷貨單品號主檔!$A:$D,4,0),"學習周邊")</f>
        <v>生活周邊</v>
      </c>
      <c r="B97" s="40" t="s">
        <v>287</v>
      </c>
      <c r="C97" s="40" t="s">
        <v>367</v>
      </c>
      <c r="D97" s="40" t="s">
        <v>54</v>
      </c>
      <c r="E97" s="43">
        <v>1</v>
      </c>
      <c r="F97" s="43">
        <v>80</v>
      </c>
    </row>
    <row r="98" spans="1:6">
      <c r="A98" t="str">
        <f>IFERROR(VLOOKUP(B98,[1]銷貨單品號主檔!$A:$D,4,0),"學習周邊")</f>
        <v>生活周邊</v>
      </c>
      <c r="B98" s="40" t="s">
        <v>287</v>
      </c>
      <c r="C98" s="40" t="s">
        <v>385</v>
      </c>
      <c r="D98" s="40" t="s">
        <v>54</v>
      </c>
      <c r="E98" s="43">
        <v>2</v>
      </c>
      <c r="F98" s="43">
        <v>160</v>
      </c>
    </row>
    <row r="99" spans="1:6">
      <c r="A99" t="str">
        <f>IFERROR(VLOOKUP(B99,[1]銷貨單品號主檔!$A:$D,4,0),"學習周邊")</f>
        <v>生活周邊</v>
      </c>
      <c r="B99" s="40" t="s">
        <v>288</v>
      </c>
      <c r="C99" s="40" t="s">
        <v>367</v>
      </c>
      <c r="D99" s="40" t="s">
        <v>54</v>
      </c>
      <c r="E99" s="43">
        <v>1</v>
      </c>
      <c r="F99" s="43">
        <v>80</v>
      </c>
    </row>
    <row r="100" spans="1:6">
      <c r="A100" t="str">
        <f>IFERROR(VLOOKUP(B100,[1]銷貨單品號主檔!$A:$D,4,0),"學習周邊")</f>
        <v>生活周邊</v>
      </c>
      <c r="B100" s="40" t="s">
        <v>289</v>
      </c>
      <c r="C100" s="40" t="s">
        <v>367</v>
      </c>
      <c r="D100" s="40" t="s">
        <v>54</v>
      </c>
      <c r="E100" s="43">
        <v>1</v>
      </c>
      <c r="F100" s="43">
        <v>80</v>
      </c>
    </row>
    <row r="101" spans="1:6">
      <c r="A101" t="str">
        <f>IFERROR(VLOOKUP(B101,[1]銷貨單品號主檔!$A:$D,4,0),"學習周邊")</f>
        <v>學習</v>
      </c>
      <c r="B101" s="40" t="s">
        <v>118</v>
      </c>
      <c r="C101" s="40" t="s">
        <v>357</v>
      </c>
      <c r="D101" s="40" t="s">
        <v>54</v>
      </c>
      <c r="E101" s="43">
        <v>1</v>
      </c>
      <c r="F101" s="43">
        <v>2094.2857142857142</v>
      </c>
    </row>
    <row r="102" spans="1:6">
      <c r="A102" t="str">
        <f>IFERROR(VLOOKUP(B102,[1]銷貨單品號主檔!$A:$D,4,0),"學習周邊")</f>
        <v>學習</v>
      </c>
      <c r="B102" s="40" t="s">
        <v>118</v>
      </c>
      <c r="C102" s="40" t="s">
        <v>358</v>
      </c>
      <c r="D102" s="40" t="s">
        <v>54</v>
      </c>
      <c r="E102" s="43">
        <v>1</v>
      </c>
      <c r="F102" s="43">
        <v>2094.2857142857142</v>
      </c>
    </row>
    <row r="103" spans="1:6">
      <c r="A103" t="str">
        <f>IFERROR(VLOOKUP(B103,[1]銷貨單品號主檔!$A:$D,4,0),"學習周邊")</f>
        <v>學習</v>
      </c>
      <c r="B103" s="40" t="s">
        <v>118</v>
      </c>
      <c r="C103" s="40" t="s">
        <v>366</v>
      </c>
      <c r="D103" s="40" t="s">
        <v>54</v>
      </c>
      <c r="E103" s="43">
        <v>1</v>
      </c>
      <c r="F103" s="43">
        <v>2094.2857142857142</v>
      </c>
    </row>
    <row r="104" spans="1:6">
      <c r="A104" t="str">
        <f>IFERROR(VLOOKUP(B104,[1]銷貨單品號主檔!$A:$D,4,0),"學習周邊")</f>
        <v>學習</v>
      </c>
      <c r="B104" s="40" t="s">
        <v>118</v>
      </c>
      <c r="C104" s="40" t="s">
        <v>367</v>
      </c>
      <c r="D104" s="40" t="s">
        <v>54</v>
      </c>
      <c r="E104" s="43">
        <v>5</v>
      </c>
      <c r="F104" s="43">
        <v>10471.428571428571</v>
      </c>
    </row>
    <row r="105" spans="1:6">
      <c r="A105" t="str">
        <f>IFERROR(VLOOKUP(B105,[1]銷貨單品號主檔!$A:$D,4,0),"學習周邊")</f>
        <v>學習</v>
      </c>
      <c r="B105" s="40" t="s">
        <v>118</v>
      </c>
      <c r="C105" s="40" t="s">
        <v>385</v>
      </c>
      <c r="D105" s="40" t="s">
        <v>54</v>
      </c>
      <c r="E105" s="43">
        <v>1</v>
      </c>
      <c r="F105" s="43">
        <v>2094.2857142857142</v>
      </c>
    </row>
    <row r="106" spans="1:6">
      <c r="A106" t="str">
        <f>IFERROR(VLOOKUP(B106,[1]銷貨單品號主檔!$A:$D,4,0),"學習周邊")</f>
        <v>學習</v>
      </c>
      <c r="B106" s="40" t="s">
        <v>141</v>
      </c>
      <c r="C106" s="40" t="s">
        <v>357</v>
      </c>
      <c r="D106" s="40" t="s">
        <v>54</v>
      </c>
      <c r="E106" s="43">
        <v>1</v>
      </c>
      <c r="F106" s="43">
        <v>4666.6666666666661</v>
      </c>
    </row>
    <row r="107" spans="1:6">
      <c r="A107" t="str">
        <f>IFERROR(VLOOKUP(B107,[1]銷貨單品號主檔!$A:$D,4,0),"學習周邊")</f>
        <v>學習</v>
      </c>
      <c r="B107" s="40" t="s">
        <v>141</v>
      </c>
      <c r="C107" s="40" t="s">
        <v>358</v>
      </c>
      <c r="D107" s="40" t="s">
        <v>54</v>
      </c>
      <c r="E107" s="43">
        <v>1</v>
      </c>
      <c r="F107" s="43">
        <v>4666.6666666666661</v>
      </c>
    </row>
    <row r="108" spans="1:6">
      <c r="A108" t="str">
        <f>IFERROR(VLOOKUP(B108,[1]銷貨單品號主檔!$A:$D,4,0),"學習周邊")</f>
        <v>學習</v>
      </c>
      <c r="B108" s="40" t="s">
        <v>141</v>
      </c>
      <c r="C108" s="40" t="s">
        <v>359</v>
      </c>
      <c r="D108" s="40" t="s">
        <v>54</v>
      </c>
      <c r="E108" s="43">
        <v>1</v>
      </c>
      <c r="F108" s="43">
        <v>4666.6666666666661</v>
      </c>
    </row>
    <row r="109" spans="1:6">
      <c r="A109" t="str">
        <f>IFERROR(VLOOKUP(B109,[1]銷貨單品號主檔!$A:$D,4,0),"學習周邊")</f>
        <v>學習</v>
      </c>
      <c r="B109" s="40" t="s">
        <v>141</v>
      </c>
      <c r="C109" s="40" t="s">
        <v>366</v>
      </c>
      <c r="D109" s="40" t="s">
        <v>54</v>
      </c>
      <c r="E109" s="43">
        <v>6</v>
      </c>
      <c r="F109" s="43">
        <v>28000</v>
      </c>
    </row>
    <row r="110" spans="1:6">
      <c r="A110" t="str">
        <f>IFERROR(VLOOKUP(B110,[1]銷貨單品號主檔!$A:$D,4,0),"學習周邊")</f>
        <v>學習</v>
      </c>
      <c r="B110" s="40" t="s">
        <v>141</v>
      </c>
      <c r="C110" s="40" t="s">
        <v>367</v>
      </c>
      <c r="D110" s="40" t="s">
        <v>54</v>
      </c>
      <c r="E110" s="43">
        <v>4</v>
      </c>
      <c r="F110" s="43">
        <v>18666.666666666664</v>
      </c>
    </row>
    <row r="111" spans="1:6">
      <c r="A111" t="str">
        <f>IFERROR(VLOOKUP(B111,[1]銷貨單品號主檔!$A:$D,4,0),"學習周邊")</f>
        <v>學習</v>
      </c>
      <c r="B111" s="40" t="s">
        <v>141</v>
      </c>
      <c r="C111" s="40" t="s">
        <v>385</v>
      </c>
      <c r="D111" s="40" t="s">
        <v>54</v>
      </c>
      <c r="E111" s="43">
        <v>2</v>
      </c>
      <c r="F111" s="43">
        <v>9333.3333333333321</v>
      </c>
    </row>
    <row r="112" spans="1:6">
      <c r="A112" t="str">
        <f>IFERROR(VLOOKUP(B112,[1]銷貨單品號主檔!$A:$D,4,0),"學習周邊")</f>
        <v>學習</v>
      </c>
      <c r="B112" s="40" t="s">
        <v>158</v>
      </c>
      <c r="C112" s="40" t="s">
        <v>357</v>
      </c>
      <c r="D112" s="40" t="s">
        <v>54</v>
      </c>
      <c r="E112" s="43">
        <v>5</v>
      </c>
      <c r="F112" s="43">
        <v>11423.809523809523</v>
      </c>
    </row>
    <row r="113" spans="1:6">
      <c r="A113" t="str">
        <f>IFERROR(VLOOKUP(B113,[1]銷貨單品號主檔!$A:$D,4,0),"學習周邊")</f>
        <v>學習</v>
      </c>
      <c r="B113" s="40" t="s">
        <v>158</v>
      </c>
      <c r="C113" s="40" t="s">
        <v>358</v>
      </c>
      <c r="D113" s="40" t="s">
        <v>54</v>
      </c>
      <c r="E113" s="43">
        <v>1</v>
      </c>
      <c r="F113" s="43">
        <v>2284.7619047619046</v>
      </c>
    </row>
    <row r="114" spans="1:6">
      <c r="A114" t="str">
        <f>IFERROR(VLOOKUP(B114,[1]銷貨單品號主檔!$A:$D,4,0),"學習周邊")</f>
        <v>學習</v>
      </c>
      <c r="B114" s="40" t="s">
        <v>158</v>
      </c>
      <c r="C114" s="40" t="s">
        <v>359</v>
      </c>
      <c r="D114" s="40" t="s">
        <v>54</v>
      </c>
      <c r="E114" s="43">
        <v>3</v>
      </c>
      <c r="F114" s="43">
        <v>6854.2857142857138</v>
      </c>
    </row>
    <row r="115" spans="1:6">
      <c r="A115" t="str">
        <f>IFERROR(VLOOKUP(B115,[1]銷貨單品號主檔!$A:$D,4,0),"學習周邊")</f>
        <v>學習</v>
      </c>
      <c r="B115" s="40" t="s">
        <v>158</v>
      </c>
      <c r="C115" s="40" t="s">
        <v>366</v>
      </c>
      <c r="D115" s="40" t="s">
        <v>54</v>
      </c>
      <c r="E115" s="43">
        <v>4</v>
      </c>
      <c r="F115" s="43">
        <v>9139.0476190476184</v>
      </c>
    </row>
    <row r="116" spans="1:6">
      <c r="A116" t="str">
        <f>IFERROR(VLOOKUP(B116,[1]銷貨單品號主檔!$A:$D,4,0),"學習周邊")</f>
        <v>學習</v>
      </c>
      <c r="B116" s="40" t="s">
        <v>158</v>
      </c>
      <c r="C116" s="40" t="s">
        <v>367</v>
      </c>
      <c r="D116" s="40" t="s">
        <v>54</v>
      </c>
      <c r="E116" s="43">
        <v>8</v>
      </c>
      <c r="F116" s="43">
        <v>18278.095238095237</v>
      </c>
    </row>
    <row r="117" spans="1:6">
      <c r="A117" t="str">
        <f>IFERROR(VLOOKUP(B117,[1]銷貨單品號主檔!$A:$D,4,0),"學習周邊")</f>
        <v>學習</v>
      </c>
      <c r="B117" s="40" t="s">
        <v>158</v>
      </c>
      <c r="C117" s="40" t="s">
        <v>385</v>
      </c>
      <c r="D117" s="40" t="s">
        <v>54</v>
      </c>
      <c r="E117" s="43">
        <v>5</v>
      </c>
      <c r="F117" s="43">
        <v>11423.809523809523</v>
      </c>
    </row>
    <row r="118" spans="1:6">
      <c r="A118" t="str">
        <f>IFERROR(VLOOKUP(B118,[1]銷貨單品號主檔!$A:$D,4,0),"學習周邊")</f>
        <v>學習</v>
      </c>
      <c r="B118" s="40" t="s">
        <v>158</v>
      </c>
      <c r="C118" s="40" t="s">
        <v>385</v>
      </c>
      <c r="D118" s="40" t="s">
        <v>174</v>
      </c>
      <c r="E118" s="43">
        <v>1</v>
      </c>
      <c r="F118" s="43">
        <v>2284.7619047619046</v>
      </c>
    </row>
    <row r="119" spans="1:6">
      <c r="A119" t="str">
        <f>IFERROR(VLOOKUP(B119,[1]銷貨單品號主檔!$A:$D,4,0),"學習周邊")</f>
        <v>學習</v>
      </c>
      <c r="B119" s="40" t="s">
        <v>214</v>
      </c>
      <c r="C119" s="40" t="s">
        <v>357</v>
      </c>
      <c r="D119" s="40" t="s">
        <v>54</v>
      </c>
      <c r="E119" s="43">
        <v>3</v>
      </c>
      <c r="F119" s="43">
        <v>8568.5714285714275</v>
      </c>
    </row>
    <row r="120" spans="1:6">
      <c r="A120" t="str">
        <f>IFERROR(VLOOKUP(B120,[1]銷貨單品號主檔!$A:$D,4,0),"學習周邊")</f>
        <v>學習</v>
      </c>
      <c r="B120" s="40" t="s">
        <v>214</v>
      </c>
      <c r="C120" s="40" t="s">
        <v>358</v>
      </c>
      <c r="D120" s="40" t="s">
        <v>54</v>
      </c>
      <c r="E120" s="43">
        <v>1</v>
      </c>
      <c r="F120" s="43">
        <v>2856.1904761904761</v>
      </c>
    </row>
    <row r="121" spans="1:6">
      <c r="A121" t="str">
        <f>IFERROR(VLOOKUP(B121,[1]銷貨單品號主檔!$A:$D,4,0),"學習周邊")</f>
        <v>學習</v>
      </c>
      <c r="B121" s="40" t="s">
        <v>214</v>
      </c>
      <c r="C121" s="40" t="s">
        <v>366</v>
      </c>
      <c r="D121" s="40" t="s">
        <v>54</v>
      </c>
      <c r="E121" s="43">
        <v>3</v>
      </c>
      <c r="F121" s="43">
        <v>8568.5714285714275</v>
      </c>
    </row>
    <row r="122" spans="1:6">
      <c r="A122" t="str">
        <f>IFERROR(VLOOKUP(B122,[1]銷貨單品號主檔!$A:$D,4,0),"學習周邊")</f>
        <v>學習</v>
      </c>
      <c r="B122" s="40" t="s">
        <v>214</v>
      </c>
      <c r="C122" s="40" t="s">
        <v>367</v>
      </c>
      <c r="D122" s="40" t="s">
        <v>54</v>
      </c>
      <c r="E122" s="43">
        <v>3</v>
      </c>
      <c r="F122" s="43">
        <v>8568.5714285714275</v>
      </c>
    </row>
    <row r="123" spans="1:6">
      <c r="A123" t="str">
        <f>IFERROR(VLOOKUP(B123,[1]銷貨單品號主檔!$A:$D,4,0),"學習周邊")</f>
        <v>學習</v>
      </c>
      <c r="B123" s="40" t="s">
        <v>222</v>
      </c>
      <c r="C123" s="40" t="s">
        <v>357</v>
      </c>
      <c r="D123" s="40" t="s">
        <v>54</v>
      </c>
      <c r="E123" s="43">
        <v>1</v>
      </c>
      <c r="F123" s="43">
        <v>3047.6190476190477</v>
      </c>
    </row>
    <row r="124" spans="1:6">
      <c r="A124" t="str">
        <f>IFERROR(VLOOKUP(B124,[1]銷貨單品號主檔!$A:$D,4,0),"學習周邊")</f>
        <v>學習</v>
      </c>
      <c r="B124" s="40" t="s">
        <v>222</v>
      </c>
      <c r="C124" s="40" t="s">
        <v>358</v>
      </c>
      <c r="D124" s="40" t="s">
        <v>54</v>
      </c>
      <c r="E124" s="43">
        <v>1</v>
      </c>
      <c r="F124" s="43">
        <v>3047.6190476190477</v>
      </c>
    </row>
    <row r="125" spans="1:6">
      <c r="A125" t="str">
        <f>IFERROR(VLOOKUP(B125,[1]銷貨單品號主檔!$A:$D,4,0),"學習周邊")</f>
        <v>學習</v>
      </c>
      <c r="B125" s="40" t="s">
        <v>222</v>
      </c>
      <c r="C125" s="40" t="s">
        <v>359</v>
      </c>
      <c r="D125" s="40" t="s">
        <v>54</v>
      </c>
      <c r="E125" s="43">
        <v>3</v>
      </c>
      <c r="F125" s="43">
        <v>9142.8571428571431</v>
      </c>
    </row>
    <row r="126" spans="1:6">
      <c r="A126" t="str">
        <f>IFERROR(VLOOKUP(B126,[1]銷貨單品號主檔!$A:$D,4,0),"學習周邊")</f>
        <v>學習</v>
      </c>
      <c r="B126" s="40" t="s">
        <v>222</v>
      </c>
      <c r="C126" s="40" t="s">
        <v>366</v>
      </c>
      <c r="D126" s="40" t="s">
        <v>54</v>
      </c>
      <c r="E126" s="43">
        <v>2</v>
      </c>
      <c r="F126" s="43">
        <v>6095.2380952380954</v>
      </c>
    </row>
    <row r="127" spans="1:6">
      <c r="A127" t="str">
        <f>IFERROR(VLOOKUP(B127,[1]銷貨單品號主檔!$A:$D,4,0),"學習周邊")</f>
        <v>學習</v>
      </c>
      <c r="B127" s="40" t="s">
        <v>222</v>
      </c>
      <c r="C127" s="40" t="s">
        <v>367</v>
      </c>
      <c r="D127" s="40" t="s">
        <v>54</v>
      </c>
      <c r="E127" s="43">
        <v>3</v>
      </c>
      <c r="F127" s="43">
        <v>9142.8571428571431</v>
      </c>
    </row>
    <row r="128" spans="1:6">
      <c r="A128" t="str">
        <f>IFERROR(VLOOKUP(B128,[1]銷貨單品號主檔!$A:$D,4,0),"學習周邊")</f>
        <v>學習</v>
      </c>
      <c r="B128" s="40" t="s">
        <v>222</v>
      </c>
      <c r="C128" s="40" t="s">
        <v>385</v>
      </c>
      <c r="D128" s="40" t="s">
        <v>54</v>
      </c>
      <c r="E128" s="43">
        <v>1</v>
      </c>
      <c r="F128" s="43">
        <v>3047.6190476190477</v>
      </c>
    </row>
    <row r="129" spans="1:6">
      <c r="A129" t="str">
        <f>IFERROR(VLOOKUP(B129,[1]銷貨單品號主檔!$A:$D,4,0),"學習周邊")</f>
        <v>學習周邊</v>
      </c>
      <c r="B129" s="40" t="s">
        <v>55</v>
      </c>
      <c r="C129" s="40" t="s">
        <v>357</v>
      </c>
      <c r="D129" s="40" t="s">
        <v>54</v>
      </c>
      <c r="E129" s="43">
        <v>3</v>
      </c>
      <c r="F129" s="43">
        <v>759.04761904761904</v>
      </c>
    </row>
    <row r="130" spans="1:6">
      <c r="A130" t="str">
        <f>IFERROR(VLOOKUP(B130,[1]銷貨單品號主檔!$A:$D,4,0),"學習周邊")</f>
        <v>學習周邊</v>
      </c>
      <c r="B130" s="40" t="s">
        <v>55</v>
      </c>
      <c r="C130" s="40" t="s">
        <v>358</v>
      </c>
      <c r="D130" s="40" t="s">
        <v>54</v>
      </c>
      <c r="E130" s="43">
        <v>3</v>
      </c>
      <c r="F130" s="43">
        <v>568.57142857142856</v>
      </c>
    </row>
    <row r="131" spans="1:6">
      <c r="A131" t="str">
        <f>IFERROR(VLOOKUP(B131,[1]銷貨單品號主檔!$A:$D,4,0),"學習周邊")</f>
        <v>學習周邊</v>
      </c>
      <c r="B131" s="40" t="s">
        <v>55</v>
      </c>
      <c r="C131" s="40" t="s">
        <v>359</v>
      </c>
      <c r="D131" s="40" t="s">
        <v>54</v>
      </c>
      <c r="E131" s="43">
        <v>2</v>
      </c>
      <c r="F131" s="43">
        <v>569.52380952380952</v>
      </c>
    </row>
    <row r="132" spans="1:6">
      <c r="A132" t="str">
        <f>IFERROR(VLOOKUP(B132,[1]銷貨單品號主檔!$A:$D,4,0),"學習周邊")</f>
        <v>學習周邊</v>
      </c>
      <c r="B132" s="40" t="s">
        <v>55</v>
      </c>
      <c r="C132" s="40" t="s">
        <v>366</v>
      </c>
      <c r="D132" s="40" t="s">
        <v>54</v>
      </c>
      <c r="E132" s="43">
        <v>2</v>
      </c>
      <c r="F132" s="43">
        <v>379.04761904761904</v>
      </c>
    </row>
    <row r="133" spans="1:6">
      <c r="A133" t="str">
        <f>IFERROR(VLOOKUP(B133,[1]銷貨單品號主檔!$A:$D,4,0),"學習周邊")</f>
        <v>學習周邊</v>
      </c>
      <c r="B133" s="40" t="s">
        <v>55</v>
      </c>
      <c r="C133" s="40" t="s">
        <v>367</v>
      </c>
      <c r="D133" s="40" t="s">
        <v>54</v>
      </c>
      <c r="E133" s="43">
        <v>6</v>
      </c>
      <c r="F133" s="43">
        <v>1422.8571428571429</v>
      </c>
    </row>
    <row r="134" spans="1:6">
      <c r="A134" t="str">
        <f>IFERROR(VLOOKUP(B134,[1]銷貨單品號主檔!$A:$D,4,0),"學習周邊")</f>
        <v>學習周邊</v>
      </c>
      <c r="B134" s="40" t="s">
        <v>55</v>
      </c>
      <c r="C134" s="40" t="s">
        <v>385</v>
      </c>
      <c r="D134" s="40" t="s">
        <v>54</v>
      </c>
      <c r="E134" s="43">
        <v>3</v>
      </c>
      <c r="F134" s="43">
        <v>663.80952380952374</v>
      </c>
    </row>
    <row r="135" spans="1:6">
      <c r="A135" t="str">
        <f>IFERROR(VLOOKUP(B135,[1]銷貨單品號主檔!$A:$D,4,0),"學習周邊")</f>
        <v>生活周邊</v>
      </c>
      <c r="B135" s="40" t="s">
        <v>234</v>
      </c>
      <c r="C135" s="40" t="s">
        <v>359</v>
      </c>
      <c r="D135" s="40" t="s">
        <v>54</v>
      </c>
      <c r="E135" s="43">
        <v>1</v>
      </c>
      <c r="F135" s="43">
        <v>1046.6666666666665</v>
      </c>
    </row>
    <row r="136" spans="1:6">
      <c r="A136" t="str">
        <f>IFERROR(VLOOKUP(B136,[1]銷貨單品號主檔!$A:$D,4,0),"學習周邊")</f>
        <v>生活周邊</v>
      </c>
      <c r="B136" s="40" t="s">
        <v>232</v>
      </c>
      <c r="C136" s="40" t="s">
        <v>357</v>
      </c>
      <c r="D136" s="40" t="s">
        <v>54</v>
      </c>
      <c r="E136" s="43">
        <v>1</v>
      </c>
      <c r="F136" s="43">
        <v>856.19047619047615</v>
      </c>
    </row>
    <row r="137" spans="1:6">
      <c r="A137" t="str">
        <f>IFERROR(VLOOKUP(B137,[1]銷貨單品號主檔!$A:$D,4,0),"學習周邊")</f>
        <v>生活周邊</v>
      </c>
      <c r="B137" s="40" t="s">
        <v>232</v>
      </c>
      <c r="C137" s="40" t="s">
        <v>366</v>
      </c>
      <c r="D137" s="40" t="s">
        <v>54</v>
      </c>
      <c r="E137" s="43">
        <v>1</v>
      </c>
      <c r="F137" s="43">
        <v>856.19047619047615</v>
      </c>
    </row>
    <row r="138" spans="1:6">
      <c r="A138" t="str">
        <f>IFERROR(VLOOKUP(B138,[1]銷貨單品號主檔!$A:$D,4,0),"學習周邊")</f>
        <v>生活周邊</v>
      </c>
      <c r="B138" s="40" t="s">
        <v>232</v>
      </c>
      <c r="C138" s="40" t="s">
        <v>385</v>
      </c>
      <c r="D138" s="40" t="s">
        <v>54</v>
      </c>
      <c r="E138" s="43">
        <v>1</v>
      </c>
      <c r="F138" s="43">
        <v>856.19047619047615</v>
      </c>
    </row>
    <row r="139" spans="1:6">
      <c r="A139" t="str">
        <f>IFERROR(VLOOKUP(B139,[1]銷貨單品號主檔!$A:$D,4,0),"學習周邊")</f>
        <v>生活周邊</v>
      </c>
      <c r="B139" s="40" t="s">
        <v>294</v>
      </c>
      <c r="C139" s="40" t="s">
        <v>358</v>
      </c>
      <c r="D139" s="40" t="s">
        <v>54</v>
      </c>
      <c r="E139" s="43">
        <v>1</v>
      </c>
      <c r="F139" s="43">
        <v>1428.5714285714284</v>
      </c>
    </row>
    <row r="140" spans="1:6">
      <c r="A140" t="str">
        <f>IFERROR(VLOOKUP(B140,[1]銷貨單品號主檔!$A:$D,4,0),"學習周邊")</f>
        <v>生活周邊</v>
      </c>
      <c r="B140" s="40" t="s">
        <v>294</v>
      </c>
      <c r="C140" s="40" t="s">
        <v>366</v>
      </c>
      <c r="D140" s="40" t="s">
        <v>54</v>
      </c>
      <c r="E140" s="43">
        <v>1</v>
      </c>
      <c r="F140" s="43">
        <v>1428.5714285714284</v>
      </c>
    </row>
    <row r="141" spans="1:6">
      <c r="A141" t="str">
        <f>IFERROR(VLOOKUP(B141,[1]銷貨單品號主檔!$A:$D,4,0),"學習周邊")</f>
        <v>生活周邊</v>
      </c>
      <c r="B141" s="40" t="s">
        <v>294</v>
      </c>
      <c r="C141" s="40" t="s">
        <v>385</v>
      </c>
      <c r="D141" s="40" t="s">
        <v>54</v>
      </c>
      <c r="E141" s="43">
        <v>1</v>
      </c>
      <c r="F141" s="43">
        <v>1428.5714285714284</v>
      </c>
    </row>
    <row r="142" spans="1:6">
      <c r="A142" t="str">
        <f>IFERROR(VLOOKUP(B142,[1]銷貨單品號主檔!$A:$D,4,0),"學習周邊")</f>
        <v>生活周邊</v>
      </c>
      <c r="B142" s="40" t="s">
        <v>295</v>
      </c>
      <c r="C142" s="40" t="s">
        <v>359</v>
      </c>
      <c r="D142" s="40" t="s">
        <v>54</v>
      </c>
      <c r="E142" s="43">
        <v>1</v>
      </c>
      <c r="F142" s="43">
        <v>1332.3809523809523</v>
      </c>
    </row>
    <row r="143" spans="1:6">
      <c r="A143" t="str">
        <f>IFERROR(VLOOKUP(B143,[1]銷貨單品號主檔!$A:$D,4,0),"學習周邊")</f>
        <v>生活周邊</v>
      </c>
      <c r="B143" s="40" t="s">
        <v>295</v>
      </c>
      <c r="C143" s="40" t="s">
        <v>367</v>
      </c>
      <c r="D143" s="40" t="s">
        <v>54</v>
      </c>
      <c r="E143" s="43">
        <v>1</v>
      </c>
      <c r="F143" s="43">
        <v>1332.3809523809523</v>
      </c>
    </row>
    <row r="144" spans="1:6">
      <c r="A144" t="str">
        <f>IFERROR(VLOOKUP(B144,[1]銷貨單品號主檔!$A:$D,4,0),"學習周邊")</f>
        <v>生活周邊</v>
      </c>
      <c r="B144" s="40" t="s">
        <v>296</v>
      </c>
      <c r="C144" s="40" t="s">
        <v>359</v>
      </c>
      <c r="D144" s="40" t="s">
        <v>54</v>
      </c>
      <c r="E144" s="43">
        <v>1</v>
      </c>
      <c r="F144" s="43">
        <v>475.23809523809524</v>
      </c>
    </row>
    <row r="145" spans="1:6">
      <c r="A145" t="str">
        <f>IFERROR(VLOOKUP(B145,[1]銷貨單品號主檔!$A:$D,4,0),"學習周邊")</f>
        <v>生活周邊</v>
      </c>
      <c r="B145" s="40" t="s">
        <v>370</v>
      </c>
      <c r="C145" s="40" t="s">
        <v>367</v>
      </c>
      <c r="D145" s="40" t="s">
        <v>54</v>
      </c>
      <c r="E145" s="43">
        <v>1</v>
      </c>
      <c r="F145" s="43">
        <v>475.23809523809524</v>
      </c>
    </row>
    <row r="146" spans="1:6">
      <c r="A146" t="str">
        <f>IFERROR(VLOOKUP(B146,[1]銷貨單品號主檔!$A:$D,4,0),"學習周邊")</f>
        <v>生活周邊</v>
      </c>
      <c r="B146" s="40" t="s">
        <v>360</v>
      </c>
      <c r="C146" s="40" t="s">
        <v>359</v>
      </c>
      <c r="D146" s="40" t="s">
        <v>54</v>
      </c>
      <c r="E146" s="43">
        <v>1</v>
      </c>
      <c r="F146" s="43">
        <v>570.47619047619048</v>
      </c>
    </row>
    <row r="147" spans="1:6">
      <c r="A147" t="str">
        <f>IFERROR(VLOOKUP(B147,[1]銷貨單品號主檔!$A:$D,4,0),"學習周邊")</f>
        <v>生活周邊</v>
      </c>
      <c r="B147" s="40" t="s">
        <v>360</v>
      </c>
      <c r="C147" s="40" t="s">
        <v>367</v>
      </c>
      <c r="D147" s="40" t="s">
        <v>54</v>
      </c>
      <c r="E147" s="43">
        <v>1</v>
      </c>
      <c r="F147" s="43">
        <v>570.47619047619048</v>
      </c>
    </row>
    <row r="148" spans="1:6">
      <c r="A148" t="str">
        <f>IFERROR(VLOOKUP(B148,[1]銷貨單品號主檔!$A:$D,4,0),"學習周邊")</f>
        <v>生活周邊</v>
      </c>
      <c r="B148" s="40" t="s">
        <v>300</v>
      </c>
      <c r="C148" s="40" t="s">
        <v>359</v>
      </c>
      <c r="D148" s="40" t="s">
        <v>54</v>
      </c>
      <c r="E148" s="43">
        <v>1</v>
      </c>
      <c r="F148" s="43">
        <v>190.47619047619048</v>
      </c>
    </row>
    <row r="149" spans="1:6">
      <c r="A149" t="str">
        <f>IFERROR(VLOOKUP(B149,[1]銷貨單品號主檔!$A:$D,4,0),"學習周邊")</f>
        <v>生活周邊</v>
      </c>
      <c r="B149" s="40" t="s">
        <v>300</v>
      </c>
      <c r="C149" s="40" t="s">
        <v>367</v>
      </c>
      <c r="D149" s="40" t="s">
        <v>54</v>
      </c>
      <c r="E149" s="43">
        <v>1</v>
      </c>
      <c r="F149" s="43">
        <v>190.47619047619048</v>
      </c>
    </row>
    <row r="150" spans="1:6">
      <c r="A150" t="str">
        <f>IFERROR(VLOOKUP(B150,[1]銷貨單品號主檔!$A:$D,4,0),"學習周邊")</f>
        <v>學習周邊</v>
      </c>
      <c r="B150" s="40" t="s">
        <v>229</v>
      </c>
      <c r="C150" s="40" t="s">
        <v>358</v>
      </c>
      <c r="D150" s="40" t="s">
        <v>54</v>
      </c>
      <c r="E150" s="43">
        <v>2</v>
      </c>
      <c r="F150" s="43">
        <v>760</v>
      </c>
    </row>
    <row r="151" spans="1:6">
      <c r="A151" t="str">
        <f>IFERROR(VLOOKUP(B151,[1]銷貨單品號主檔!$A:$D,4,0),"學習周邊")</f>
        <v>學習周邊</v>
      </c>
      <c r="B151" s="40" t="s">
        <v>229</v>
      </c>
      <c r="C151" s="40" t="s">
        <v>366</v>
      </c>
      <c r="D151" s="40" t="s">
        <v>54</v>
      </c>
      <c r="E151" s="43">
        <v>2</v>
      </c>
      <c r="F151" s="43">
        <v>760</v>
      </c>
    </row>
    <row r="152" spans="1:6">
      <c r="A152" t="str">
        <f>IFERROR(VLOOKUP(B152,[1]銷貨單品號主檔!$A:$D,4,0),"學習周邊")</f>
        <v>學習周邊</v>
      </c>
      <c r="B152" s="40" t="s">
        <v>302</v>
      </c>
      <c r="C152" s="40" t="s">
        <v>359</v>
      </c>
      <c r="D152" s="40" t="s">
        <v>54</v>
      </c>
      <c r="E152" s="43">
        <v>0</v>
      </c>
      <c r="F152" s="43">
        <v>0</v>
      </c>
    </row>
    <row r="153" spans="1:6">
      <c r="A153" t="str">
        <f>IFERROR(VLOOKUP(B153,[1]銷貨單品號主檔!$A:$D,4,0),"學習周邊")</f>
        <v>學習周邊</v>
      </c>
      <c r="B153" s="40" t="s">
        <v>302</v>
      </c>
      <c r="C153" s="40" t="s">
        <v>367</v>
      </c>
      <c r="D153" s="40" t="s">
        <v>54</v>
      </c>
      <c r="E153" s="43">
        <v>0</v>
      </c>
      <c r="F153" s="43">
        <v>0</v>
      </c>
    </row>
    <row r="154" spans="1:6">
      <c r="A154" t="str">
        <f>IFERROR(VLOOKUP(B154,[1]銷貨單品號主檔!$A:$D,4,0),"學習周邊")</f>
        <v>生活周邊</v>
      </c>
      <c r="B154" s="40" t="s">
        <v>230</v>
      </c>
      <c r="C154" s="40" t="s">
        <v>357</v>
      </c>
      <c r="D154" s="40" t="s">
        <v>54</v>
      </c>
      <c r="E154" s="43">
        <v>2</v>
      </c>
      <c r="F154" s="43">
        <v>2283.8095238095239</v>
      </c>
    </row>
    <row r="155" spans="1:6">
      <c r="A155" t="str">
        <f>IFERROR(VLOOKUP(B155,[1]銷貨單品號主檔!$A:$D,4,0),"學習周邊")</f>
        <v>生活周邊</v>
      </c>
      <c r="B155" s="40" t="s">
        <v>231</v>
      </c>
      <c r="C155" s="40" t="s">
        <v>357</v>
      </c>
      <c r="D155" s="40" t="s">
        <v>54</v>
      </c>
      <c r="E155" s="43">
        <v>3</v>
      </c>
      <c r="F155" s="43">
        <v>3140</v>
      </c>
    </row>
    <row r="156" spans="1:6">
      <c r="A156" t="str">
        <f>IFERROR(VLOOKUP(B156,[1]銷貨單品號主檔!$A:$D,4,0),"學習周邊")</f>
        <v>生活周邊</v>
      </c>
      <c r="B156" s="40" t="s">
        <v>231</v>
      </c>
      <c r="C156" s="40" t="s">
        <v>359</v>
      </c>
      <c r="D156" s="40" t="s">
        <v>54</v>
      </c>
      <c r="E156" s="43">
        <v>1</v>
      </c>
      <c r="F156" s="43">
        <v>1046.6666666666665</v>
      </c>
    </row>
    <row r="157" spans="1:6">
      <c r="A157" t="str">
        <f>IFERROR(VLOOKUP(B157,[1]銷貨單品號主檔!$A:$D,4,0),"學習周邊")</f>
        <v>生活周邊</v>
      </c>
      <c r="B157" s="40" t="s">
        <v>303</v>
      </c>
      <c r="C157" s="40" t="s">
        <v>357</v>
      </c>
      <c r="D157" s="40" t="s">
        <v>54</v>
      </c>
      <c r="E157" s="43">
        <v>5</v>
      </c>
      <c r="F157" s="43">
        <v>1519.047619047619</v>
      </c>
    </row>
    <row r="158" spans="1:6">
      <c r="A158" t="str">
        <f>IFERROR(VLOOKUP(B158,[1]銷貨單品號主檔!$A:$D,4,0),"學習周邊")</f>
        <v>生活周邊</v>
      </c>
      <c r="B158" s="40" t="s">
        <v>303</v>
      </c>
      <c r="C158" s="40" t="s">
        <v>359</v>
      </c>
      <c r="D158" s="40" t="s">
        <v>54</v>
      </c>
      <c r="E158" s="43">
        <v>2</v>
      </c>
      <c r="F158" s="43">
        <v>664.7619047619047</v>
      </c>
    </row>
    <row r="159" spans="1:6">
      <c r="A159">
        <f>IFERROR(VLOOKUP(B159,[1]銷貨單品號主檔!$A:$D,4,0),"學習周邊")</f>
        <v>0</v>
      </c>
      <c r="C159"/>
      <c r="E159"/>
    </row>
    <row r="160" spans="1:6">
      <c r="A160">
        <f>IFERROR(VLOOKUP(B160,[1]銷貨單品號主檔!$A:$D,4,0),"學習周邊")</f>
        <v>0</v>
      </c>
      <c r="C160"/>
      <c r="E160"/>
    </row>
    <row r="161" spans="1:5">
      <c r="A161">
        <f>IFERROR(VLOOKUP(B161,[1]銷貨單品號主檔!$A:$D,4,0),"學習周邊")</f>
        <v>0</v>
      </c>
      <c r="C161"/>
      <c r="E161"/>
    </row>
    <row r="162" spans="1:5">
      <c r="A162">
        <f>IFERROR(VLOOKUP(B162,[1]銷貨單品號主檔!$A:$D,4,0),"學習周邊")</f>
        <v>0</v>
      </c>
      <c r="C162"/>
      <c r="E162"/>
    </row>
    <row r="163" spans="1:5">
      <c r="A163">
        <f>IFERROR(VLOOKUP(B163,[1]銷貨單品號主檔!$A:$D,4,0),"學習周邊")</f>
        <v>0</v>
      </c>
      <c r="C163"/>
      <c r="E163"/>
    </row>
    <row r="164" spans="1:5">
      <c r="A164">
        <f>IFERROR(VLOOKUP(B164,[1]銷貨單品號主檔!$A:$D,4,0),"學習周邊")</f>
        <v>0</v>
      </c>
      <c r="C164"/>
      <c r="E164"/>
    </row>
    <row r="165" spans="1:5">
      <c r="A165">
        <f>IFERROR(VLOOKUP(B165,[1]銷貨單品號主檔!$A:$D,4,0),"學習周邊")</f>
        <v>0</v>
      </c>
      <c r="C165"/>
      <c r="E165"/>
    </row>
    <row r="166" spans="1:5">
      <c r="A166">
        <f>IFERROR(VLOOKUP(B166,[1]銷貨單品號主檔!$A:$D,4,0),"學習周邊")</f>
        <v>0</v>
      </c>
      <c r="C166"/>
      <c r="E166"/>
    </row>
    <row r="167" spans="1:5">
      <c r="A167">
        <f>IFERROR(VLOOKUP(B167,[1]銷貨單品號主檔!$A:$D,4,0),"學習周邊")</f>
        <v>0</v>
      </c>
      <c r="C167"/>
      <c r="E167"/>
    </row>
    <row r="168" spans="1:5">
      <c r="A168">
        <f>IFERROR(VLOOKUP(B168,[1]銷貨單品號主檔!$A:$D,4,0),"學習周邊")</f>
        <v>0</v>
      </c>
      <c r="C168"/>
      <c r="E168"/>
    </row>
    <row r="169" spans="1:5">
      <c r="A169">
        <f>IFERROR(VLOOKUP(B169,[1]銷貨單品號主檔!$A:$D,4,0),"學習周邊")</f>
        <v>0</v>
      </c>
      <c r="C169"/>
      <c r="E169"/>
    </row>
    <row r="170" spans="1:5">
      <c r="A170">
        <f>IFERROR(VLOOKUP(B170,[1]銷貨單品號主檔!$A:$D,4,0),"學習周邊")</f>
        <v>0</v>
      </c>
      <c r="C170"/>
      <c r="E170"/>
    </row>
    <row r="171" spans="1:5">
      <c r="A171">
        <f>IFERROR(VLOOKUP(B171,[1]銷貨單品號主檔!$A:$D,4,0),"學習周邊")</f>
        <v>0</v>
      </c>
      <c r="C171"/>
      <c r="E171"/>
    </row>
    <row r="172" spans="1:5">
      <c r="A172">
        <f>IFERROR(VLOOKUP(B172,[1]銷貨單品號主檔!$A:$D,4,0),"學習周邊")</f>
        <v>0</v>
      </c>
      <c r="C172"/>
      <c r="E172"/>
    </row>
    <row r="173" spans="1:5">
      <c r="A173">
        <f>IFERROR(VLOOKUP(B173,[1]銷貨單品號主檔!$A:$D,4,0),"學習周邊")</f>
        <v>0</v>
      </c>
      <c r="C173"/>
      <c r="E173"/>
    </row>
    <row r="174" spans="1:5">
      <c r="A174">
        <f>IFERROR(VLOOKUP(B174,[1]銷貨單品號主檔!$A:$D,4,0),"學習周邊")</f>
        <v>0</v>
      </c>
      <c r="C174"/>
      <c r="E174"/>
    </row>
    <row r="175" spans="1:5">
      <c r="A175">
        <f>IFERROR(VLOOKUP(B175,[1]銷貨單品號主檔!$A:$D,4,0),"學習周邊")</f>
        <v>0</v>
      </c>
      <c r="C175"/>
      <c r="E175"/>
    </row>
    <row r="176" spans="1:5">
      <c r="A176">
        <f>IFERROR(VLOOKUP(B176,[1]銷貨單品號主檔!$A:$D,4,0),"學習周邊")</f>
        <v>0</v>
      </c>
      <c r="C176"/>
      <c r="E176"/>
    </row>
    <row r="177" spans="1:5">
      <c r="A177">
        <f>IFERROR(VLOOKUP(B177,[1]銷貨單品號主檔!$A:$D,4,0),"學習周邊")</f>
        <v>0</v>
      </c>
      <c r="C177"/>
      <c r="E177"/>
    </row>
    <row r="178" spans="1:5">
      <c r="A178">
        <f>IFERROR(VLOOKUP(B178,[1]銷貨單品號主檔!$A:$D,4,0),"學習周邊")</f>
        <v>0</v>
      </c>
      <c r="C178"/>
      <c r="E178"/>
    </row>
    <row r="179" spans="1:5">
      <c r="A179">
        <f>IFERROR(VLOOKUP(B179,[1]銷貨單品號主檔!$A:$D,4,0),"學習周邊")</f>
        <v>0</v>
      </c>
      <c r="C179"/>
      <c r="E179"/>
    </row>
    <row r="180" spans="1:5">
      <c r="A180">
        <f>IFERROR(VLOOKUP(B180,[1]銷貨單品號主檔!$A:$D,4,0),"學習周邊")</f>
        <v>0</v>
      </c>
      <c r="C180"/>
      <c r="E180"/>
    </row>
    <row r="181" spans="1:5">
      <c r="A181">
        <f>IFERROR(VLOOKUP(B181,[1]銷貨單品號主檔!$A:$D,4,0),"學習周邊")</f>
        <v>0</v>
      </c>
      <c r="C181"/>
      <c r="E181"/>
    </row>
    <row r="182" spans="1:5">
      <c r="A182">
        <f>IFERROR(VLOOKUP(B182,[1]銷貨單品號主檔!$A:$D,4,0),"學習周邊")</f>
        <v>0</v>
      </c>
      <c r="C182"/>
      <c r="E182"/>
    </row>
    <row r="183" spans="1:5">
      <c r="A183">
        <f>IFERROR(VLOOKUP(B183,[1]銷貨單品號主檔!$A:$D,4,0),"學習周邊")</f>
        <v>0</v>
      </c>
      <c r="C183"/>
      <c r="E183"/>
    </row>
    <row r="184" spans="1:5">
      <c r="A184">
        <f>IFERROR(VLOOKUP(B184,[1]銷貨單品號主檔!$A:$D,4,0),"學習周邊")</f>
        <v>0</v>
      </c>
      <c r="C184"/>
      <c r="E184"/>
    </row>
    <row r="185" spans="1:5">
      <c r="A185">
        <f>IFERROR(VLOOKUP(B185,[1]銷貨單品號主檔!$A:$D,4,0),"學習周邊")</f>
        <v>0</v>
      </c>
      <c r="C185"/>
      <c r="E185"/>
    </row>
    <row r="186" spans="1:5">
      <c r="A186">
        <f>IFERROR(VLOOKUP(B186,[1]銷貨單品號主檔!$A:$D,4,0),"學習周邊")</f>
        <v>0</v>
      </c>
      <c r="C186"/>
      <c r="E186"/>
    </row>
    <row r="187" spans="1:5">
      <c r="A187">
        <f>IFERROR(VLOOKUP(B187,[1]銷貨單品號主檔!$A:$D,4,0),"學習周邊")</f>
        <v>0</v>
      </c>
      <c r="C187"/>
      <c r="E187"/>
    </row>
    <row r="188" spans="1:5">
      <c r="A188">
        <f>IFERROR(VLOOKUP(B188,[1]銷貨單品號主檔!$A:$D,4,0),"學習周邊")</f>
        <v>0</v>
      </c>
      <c r="C188"/>
      <c r="E188"/>
    </row>
    <row r="189" spans="1:5">
      <c r="A189">
        <f>IFERROR(VLOOKUP(B189,[1]銷貨單品號主檔!$A:$D,4,0),"學習周邊")</f>
        <v>0</v>
      </c>
      <c r="C189"/>
      <c r="E189"/>
    </row>
    <row r="190" spans="1:5">
      <c r="A190">
        <f>IFERROR(VLOOKUP(B190,[1]銷貨單品號主檔!$A:$D,4,0),"學習周邊")</f>
        <v>0</v>
      </c>
      <c r="C190"/>
      <c r="E190"/>
    </row>
    <row r="191" spans="1:5">
      <c r="A191">
        <f>IFERROR(VLOOKUP(B191,[1]銷貨單品號主檔!$A:$D,4,0),"學習周邊")</f>
        <v>0</v>
      </c>
      <c r="C191"/>
      <c r="E191"/>
    </row>
    <row r="192" spans="1:5">
      <c r="A192">
        <f>IFERROR(VLOOKUP(B192,[1]銷貨單品號主檔!$A:$D,4,0),"學習周邊")</f>
        <v>0</v>
      </c>
      <c r="C192"/>
      <c r="E192"/>
    </row>
    <row r="193" spans="1:5">
      <c r="A193">
        <f>IFERROR(VLOOKUP(B193,[1]銷貨單品號主檔!$A:$D,4,0),"學習周邊")</f>
        <v>0</v>
      </c>
      <c r="C193"/>
      <c r="E193"/>
    </row>
    <row r="194" spans="1:5">
      <c r="A194">
        <f>IFERROR(VLOOKUP(B194,[1]銷貨單品號主檔!$A:$D,4,0),"學習周邊")</f>
        <v>0</v>
      </c>
      <c r="C194"/>
      <c r="E194"/>
    </row>
    <row r="195" spans="1:5">
      <c r="A195">
        <f>IFERROR(VLOOKUP(B195,[1]銷貨單品號主檔!$A:$D,4,0),"學習周邊")</f>
        <v>0</v>
      </c>
      <c r="C195"/>
      <c r="E195"/>
    </row>
    <row r="196" spans="1:5">
      <c r="A196">
        <f>IFERROR(VLOOKUP(B196,[1]銷貨單品號主檔!$A:$D,4,0),"學習周邊")</f>
        <v>0</v>
      </c>
      <c r="C196"/>
      <c r="E196"/>
    </row>
    <row r="197" spans="1:5">
      <c r="A197">
        <f>IFERROR(VLOOKUP(B197,[1]銷貨單品號主檔!$A:$D,4,0),"學習周邊")</f>
        <v>0</v>
      </c>
      <c r="C197"/>
      <c r="E197"/>
    </row>
    <row r="198" spans="1:5">
      <c r="A198">
        <f>IFERROR(VLOOKUP(B198,[1]銷貨單品號主檔!$A:$D,4,0),"學習周邊")</f>
        <v>0</v>
      </c>
      <c r="C198"/>
      <c r="E198"/>
    </row>
    <row r="199" spans="1:5">
      <c r="A199">
        <f>IFERROR(VLOOKUP(B199,[1]銷貨單品號主檔!$A:$D,4,0),"學習周邊")</f>
        <v>0</v>
      </c>
      <c r="C199"/>
      <c r="E199"/>
    </row>
    <row r="200" spans="1:5">
      <c r="A200">
        <f>IFERROR(VLOOKUP(B200,[1]銷貨單品號主檔!$A:$D,4,0),"學習周邊")</f>
        <v>0</v>
      </c>
      <c r="C200"/>
      <c r="E200"/>
    </row>
    <row r="201" spans="1:5">
      <c r="A201">
        <f>IFERROR(VLOOKUP(B201,[1]銷貨單品號主檔!$A:$D,4,0),"學習周邊")</f>
        <v>0</v>
      </c>
      <c r="C201"/>
      <c r="E201"/>
    </row>
    <row r="202" spans="1:5">
      <c r="A202">
        <f>IFERROR(VLOOKUP(B202,[1]銷貨單品號主檔!$A:$D,4,0),"學習周邊")</f>
        <v>0</v>
      </c>
      <c r="C202"/>
      <c r="E202"/>
    </row>
    <row r="203" spans="1:5">
      <c r="A203">
        <f>IFERROR(VLOOKUP(B203,[1]銷貨單品號主檔!$A:$D,4,0),"學習周邊")</f>
        <v>0</v>
      </c>
      <c r="C203"/>
      <c r="E203"/>
    </row>
    <row r="204" spans="1:5">
      <c r="A204">
        <f>IFERROR(VLOOKUP(B204,[1]銷貨單品號主檔!$A:$D,4,0),"學習周邊")</f>
        <v>0</v>
      </c>
      <c r="C204"/>
      <c r="E204"/>
    </row>
    <row r="205" spans="1:5">
      <c r="A205">
        <f>IFERROR(VLOOKUP(B205,[1]銷貨單品號主檔!$A:$D,4,0),"學習周邊")</f>
        <v>0</v>
      </c>
      <c r="C205"/>
      <c r="E205"/>
    </row>
    <row r="206" spans="1:5">
      <c r="A206">
        <f>IFERROR(VLOOKUP(B206,[1]銷貨單品號主檔!$A:$D,4,0),"學習周邊")</f>
        <v>0</v>
      </c>
      <c r="C206"/>
      <c r="E206"/>
    </row>
    <row r="207" spans="1:5">
      <c r="A207">
        <f>IFERROR(VLOOKUP(B207,[1]銷貨單品號主檔!$A:$D,4,0),"學習周邊")</f>
        <v>0</v>
      </c>
      <c r="C207"/>
      <c r="E207"/>
    </row>
    <row r="208" spans="1:5">
      <c r="A208">
        <f>IFERROR(VLOOKUP(B208,[1]銷貨單品號主檔!$A:$D,4,0),"學習周邊")</f>
        <v>0</v>
      </c>
      <c r="C208"/>
      <c r="E208"/>
    </row>
    <row r="209" spans="1:5">
      <c r="A209">
        <f>IFERROR(VLOOKUP(B209,[1]銷貨單品號主檔!$A:$D,4,0),"學習周邊")</f>
        <v>0</v>
      </c>
      <c r="C209"/>
      <c r="E209"/>
    </row>
    <row r="210" spans="1:5">
      <c r="A210">
        <f>IFERROR(VLOOKUP(B210,[1]銷貨單品號主檔!$A:$D,4,0),"學習周邊")</f>
        <v>0</v>
      </c>
      <c r="C210"/>
      <c r="E210"/>
    </row>
    <row r="211" spans="1:5">
      <c r="A211">
        <f>IFERROR(VLOOKUP(B211,[1]銷貨單品號主檔!$A:$D,4,0),"學習周邊")</f>
        <v>0</v>
      </c>
      <c r="C211"/>
      <c r="E211"/>
    </row>
    <row r="212" spans="1:5">
      <c r="A212">
        <f>IFERROR(VLOOKUP(B212,[1]銷貨單品號主檔!$A:$D,4,0),"學習周邊")</f>
        <v>0</v>
      </c>
      <c r="C212"/>
      <c r="E212"/>
    </row>
    <row r="213" spans="1:5">
      <c r="A213">
        <f>IFERROR(VLOOKUP(B213,[1]銷貨單品號主檔!$A:$D,4,0),"學習周邊")</f>
        <v>0</v>
      </c>
      <c r="C213"/>
      <c r="E213"/>
    </row>
    <row r="214" spans="1:5">
      <c r="A214">
        <f>IFERROR(VLOOKUP(B214,[1]銷貨單品號主檔!$A:$D,4,0),"學習周邊")</f>
        <v>0</v>
      </c>
      <c r="C214"/>
      <c r="E214"/>
    </row>
    <row r="215" spans="1:5">
      <c r="A215">
        <f>IFERROR(VLOOKUP(B215,[1]銷貨單品號主檔!$A:$D,4,0),"學習周邊")</f>
        <v>0</v>
      </c>
      <c r="C215"/>
      <c r="E215"/>
    </row>
    <row r="216" spans="1:5">
      <c r="A216">
        <f>IFERROR(VLOOKUP(B216,[1]銷貨單品號主檔!$A:$D,4,0),"學習周邊")</f>
        <v>0</v>
      </c>
      <c r="C216"/>
      <c r="E216"/>
    </row>
    <row r="217" spans="1:5">
      <c r="A217">
        <f>IFERROR(VLOOKUP(B217,[1]銷貨單品號主檔!$A:$D,4,0),"學習周邊")</f>
        <v>0</v>
      </c>
      <c r="C217"/>
      <c r="E217"/>
    </row>
    <row r="218" spans="1:5">
      <c r="A218">
        <f>IFERROR(VLOOKUP(B218,[1]銷貨單品號主檔!$A:$D,4,0),"學習周邊")</f>
        <v>0</v>
      </c>
      <c r="C218"/>
      <c r="E218"/>
    </row>
    <row r="219" spans="1:5">
      <c r="A219">
        <f>IFERROR(VLOOKUP(B219,[1]銷貨單品號主檔!$A:$D,4,0),"學習周邊")</f>
        <v>0</v>
      </c>
      <c r="C219"/>
      <c r="E219"/>
    </row>
    <row r="220" spans="1:5">
      <c r="A220">
        <f>IFERROR(VLOOKUP(B220,[1]銷貨單品號主檔!$A:$D,4,0),"學習周邊")</f>
        <v>0</v>
      </c>
      <c r="C220"/>
      <c r="E220"/>
    </row>
    <row r="221" spans="1:5">
      <c r="A221">
        <f>IFERROR(VLOOKUP(B221,[1]銷貨單品號主檔!$A:$D,4,0),"學習周邊")</f>
        <v>0</v>
      </c>
      <c r="C221"/>
      <c r="E221"/>
    </row>
    <row r="222" spans="1:5">
      <c r="A222">
        <f>IFERROR(VLOOKUP(B222,[1]銷貨單品號主檔!$A:$D,4,0),"學習周邊")</f>
        <v>0</v>
      </c>
      <c r="C222"/>
      <c r="E222"/>
    </row>
    <row r="223" spans="1:5">
      <c r="A223">
        <f>IFERROR(VLOOKUP(B223,[1]銷貨單品號主檔!$A:$D,4,0),"學習周邊")</f>
        <v>0</v>
      </c>
      <c r="C223"/>
      <c r="E223"/>
    </row>
    <row r="224" spans="1:5">
      <c r="A224">
        <f>IFERROR(VLOOKUP(B224,[1]銷貨單品號主檔!$A:$D,4,0),"學習周邊")</f>
        <v>0</v>
      </c>
      <c r="C224"/>
      <c r="E224"/>
    </row>
    <row r="225" spans="1:5">
      <c r="A225">
        <f>IFERROR(VLOOKUP(B225,[1]銷貨單品號主檔!$A:$D,4,0),"學習周邊")</f>
        <v>0</v>
      </c>
      <c r="C225"/>
      <c r="E225"/>
    </row>
    <row r="226" spans="1:5">
      <c r="A226">
        <f>IFERROR(VLOOKUP(B226,[1]銷貨單品號主檔!$A:$D,4,0),"學習周邊")</f>
        <v>0</v>
      </c>
      <c r="C226"/>
      <c r="E226"/>
    </row>
    <row r="227" spans="1:5">
      <c r="A227">
        <f>IFERROR(VLOOKUP(B227,[1]銷貨單品號主檔!$A:$D,4,0),"學習周邊")</f>
        <v>0</v>
      </c>
      <c r="C227"/>
      <c r="E227"/>
    </row>
    <row r="228" spans="1:5">
      <c r="A228">
        <f>IFERROR(VLOOKUP(B228,[1]銷貨單品號主檔!$A:$D,4,0),"學習周邊")</f>
        <v>0</v>
      </c>
      <c r="C228"/>
      <c r="E228"/>
    </row>
    <row r="229" spans="1:5">
      <c r="A229">
        <f>IFERROR(VLOOKUP(B229,[1]銷貨單品號主檔!$A:$D,4,0),"學習周邊")</f>
        <v>0</v>
      </c>
      <c r="C229"/>
      <c r="E229"/>
    </row>
    <row r="230" spans="1:5">
      <c r="A230">
        <f>IFERROR(VLOOKUP(B230,[1]銷貨單品號主檔!$A:$D,4,0),"學習周邊")</f>
        <v>0</v>
      </c>
      <c r="C230"/>
      <c r="E230"/>
    </row>
    <row r="231" spans="1:5">
      <c r="A231">
        <f>IFERROR(VLOOKUP(B231,[1]銷貨單品號主檔!$A:$D,4,0),"學習周邊")</f>
        <v>0</v>
      </c>
      <c r="C231"/>
      <c r="E231"/>
    </row>
    <row r="232" spans="1:5">
      <c r="A232">
        <f>IFERROR(VLOOKUP(B232,[1]銷貨單品號主檔!$A:$D,4,0),"學習周邊")</f>
        <v>0</v>
      </c>
      <c r="C232"/>
      <c r="E232"/>
    </row>
    <row r="233" spans="1:5">
      <c r="A233">
        <f>IFERROR(VLOOKUP(B233,[1]銷貨單品號主檔!$A:$D,4,0),"學習周邊")</f>
        <v>0</v>
      </c>
      <c r="C233"/>
      <c r="E233"/>
    </row>
    <row r="234" spans="1:5">
      <c r="A234">
        <f>IFERROR(VLOOKUP(B234,[1]銷貨單品號主檔!$A:$D,4,0),"學習周邊")</f>
        <v>0</v>
      </c>
      <c r="C234"/>
      <c r="E234"/>
    </row>
    <row r="235" spans="1:5">
      <c r="A235">
        <f>IFERROR(VLOOKUP(B235,[1]銷貨單品號主檔!$A:$D,4,0),"學習周邊")</f>
        <v>0</v>
      </c>
      <c r="C235"/>
      <c r="E235"/>
    </row>
    <row r="236" spans="1:5">
      <c r="A236">
        <f>IFERROR(VLOOKUP(B236,[1]銷貨單品號主檔!$A:$D,4,0),"學習周邊")</f>
        <v>0</v>
      </c>
      <c r="C236"/>
      <c r="E236"/>
    </row>
    <row r="237" spans="1:5">
      <c r="A237">
        <f>IFERROR(VLOOKUP(B237,[1]銷貨單品號主檔!$A:$D,4,0),"學習周邊")</f>
        <v>0</v>
      </c>
      <c r="C237"/>
      <c r="E237"/>
    </row>
    <row r="238" spans="1:5">
      <c r="A238">
        <f>IFERROR(VLOOKUP(B238,[1]銷貨單品號主檔!$A:$D,4,0),"學習周邊")</f>
        <v>0</v>
      </c>
      <c r="C238"/>
      <c r="E238"/>
    </row>
    <row r="239" spans="1:5">
      <c r="A239">
        <f>IFERROR(VLOOKUP(B239,[1]銷貨單品號主檔!$A:$D,4,0),"學習周邊")</f>
        <v>0</v>
      </c>
      <c r="C239"/>
      <c r="E239"/>
    </row>
    <row r="240" spans="1:5">
      <c r="A240">
        <f>IFERROR(VLOOKUP(B240,[1]銷貨單品號主檔!$A:$D,4,0),"學習周邊")</f>
        <v>0</v>
      </c>
      <c r="C240"/>
      <c r="E240"/>
    </row>
    <row r="241" spans="1:5">
      <c r="A241">
        <f>IFERROR(VLOOKUP(B241,[1]銷貨單品號主檔!$A:$D,4,0),"學習周邊")</f>
        <v>0</v>
      </c>
      <c r="C241"/>
      <c r="E241"/>
    </row>
    <row r="242" spans="1:5">
      <c r="A242">
        <f>IFERROR(VLOOKUP(B242,[1]銷貨單品號主檔!$A:$D,4,0),"學習周邊")</f>
        <v>0</v>
      </c>
      <c r="C242"/>
      <c r="E242"/>
    </row>
    <row r="243" spans="1:5">
      <c r="A243">
        <f>IFERROR(VLOOKUP(B243,[1]銷貨單品號主檔!$A:$D,4,0),"學習周邊")</f>
        <v>0</v>
      </c>
      <c r="C243"/>
      <c r="E243"/>
    </row>
    <row r="244" spans="1:5">
      <c r="A244">
        <f>IFERROR(VLOOKUP(B244,[1]銷貨單品號主檔!$A:$D,4,0),"學習周邊")</f>
        <v>0</v>
      </c>
      <c r="C244"/>
      <c r="E244"/>
    </row>
    <row r="245" spans="1:5">
      <c r="A245">
        <f>IFERROR(VLOOKUP(B245,[1]銷貨單品號主檔!$A:$D,4,0),"學習周邊")</f>
        <v>0</v>
      </c>
      <c r="C245"/>
      <c r="E245"/>
    </row>
    <row r="246" spans="1:5">
      <c r="A246">
        <f>IFERROR(VLOOKUP(B246,[1]銷貨單品號主檔!$A:$D,4,0),"學習周邊")</f>
        <v>0</v>
      </c>
      <c r="C246"/>
      <c r="E246"/>
    </row>
    <row r="247" spans="1:5">
      <c r="A247">
        <f>IFERROR(VLOOKUP(B247,[1]銷貨單品號主檔!$A:$D,4,0),"學習周邊")</f>
        <v>0</v>
      </c>
      <c r="C247"/>
      <c r="E247"/>
    </row>
    <row r="248" spans="1:5">
      <c r="A248">
        <f>IFERROR(VLOOKUP(B248,[1]銷貨單品號主檔!$A:$D,4,0),"學習周邊")</f>
        <v>0</v>
      </c>
      <c r="C248"/>
      <c r="E248"/>
    </row>
    <row r="249" spans="1:5">
      <c r="A249">
        <f>IFERROR(VLOOKUP(B249,[1]銷貨單品號主檔!$A:$D,4,0),"學習周邊")</f>
        <v>0</v>
      </c>
      <c r="C249"/>
      <c r="E249"/>
    </row>
    <row r="250" spans="1:5">
      <c r="A250">
        <f>IFERROR(VLOOKUP(B250,[1]銷貨單品號主檔!$A:$D,4,0),"學習周邊")</f>
        <v>0</v>
      </c>
      <c r="C250"/>
      <c r="E250"/>
    </row>
    <row r="251" spans="1:5">
      <c r="A251">
        <f>IFERROR(VLOOKUP(B251,[1]銷貨單品號主檔!$A:$D,4,0),"學習周邊")</f>
        <v>0</v>
      </c>
      <c r="C251"/>
      <c r="E251"/>
    </row>
    <row r="252" spans="1:5">
      <c r="A252">
        <f>IFERROR(VLOOKUP(B252,[1]銷貨單品號主檔!$A:$D,4,0),"學習周邊")</f>
        <v>0</v>
      </c>
      <c r="C252"/>
      <c r="E252"/>
    </row>
    <row r="253" spans="1:5">
      <c r="A253">
        <f>IFERROR(VLOOKUP(B253,[1]銷貨單品號主檔!$A:$D,4,0),"學習周邊")</f>
        <v>0</v>
      </c>
      <c r="C253"/>
      <c r="E253"/>
    </row>
    <row r="254" spans="1:5">
      <c r="A254">
        <f>IFERROR(VLOOKUP(B254,[1]銷貨單品號主檔!$A:$D,4,0),"學習周邊")</f>
        <v>0</v>
      </c>
      <c r="C254"/>
      <c r="E254"/>
    </row>
    <row r="255" spans="1:5">
      <c r="A255">
        <f>IFERROR(VLOOKUP(B255,[1]銷貨單品號主檔!$A:$D,4,0),"學習周邊")</f>
        <v>0</v>
      </c>
      <c r="C255"/>
      <c r="E255"/>
    </row>
    <row r="256" spans="1:5">
      <c r="A256">
        <f>IFERROR(VLOOKUP(B256,[1]銷貨單品號主檔!$A:$D,4,0),"學習周邊")</f>
        <v>0</v>
      </c>
      <c r="C256"/>
      <c r="E256"/>
    </row>
    <row r="257" spans="1:5">
      <c r="A257">
        <f>IFERROR(VLOOKUP(B257,[1]銷貨單品號主檔!$A:$D,4,0),"學習周邊")</f>
        <v>0</v>
      </c>
      <c r="C257"/>
      <c r="E257"/>
    </row>
    <row r="258" spans="1:5">
      <c r="A258">
        <f>IFERROR(VLOOKUP(B258,[1]銷貨單品號主檔!$A:$D,4,0),"學習周邊")</f>
        <v>0</v>
      </c>
      <c r="C258"/>
      <c r="E258"/>
    </row>
    <row r="259" spans="1:5">
      <c r="A259">
        <f>IFERROR(VLOOKUP(B259,[1]銷貨單品號主檔!$A:$D,4,0),"學習周邊")</f>
        <v>0</v>
      </c>
      <c r="C259"/>
      <c r="E259"/>
    </row>
    <row r="260" spans="1:5">
      <c r="A260">
        <f>IFERROR(VLOOKUP(B260,[1]銷貨單品號主檔!$A:$D,4,0),"學習周邊")</f>
        <v>0</v>
      </c>
      <c r="C260"/>
      <c r="E260"/>
    </row>
    <row r="261" spans="1:5">
      <c r="A261">
        <f>IFERROR(VLOOKUP(B261,[1]銷貨單品號主檔!$A:$D,4,0),"學習周邊")</f>
        <v>0</v>
      </c>
      <c r="C261"/>
      <c r="E261"/>
    </row>
    <row r="262" spans="1:5">
      <c r="A262">
        <f>IFERROR(VLOOKUP(B262,[1]銷貨單品號主檔!$A:$D,4,0),"學習周邊")</f>
        <v>0</v>
      </c>
      <c r="C262"/>
      <c r="E262"/>
    </row>
    <row r="263" spans="1:5">
      <c r="A263">
        <f>IFERROR(VLOOKUP(B263,[1]銷貨單品號主檔!$A:$D,4,0),"學習周邊")</f>
        <v>0</v>
      </c>
      <c r="C263"/>
      <c r="E263"/>
    </row>
    <row r="264" spans="1:5">
      <c r="A264">
        <f>IFERROR(VLOOKUP(B264,[1]銷貨單品號主檔!$A:$D,4,0),"學習周邊")</f>
        <v>0</v>
      </c>
      <c r="C264"/>
      <c r="E264"/>
    </row>
    <row r="265" spans="1:5">
      <c r="A265">
        <f>IFERROR(VLOOKUP(B265,[1]銷貨單品號主檔!$A:$D,4,0),"學習周邊")</f>
        <v>0</v>
      </c>
      <c r="C265"/>
      <c r="E265"/>
    </row>
    <row r="266" spans="1:5">
      <c r="A266">
        <f>IFERROR(VLOOKUP(B266,[1]銷貨單品號主檔!$A:$D,4,0),"學習周邊")</f>
        <v>0</v>
      </c>
      <c r="C266"/>
      <c r="E266"/>
    </row>
    <row r="267" spans="1:5">
      <c r="A267">
        <f>IFERROR(VLOOKUP(B267,[1]銷貨單品號主檔!$A:$D,4,0),"學習周邊")</f>
        <v>0</v>
      </c>
      <c r="C267"/>
      <c r="E267"/>
    </row>
    <row r="268" spans="1:5">
      <c r="A268">
        <f>IFERROR(VLOOKUP(B268,[1]銷貨單品號主檔!$A:$D,4,0),"學習周邊")</f>
        <v>0</v>
      </c>
      <c r="C268"/>
      <c r="E268"/>
    </row>
    <row r="269" spans="1:5">
      <c r="A269">
        <f>IFERROR(VLOOKUP(B269,[1]銷貨單品號主檔!$A:$D,4,0),"學習周邊")</f>
        <v>0</v>
      </c>
      <c r="C269"/>
      <c r="E269"/>
    </row>
    <row r="270" spans="1:5">
      <c r="A270">
        <f>IFERROR(VLOOKUP(B270,[1]銷貨單品號主檔!$A:$D,4,0),"學習周邊")</f>
        <v>0</v>
      </c>
      <c r="C270"/>
      <c r="E270"/>
    </row>
    <row r="271" spans="1:5">
      <c r="A271">
        <f>IFERROR(VLOOKUP(B271,[1]銷貨單品號主檔!$A:$D,4,0),"學習周邊")</f>
        <v>0</v>
      </c>
      <c r="C271"/>
      <c r="E271"/>
    </row>
    <row r="272" spans="1:5">
      <c r="A272">
        <f>IFERROR(VLOOKUP(B272,[1]銷貨單品號主檔!$A:$D,4,0),"學習周邊")</f>
        <v>0</v>
      </c>
      <c r="C272"/>
      <c r="E272"/>
    </row>
    <row r="273" spans="1:5">
      <c r="A273">
        <f>IFERROR(VLOOKUP(B273,[1]銷貨單品號主檔!$A:$D,4,0),"學習周邊")</f>
        <v>0</v>
      </c>
      <c r="C273"/>
      <c r="E273"/>
    </row>
    <row r="274" spans="1:5">
      <c r="A274">
        <f>IFERROR(VLOOKUP(B274,[1]銷貨單品號主檔!$A:$D,4,0),"學習周邊")</f>
        <v>0</v>
      </c>
      <c r="C274"/>
      <c r="E274"/>
    </row>
    <row r="275" spans="1:5">
      <c r="A275">
        <f>IFERROR(VLOOKUP(B275,[1]銷貨單品號主檔!$A:$D,4,0),"學習周邊")</f>
        <v>0</v>
      </c>
      <c r="C275"/>
      <c r="E275"/>
    </row>
    <row r="276" spans="1:5">
      <c r="A276">
        <f>IFERROR(VLOOKUP(B276,[1]銷貨單品號主檔!$A:$D,4,0),"學習周邊")</f>
        <v>0</v>
      </c>
      <c r="C276"/>
      <c r="E276"/>
    </row>
    <row r="277" spans="1:5">
      <c r="A277">
        <f>IFERROR(VLOOKUP(B277,[1]銷貨單品號主檔!$A:$D,4,0),"學習周邊")</f>
        <v>0</v>
      </c>
      <c r="C277"/>
      <c r="E277"/>
    </row>
    <row r="278" spans="1:5">
      <c r="A278">
        <f>IFERROR(VLOOKUP(B278,[1]銷貨單品號主檔!$A:$D,4,0),"學習周邊")</f>
        <v>0</v>
      </c>
      <c r="C278"/>
      <c r="E278"/>
    </row>
    <row r="279" spans="1:5">
      <c r="A279">
        <f>IFERROR(VLOOKUP(B279,[1]銷貨單品號主檔!$A:$D,4,0),"學習周邊")</f>
        <v>0</v>
      </c>
      <c r="C279"/>
      <c r="E279"/>
    </row>
    <row r="280" spans="1:5">
      <c r="A280">
        <f>IFERROR(VLOOKUP(B280,[1]銷貨單品號主檔!$A:$D,4,0),"學習周邊")</f>
        <v>0</v>
      </c>
      <c r="C280"/>
      <c r="E280"/>
    </row>
    <row r="281" spans="1:5">
      <c r="A281">
        <f>IFERROR(VLOOKUP(B281,[1]銷貨單品號主檔!$A:$D,4,0),"學習周邊")</f>
        <v>0</v>
      </c>
      <c r="C281"/>
      <c r="E281"/>
    </row>
    <row r="282" spans="1:5">
      <c r="A282">
        <f>IFERROR(VLOOKUP(B282,[1]銷貨單品號主檔!$A:$D,4,0),"學習周邊")</f>
        <v>0</v>
      </c>
      <c r="C282"/>
      <c r="E282"/>
    </row>
    <row r="283" spans="1:5">
      <c r="A283">
        <f>IFERROR(VLOOKUP(B283,[1]銷貨單品號主檔!$A:$D,4,0),"學習周邊")</f>
        <v>0</v>
      </c>
      <c r="C283"/>
      <c r="E283"/>
    </row>
    <row r="284" spans="1:5">
      <c r="A284">
        <f>IFERROR(VLOOKUP(B284,[1]銷貨單品號主檔!$A:$D,4,0),"學習周邊")</f>
        <v>0</v>
      </c>
      <c r="C284"/>
      <c r="E284"/>
    </row>
    <row r="285" spans="1:5">
      <c r="A285">
        <f>IFERROR(VLOOKUP(B285,[1]銷貨單品號主檔!$A:$D,4,0),"學習周邊")</f>
        <v>0</v>
      </c>
      <c r="C285"/>
      <c r="E285"/>
    </row>
    <row r="286" spans="1:5">
      <c r="A286">
        <f>IFERROR(VLOOKUP(B286,[1]銷貨單品號主檔!$A:$D,4,0),"學習周邊")</f>
        <v>0</v>
      </c>
      <c r="C286"/>
      <c r="E286"/>
    </row>
    <row r="287" spans="1:5">
      <c r="A287">
        <f>IFERROR(VLOOKUP(B287,[1]銷貨單品號主檔!$A:$D,4,0),"學習周邊")</f>
        <v>0</v>
      </c>
      <c r="C287"/>
      <c r="E287"/>
    </row>
    <row r="288" spans="1:5">
      <c r="A288">
        <f>IFERROR(VLOOKUP(B288,[1]銷貨單品號主檔!$A:$D,4,0),"學習周邊")</f>
        <v>0</v>
      </c>
      <c r="C288"/>
      <c r="E288"/>
    </row>
    <row r="289" spans="1:5">
      <c r="A289">
        <f>IFERROR(VLOOKUP(B289,[1]銷貨單品號主檔!$A:$D,4,0),"學習周邊")</f>
        <v>0</v>
      </c>
      <c r="C289"/>
      <c r="E289"/>
    </row>
    <row r="290" spans="1:5">
      <c r="A290">
        <f>IFERROR(VLOOKUP(B290,[1]銷貨單品號主檔!$A:$D,4,0),"學習周邊")</f>
        <v>0</v>
      </c>
      <c r="C290"/>
      <c r="E290"/>
    </row>
    <row r="291" spans="1:5">
      <c r="A291">
        <f>IFERROR(VLOOKUP(B291,[1]銷貨單品號主檔!$A:$D,4,0),"學習周邊")</f>
        <v>0</v>
      </c>
      <c r="C291"/>
      <c r="E291"/>
    </row>
    <row r="292" spans="1:5">
      <c r="A292">
        <f>IFERROR(VLOOKUP(B292,[1]銷貨單品號主檔!$A:$D,4,0),"學習周邊")</f>
        <v>0</v>
      </c>
      <c r="C292"/>
      <c r="E292"/>
    </row>
    <row r="293" spans="1:5">
      <c r="A293">
        <f>IFERROR(VLOOKUP(B293,[1]銷貨單品號主檔!$A:$D,4,0),"學習周邊")</f>
        <v>0</v>
      </c>
      <c r="C293"/>
      <c r="E293"/>
    </row>
    <row r="294" spans="1:5">
      <c r="A294">
        <f>IFERROR(VLOOKUP(B294,[1]銷貨單品號主檔!$A:$D,4,0),"學習周邊")</f>
        <v>0</v>
      </c>
      <c r="C294"/>
      <c r="E294"/>
    </row>
    <row r="295" spans="1:5">
      <c r="A295">
        <f>IFERROR(VLOOKUP(B295,[1]銷貨單品號主檔!$A:$D,4,0),"學習周邊")</f>
        <v>0</v>
      </c>
      <c r="C295"/>
      <c r="E295"/>
    </row>
    <row r="296" spans="1:5">
      <c r="A296">
        <f>IFERROR(VLOOKUP(B296,[1]銷貨單品號主檔!$A:$D,4,0),"學習周邊")</f>
        <v>0</v>
      </c>
      <c r="C296"/>
      <c r="E296"/>
    </row>
    <row r="297" spans="1:5">
      <c r="A297">
        <f>IFERROR(VLOOKUP(B297,[1]銷貨單品號主檔!$A:$D,4,0),"學習周邊")</f>
        <v>0</v>
      </c>
      <c r="C297"/>
      <c r="E297"/>
    </row>
    <row r="298" spans="1:5">
      <c r="A298">
        <f>IFERROR(VLOOKUP(B298,[1]銷貨單品號主檔!$A:$D,4,0),"學習周邊")</f>
        <v>0</v>
      </c>
      <c r="C298"/>
      <c r="E298"/>
    </row>
    <row r="299" spans="1:5">
      <c r="A299">
        <f>IFERROR(VLOOKUP(B299,[1]銷貨單品號主檔!$A:$D,4,0),"學習周邊")</f>
        <v>0</v>
      </c>
      <c r="C299"/>
      <c r="E299"/>
    </row>
    <row r="300" spans="1:5">
      <c r="A300">
        <f>IFERROR(VLOOKUP(B300,[1]銷貨單品號主檔!$A:$D,4,0),"學習周邊")</f>
        <v>0</v>
      </c>
      <c r="C300"/>
      <c r="E300"/>
    </row>
    <row r="301" spans="1:5">
      <c r="A301">
        <f>IFERROR(VLOOKUP(B301,[1]銷貨單品號主檔!$A:$D,4,0),"學習周邊")</f>
        <v>0</v>
      </c>
      <c r="C301"/>
      <c r="E301"/>
    </row>
    <row r="302" spans="1:5">
      <c r="A302">
        <f>IFERROR(VLOOKUP(B302,[1]銷貨單品號主檔!$A:$D,4,0),"學習周邊")</f>
        <v>0</v>
      </c>
      <c r="C302"/>
      <c r="E302"/>
    </row>
    <row r="303" spans="1:5">
      <c r="A303">
        <f>IFERROR(VLOOKUP(B303,[1]銷貨單品號主檔!$A:$D,4,0),"學習周邊")</f>
        <v>0</v>
      </c>
      <c r="C303"/>
      <c r="E303"/>
    </row>
    <row r="304" spans="1:5">
      <c r="A304">
        <f>IFERROR(VLOOKUP(B304,[1]銷貨單品號主檔!$A:$D,4,0),"學習周邊")</f>
        <v>0</v>
      </c>
      <c r="C304"/>
      <c r="E304"/>
    </row>
    <row r="305" spans="1:5">
      <c r="A305">
        <f>IFERROR(VLOOKUP(B305,[1]銷貨單品號主檔!$A:$D,4,0),"學習周邊")</f>
        <v>0</v>
      </c>
      <c r="C305"/>
      <c r="E305"/>
    </row>
    <row r="306" spans="1:5">
      <c r="A306">
        <f>IFERROR(VLOOKUP(B306,[1]銷貨單品號主檔!$A:$D,4,0),"學習周邊")</f>
        <v>0</v>
      </c>
      <c r="C306"/>
      <c r="E306"/>
    </row>
    <row r="307" spans="1:5">
      <c r="A307">
        <f>IFERROR(VLOOKUP(B307,[1]銷貨單品號主檔!$A:$D,4,0),"學習周邊")</f>
        <v>0</v>
      </c>
      <c r="C307"/>
      <c r="E307"/>
    </row>
    <row r="308" spans="1:5">
      <c r="A308">
        <f>IFERROR(VLOOKUP(B308,[1]銷貨單品號主檔!$A:$D,4,0),"學習周邊")</f>
        <v>0</v>
      </c>
      <c r="C308"/>
      <c r="E308"/>
    </row>
    <row r="309" spans="1:5">
      <c r="A309">
        <f>IFERROR(VLOOKUP(B309,[1]銷貨單品號主檔!$A:$D,4,0),"學習周邊")</f>
        <v>0</v>
      </c>
      <c r="C309"/>
      <c r="E309"/>
    </row>
    <row r="310" spans="1:5">
      <c r="A310">
        <f>IFERROR(VLOOKUP(B310,[1]銷貨單品號主檔!$A:$D,4,0),"學習周邊")</f>
        <v>0</v>
      </c>
      <c r="C310"/>
      <c r="E310"/>
    </row>
    <row r="311" spans="1:5">
      <c r="A311">
        <f>IFERROR(VLOOKUP(B311,[1]銷貨單品號主檔!$A:$D,4,0),"學習周邊")</f>
        <v>0</v>
      </c>
      <c r="C311"/>
      <c r="E311"/>
    </row>
    <row r="312" spans="1:5">
      <c r="A312">
        <f>IFERROR(VLOOKUP(B312,[1]銷貨單品號主檔!$A:$D,4,0),"學習周邊")</f>
        <v>0</v>
      </c>
      <c r="C312"/>
      <c r="E312"/>
    </row>
    <row r="313" spans="1:5">
      <c r="A313">
        <f>IFERROR(VLOOKUP(B313,[1]銷貨單品號主檔!$A:$D,4,0),"學習周邊")</f>
        <v>0</v>
      </c>
      <c r="C313"/>
      <c r="E313"/>
    </row>
    <row r="314" spans="1:5">
      <c r="A314">
        <f>IFERROR(VLOOKUP(B314,[1]銷貨單品號主檔!$A:$D,4,0),"學習周邊")</f>
        <v>0</v>
      </c>
      <c r="C314"/>
      <c r="E314"/>
    </row>
    <row r="315" spans="1:5">
      <c r="A315">
        <f>IFERROR(VLOOKUP(B315,[1]銷貨單品號主檔!$A:$D,4,0),"學習周邊")</f>
        <v>0</v>
      </c>
      <c r="C315"/>
      <c r="E315"/>
    </row>
    <row r="316" spans="1:5">
      <c r="A316">
        <f>IFERROR(VLOOKUP(B316,[1]銷貨單品號主檔!$A:$D,4,0),"學習周邊")</f>
        <v>0</v>
      </c>
      <c r="C316"/>
      <c r="E316"/>
    </row>
    <row r="317" spans="1:5">
      <c r="A317">
        <f>IFERROR(VLOOKUP(B317,[1]銷貨單品號主檔!$A:$D,4,0),"學習周邊")</f>
        <v>0</v>
      </c>
      <c r="C317"/>
      <c r="E317"/>
    </row>
    <row r="318" spans="1:5">
      <c r="A318">
        <f>IFERROR(VLOOKUP(B318,[1]銷貨單品號主檔!$A:$D,4,0),"學習周邊")</f>
        <v>0</v>
      </c>
      <c r="C318"/>
      <c r="E318"/>
    </row>
    <row r="319" spans="1:5">
      <c r="A319">
        <f>IFERROR(VLOOKUP(B319,[1]銷貨單品號主檔!$A:$D,4,0),"學習周邊")</f>
        <v>0</v>
      </c>
      <c r="C319"/>
      <c r="E319"/>
    </row>
    <row r="320" spans="1:5">
      <c r="A320">
        <f>IFERROR(VLOOKUP(B320,[1]銷貨單品號主檔!$A:$D,4,0),"學習周邊")</f>
        <v>0</v>
      </c>
      <c r="C320"/>
      <c r="E320"/>
    </row>
    <row r="321" spans="1:5">
      <c r="A321">
        <f>IFERROR(VLOOKUP(B321,[1]銷貨單品號主檔!$A:$D,4,0),"學習周邊")</f>
        <v>0</v>
      </c>
      <c r="C321"/>
      <c r="E321"/>
    </row>
    <row r="322" spans="1:5">
      <c r="A322">
        <f>IFERROR(VLOOKUP(B322,[1]銷貨單品號主檔!$A:$D,4,0),"學習周邊")</f>
        <v>0</v>
      </c>
      <c r="C322"/>
      <c r="E322"/>
    </row>
    <row r="323" spans="1:5">
      <c r="A323">
        <f>IFERROR(VLOOKUP(B323,[1]銷貨單品號主檔!$A:$D,4,0),"學習周邊")</f>
        <v>0</v>
      </c>
      <c r="C323"/>
      <c r="E323"/>
    </row>
    <row r="324" spans="1:5">
      <c r="A324">
        <f>IFERROR(VLOOKUP(B324,[1]銷貨單品號主檔!$A:$D,4,0),"學習周邊")</f>
        <v>0</v>
      </c>
      <c r="C324"/>
      <c r="E324"/>
    </row>
    <row r="325" spans="1:5">
      <c r="A325">
        <f>IFERROR(VLOOKUP(B325,[1]銷貨單品號主檔!$A:$D,4,0),"學習周邊")</f>
        <v>0</v>
      </c>
      <c r="C325"/>
      <c r="E325"/>
    </row>
    <row r="326" spans="1:5">
      <c r="A326">
        <f>IFERROR(VLOOKUP(B326,[1]銷貨單品號主檔!$A:$D,4,0),"學習周邊")</f>
        <v>0</v>
      </c>
      <c r="C326"/>
      <c r="E326"/>
    </row>
    <row r="327" spans="1:5">
      <c r="A327">
        <f>IFERROR(VLOOKUP(B327,[1]銷貨單品號主檔!$A:$D,4,0),"學習周邊")</f>
        <v>0</v>
      </c>
      <c r="C327"/>
      <c r="E327"/>
    </row>
    <row r="328" spans="1:5">
      <c r="A328">
        <f>IFERROR(VLOOKUP(B328,[1]銷貨單品號主檔!$A:$D,4,0),"學習周邊")</f>
        <v>0</v>
      </c>
      <c r="C328"/>
      <c r="E328"/>
    </row>
    <row r="329" spans="1:5">
      <c r="A329">
        <f>IFERROR(VLOOKUP(B329,[1]銷貨單品號主檔!$A:$D,4,0),"學習周邊")</f>
        <v>0</v>
      </c>
      <c r="C329"/>
      <c r="E329"/>
    </row>
    <row r="330" spans="1:5">
      <c r="A330">
        <f>IFERROR(VLOOKUP(B330,[1]銷貨單品號主檔!$A:$D,4,0),"學習周邊")</f>
        <v>0</v>
      </c>
      <c r="C330"/>
      <c r="E330"/>
    </row>
    <row r="331" spans="1:5">
      <c r="A331">
        <f>IFERROR(VLOOKUP(B331,[1]銷貨單品號主檔!$A:$D,4,0),"學習周邊")</f>
        <v>0</v>
      </c>
      <c r="C331"/>
      <c r="E331"/>
    </row>
    <row r="332" spans="1:5">
      <c r="A332">
        <f>IFERROR(VLOOKUP(B332,[1]銷貨單品號主檔!$A:$D,4,0),"學習周邊")</f>
        <v>0</v>
      </c>
      <c r="C332"/>
      <c r="E332"/>
    </row>
    <row r="333" spans="1:5">
      <c r="A333">
        <f>IFERROR(VLOOKUP(B333,[1]銷貨單品號主檔!$A:$D,4,0),"學習周邊")</f>
        <v>0</v>
      </c>
      <c r="C333"/>
      <c r="E333"/>
    </row>
    <row r="334" spans="1:5">
      <c r="A334">
        <f>IFERROR(VLOOKUP(B334,[1]銷貨單品號主檔!$A:$D,4,0),"學習周邊")</f>
        <v>0</v>
      </c>
      <c r="C334"/>
      <c r="E334"/>
    </row>
    <row r="335" spans="1:5">
      <c r="A335">
        <f>IFERROR(VLOOKUP(B335,[1]銷貨單品號主檔!$A:$D,4,0),"學習周邊")</f>
        <v>0</v>
      </c>
      <c r="C335"/>
      <c r="E335"/>
    </row>
    <row r="336" spans="1:5">
      <c r="A336">
        <f>IFERROR(VLOOKUP(B336,[1]銷貨單品號主檔!$A:$D,4,0),"學習周邊")</f>
        <v>0</v>
      </c>
      <c r="C336"/>
      <c r="E336"/>
    </row>
    <row r="337" spans="1:5">
      <c r="A337">
        <f>IFERROR(VLOOKUP(B337,[1]銷貨單品號主檔!$A:$D,4,0),"學習周邊")</f>
        <v>0</v>
      </c>
      <c r="C337"/>
      <c r="E337"/>
    </row>
    <row r="338" spans="1:5">
      <c r="A338">
        <f>IFERROR(VLOOKUP(B338,[1]銷貨單品號主檔!$A:$D,4,0),"學習周邊")</f>
        <v>0</v>
      </c>
      <c r="C338"/>
      <c r="E338"/>
    </row>
    <row r="339" spans="1:5">
      <c r="A339">
        <f>IFERROR(VLOOKUP(B339,[1]銷貨單品號主檔!$A:$D,4,0),"學習周邊")</f>
        <v>0</v>
      </c>
      <c r="C339"/>
      <c r="E339"/>
    </row>
    <row r="340" spans="1:5">
      <c r="A340">
        <f>IFERROR(VLOOKUP(B340,[1]銷貨單品號主檔!$A:$D,4,0),"學習周邊")</f>
        <v>0</v>
      </c>
      <c r="C340"/>
      <c r="E340"/>
    </row>
    <row r="341" spans="1:5">
      <c r="A341">
        <f>IFERROR(VLOOKUP(B341,[1]銷貨單品號主檔!$A:$D,4,0),"學習周邊")</f>
        <v>0</v>
      </c>
      <c r="C341"/>
      <c r="E341"/>
    </row>
    <row r="342" spans="1:5">
      <c r="A342">
        <f>IFERROR(VLOOKUP(B342,[1]銷貨單品號主檔!$A:$D,4,0),"學習周邊")</f>
        <v>0</v>
      </c>
      <c r="C342"/>
      <c r="E342"/>
    </row>
    <row r="343" spans="1:5">
      <c r="A343">
        <f>IFERROR(VLOOKUP(B343,[1]銷貨單品號主檔!$A:$D,4,0),"學習周邊")</f>
        <v>0</v>
      </c>
      <c r="C343"/>
      <c r="E343"/>
    </row>
    <row r="344" spans="1:5">
      <c r="A344">
        <f>IFERROR(VLOOKUP(B344,[1]銷貨單品號主檔!$A:$D,4,0),"學習周邊")</f>
        <v>0</v>
      </c>
      <c r="C344"/>
      <c r="E344"/>
    </row>
    <row r="345" spans="1:5">
      <c r="A345">
        <f>IFERROR(VLOOKUP(B345,[1]銷貨單品號主檔!$A:$D,4,0),"學習周邊")</f>
        <v>0</v>
      </c>
      <c r="C345"/>
      <c r="E345"/>
    </row>
    <row r="346" spans="1:5">
      <c r="A346">
        <f>IFERROR(VLOOKUP(B346,[1]銷貨單品號主檔!$A:$D,4,0),"學習周邊")</f>
        <v>0</v>
      </c>
      <c r="C346"/>
      <c r="E346"/>
    </row>
    <row r="347" spans="1:5">
      <c r="A347">
        <f>IFERROR(VLOOKUP(B347,[1]銷貨單品號主檔!$A:$D,4,0),"學習周邊")</f>
        <v>0</v>
      </c>
      <c r="C347"/>
      <c r="E347"/>
    </row>
    <row r="348" spans="1:5">
      <c r="A348">
        <f>IFERROR(VLOOKUP(B348,[1]銷貨單品號主檔!$A:$D,4,0),"學習周邊")</f>
        <v>0</v>
      </c>
      <c r="C348"/>
      <c r="E348"/>
    </row>
    <row r="349" spans="1:5">
      <c r="A349">
        <f>IFERROR(VLOOKUP(B349,[1]銷貨單品號主檔!$A:$D,4,0),"學習周邊")</f>
        <v>0</v>
      </c>
      <c r="C349"/>
      <c r="E349"/>
    </row>
    <row r="350" spans="1:5">
      <c r="A350">
        <f>IFERROR(VLOOKUP(B350,[1]銷貨單品號主檔!$A:$D,4,0),"學習周邊")</f>
        <v>0</v>
      </c>
      <c r="C350"/>
      <c r="E350"/>
    </row>
    <row r="351" spans="1:5">
      <c r="A351">
        <f>IFERROR(VLOOKUP(B351,[1]銷貨單品號主檔!$A:$D,4,0),"學習周邊")</f>
        <v>0</v>
      </c>
      <c r="C351"/>
      <c r="E351"/>
    </row>
    <row r="352" spans="1:5">
      <c r="A352">
        <f>IFERROR(VLOOKUP(B352,[1]銷貨單品號主檔!$A:$D,4,0),"學習周邊")</f>
        <v>0</v>
      </c>
      <c r="C352"/>
      <c r="E352"/>
    </row>
    <row r="353" spans="1:5">
      <c r="A353">
        <f>IFERROR(VLOOKUP(B353,[1]銷貨單品號主檔!$A:$D,4,0),"學習周邊")</f>
        <v>0</v>
      </c>
      <c r="C353"/>
      <c r="E353"/>
    </row>
    <row r="354" spans="1:5">
      <c r="A354">
        <f>IFERROR(VLOOKUP(B354,[1]銷貨單品號主檔!$A:$D,4,0),"學習周邊")</f>
        <v>0</v>
      </c>
      <c r="C354"/>
      <c r="E354"/>
    </row>
    <row r="355" spans="1:5">
      <c r="A355">
        <f>IFERROR(VLOOKUP(B355,[1]銷貨單品號主檔!$A:$D,4,0),"學習周邊")</f>
        <v>0</v>
      </c>
      <c r="C355"/>
      <c r="E355"/>
    </row>
    <row r="356" spans="1:5">
      <c r="A356">
        <f>IFERROR(VLOOKUP(B356,[1]銷貨單品號主檔!$A:$D,4,0),"學習周邊")</f>
        <v>0</v>
      </c>
      <c r="C356"/>
      <c r="E356"/>
    </row>
    <row r="357" spans="1:5">
      <c r="A357">
        <f>IFERROR(VLOOKUP(B357,[1]銷貨單品號主檔!$A:$D,4,0),"學習周邊")</f>
        <v>0</v>
      </c>
      <c r="C357"/>
      <c r="E357"/>
    </row>
    <row r="358" spans="1:5">
      <c r="A358">
        <f>IFERROR(VLOOKUP(B358,[1]銷貨單品號主檔!$A:$D,4,0),"學習周邊")</f>
        <v>0</v>
      </c>
      <c r="C358"/>
      <c r="E358"/>
    </row>
    <row r="359" spans="1:5">
      <c r="A359">
        <f>IFERROR(VLOOKUP(B359,[1]銷貨單品號主檔!$A:$D,4,0),"學習周邊")</f>
        <v>0</v>
      </c>
      <c r="C359"/>
      <c r="E359"/>
    </row>
    <row r="360" spans="1:5">
      <c r="A360">
        <f>IFERROR(VLOOKUP(B360,[1]銷貨單品號主檔!$A:$D,4,0),"學習周邊")</f>
        <v>0</v>
      </c>
      <c r="C360"/>
      <c r="E360"/>
    </row>
    <row r="361" spans="1:5">
      <c r="A361">
        <f>IFERROR(VLOOKUP(B361,[1]銷貨單品號主檔!$A:$D,4,0),"學習周邊")</f>
        <v>0</v>
      </c>
      <c r="C361"/>
      <c r="E361"/>
    </row>
    <row r="362" spans="1:5">
      <c r="A362">
        <f>IFERROR(VLOOKUP(B362,[1]銷貨單品號主檔!$A:$D,4,0),"學習周邊")</f>
        <v>0</v>
      </c>
      <c r="C362"/>
      <c r="E362"/>
    </row>
    <row r="363" spans="1:5">
      <c r="A363">
        <f>IFERROR(VLOOKUP(B363,[1]銷貨單品號主檔!$A:$D,4,0),"學習周邊")</f>
        <v>0</v>
      </c>
      <c r="C363"/>
      <c r="E363"/>
    </row>
    <row r="364" spans="1:5">
      <c r="A364">
        <f>IFERROR(VLOOKUP(B364,[1]銷貨單品號主檔!$A:$D,4,0),"學習周邊")</f>
        <v>0</v>
      </c>
      <c r="C364"/>
      <c r="E364"/>
    </row>
    <row r="365" spans="1:5">
      <c r="A365">
        <f>IFERROR(VLOOKUP(B365,[1]銷貨單品號主檔!$A:$D,4,0),"學習周邊")</f>
        <v>0</v>
      </c>
      <c r="C365"/>
      <c r="E365"/>
    </row>
    <row r="366" spans="1:5">
      <c r="A366">
        <f>IFERROR(VLOOKUP(B366,[1]銷貨單品號主檔!$A:$D,4,0),"學習周邊")</f>
        <v>0</v>
      </c>
      <c r="C366"/>
      <c r="E366"/>
    </row>
    <row r="367" spans="1:5">
      <c r="A367">
        <f>IFERROR(VLOOKUP(B367,[1]銷貨單品號主檔!$A:$D,4,0),"學習周邊")</f>
        <v>0</v>
      </c>
      <c r="C367"/>
      <c r="E367"/>
    </row>
    <row r="368" spans="1:5">
      <c r="A368">
        <f>IFERROR(VLOOKUP(B368,[1]銷貨單品號主檔!$A:$D,4,0),"學習周邊")</f>
        <v>0</v>
      </c>
      <c r="C368"/>
      <c r="E368"/>
    </row>
    <row r="369" spans="1:5">
      <c r="A369">
        <f>IFERROR(VLOOKUP(B369,[1]銷貨單品號主檔!$A:$D,4,0),"學習周邊")</f>
        <v>0</v>
      </c>
      <c r="C369"/>
      <c r="E369"/>
    </row>
    <row r="370" spans="1:5">
      <c r="A370">
        <f>IFERROR(VLOOKUP(B370,[1]銷貨單品號主檔!$A:$D,4,0),"學習周邊")</f>
        <v>0</v>
      </c>
      <c r="C370"/>
      <c r="E370"/>
    </row>
    <row r="371" spans="1:5">
      <c r="A371">
        <f>IFERROR(VLOOKUP(B371,[1]銷貨單品號主檔!$A:$D,4,0),"學習周邊")</f>
        <v>0</v>
      </c>
      <c r="C371"/>
      <c r="E371"/>
    </row>
    <row r="372" spans="1:5">
      <c r="A372">
        <f>IFERROR(VLOOKUP(B372,[1]銷貨單品號主檔!$A:$D,4,0),"學習周邊")</f>
        <v>0</v>
      </c>
      <c r="C372"/>
      <c r="E372"/>
    </row>
    <row r="373" spans="1:5">
      <c r="A373">
        <f>IFERROR(VLOOKUP(B373,[1]銷貨單品號主檔!$A:$D,4,0),"學習周邊")</f>
        <v>0</v>
      </c>
      <c r="C373"/>
      <c r="E373"/>
    </row>
    <row r="374" spans="1:5">
      <c r="A374">
        <f>IFERROR(VLOOKUP(B374,[1]銷貨單品號主檔!$A:$D,4,0),"學習周邊")</f>
        <v>0</v>
      </c>
      <c r="C374"/>
      <c r="E374"/>
    </row>
    <row r="375" spans="1:5">
      <c r="A375">
        <f>IFERROR(VLOOKUP(B375,[1]銷貨單品號主檔!$A:$D,4,0),"學習周邊")</f>
        <v>0</v>
      </c>
      <c r="C375"/>
      <c r="E375"/>
    </row>
    <row r="376" spans="1:5">
      <c r="A376">
        <f>IFERROR(VLOOKUP(B376,[1]銷貨單品號主檔!$A:$D,4,0),"學習周邊")</f>
        <v>0</v>
      </c>
      <c r="C376"/>
      <c r="E376"/>
    </row>
    <row r="377" spans="1:5">
      <c r="A377">
        <f>IFERROR(VLOOKUP(B377,[1]銷貨單品號主檔!$A:$D,4,0),"學習周邊")</f>
        <v>0</v>
      </c>
      <c r="C377"/>
      <c r="E377"/>
    </row>
    <row r="378" spans="1:5">
      <c r="A378">
        <f>IFERROR(VLOOKUP(B378,[1]銷貨單品號主檔!$A:$D,4,0),"學習周邊")</f>
        <v>0</v>
      </c>
      <c r="C378"/>
      <c r="E378"/>
    </row>
    <row r="379" spans="1:5">
      <c r="A379">
        <f>IFERROR(VLOOKUP(B379,[1]銷貨單品號主檔!$A:$D,4,0),"學習周邊")</f>
        <v>0</v>
      </c>
      <c r="C379"/>
      <c r="E379"/>
    </row>
    <row r="380" spans="1:5">
      <c r="A380">
        <f>IFERROR(VLOOKUP(B380,[1]銷貨單品號主檔!$A:$D,4,0),"學習周邊")</f>
        <v>0</v>
      </c>
      <c r="C380"/>
      <c r="E380"/>
    </row>
    <row r="381" spans="1:5">
      <c r="A381">
        <f>IFERROR(VLOOKUP(B381,[1]銷貨單品號主檔!$A:$D,4,0),"學習周邊")</f>
        <v>0</v>
      </c>
      <c r="C381"/>
      <c r="E381"/>
    </row>
    <row r="382" spans="1:5">
      <c r="A382">
        <f>IFERROR(VLOOKUP(B382,[1]銷貨單品號主檔!$A:$D,4,0),"學習周邊")</f>
        <v>0</v>
      </c>
      <c r="C382"/>
      <c r="E382"/>
    </row>
    <row r="383" spans="1:5">
      <c r="A383">
        <f>IFERROR(VLOOKUP(B383,[1]銷貨單品號主檔!$A:$D,4,0),"學習周邊")</f>
        <v>0</v>
      </c>
      <c r="C383"/>
      <c r="E383"/>
    </row>
    <row r="384" spans="1:5">
      <c r="A384">
        <f>IFERROR(VLOOKUP(B384,[1]銷貨單品號主檔!$A:$D,4,0),"學習周邊")</f>
        <v>0</v>
      </c>
      <c r="C384"/>
      <c r="E384"/>
    </row>
    <row r="385" spans="1:5">
      <c r="A385">
        <f>IFERROR(VLOOKUP(B385,[1]銷貨單品號主檔!$A:$D,4,0),"學習周邊")</f>
        <v>0</v>
      </c>
      <c r="C385"/>
      <c r="E385"/>
    </row>
    <row r="386" spans="1:5">
      <c r="A386">
        <f>IFERROR(VLOOKUP(B386,[1]銷貨單品號主檔!$A:$D,4,0),"學習周邊")</f>
        <v>0</v>
      </c>
      <c r="C386"/>
      <c r="E386"/>
    </row>
    <row r="387" spans="1:5">
      <c r="A387">
        <f>IFERROR(VLOOKUP(B387,[1]銷貨單品號主檔!$A:$D,4,0),"學習周邊")</f>
        <v>0</v>
      </c>
      <c r="C387"/>
      <c r="E387"/>
    </row>
    <row r="388" spans="1:5">
      <c r="A388">
        <f>IFERROR(VLOOKUP(B388,[1]銷貨單品號主檔!$A:$D,4,0),"學習周邊")</f>
        <v>0</v>
      </c>
      <c r="C388"/>
      <c r="E388"/>
    </row>
    <row r="389" spans="1:5">
      <c r="A389">
        <f>IFERROR(VLOOKUP(B389,[1]銷貨單品號主檔!$A:$D,4,0),"學習周邊")</f>
        <v>0</v>
      </c>
      <c r="C389"/>
      <c r="E389"/>
    </row>
    <row r="390" spans="1:5">
      <c r="A390">
        <f>IFERROR(VLOOKUP(B390,[1]銷貨單品號主檔!$A:$D,4,0),"學習周邊")</f>
        <v>0</v>
      </c>
      <c r="C390"/>
      <c r="E390"/>
    </row>
    <row r="391" spans="1:5">
      <c r="A391">
        <f>IFERROR(VLOOKUP(B391,[1]銷貨單品號主檔!$A:$D,4,0),"學習周邊")</f>
        <v>0</v>
      </c>
      <c r="C391"/>
      <c r="E391"/>
    </row>
    <row r="392" spans="1:5">
      <c r="A392">
        <f>IFERROR(VLOOKUP(B392,[1]銷貨單品號主檔!$A:$D,4,0),"學習周邊")</f>
        <v>0</v>
      </c>
      <c r="C392"/>
      <c r="E392"/>
    </row>
    <row r="393" spans="1:5">
      <c r="A393">
        <f>IFERROR(VLOOKUP(B393,[1]銷貨單品號主檔!$A:$D,4,0),"學習周邊")</f>
        <v>0</v>
      </c>
      <c r="C393"/>
      <c r="E393"/>
    </row>
    <row r="394" spans="1:5">
      <c r="A394">
        <f>IFERROR(VLOOKUP(B394,[1]銷貨單品號主檔!$A:$D,4,0),"學習周邊")</f>
        <v>0</v>
      </c>
      <c r="C394"/>
      <c r="E394"/>
    </row>
    <row r="395" spans="1:5">
      <c r="A395">
        <f>IFERROR(VLOOKUP(B395,[1]銷貨單品號主檔!$A:$D,4,0),"學習周邊")</f>
        <v>0</v>
      </c>
      <c r="C395"/>
      <c r="E395"/>
    </row>
    <row r="396" spans="1:5">
      <c r="A396">
        <f>IFERROR(VLOOKUP(B396,[1]銷貨單品號主檔!$A:$D,4,0),"學習周邊")</f>
        <v>0</v>
      </c>
      <c r="C396"/>
      <c r="E396"/>
    </row>
    <row r="397" spans="1:5">
      <c r="A397">
        <f>IFERROR(VLOOKUP(B397,[1]銷貨單品號主檔!$A:$D,4,0),"學習周邊")</f>
        <v>0</v>
      </c>
      <c r="C397"/>
      <c r="E397"/>
    </row>
    <row r="398" spans="1:5">
      <c r="A398">
        <f>IFERROR(VLOOKUP(B398,[1]銷貨單品號主檔!$A:$D,4,0),"學習周邊")</f>
        <v>0</v>
      </c>
      <c r="C398"/>
      <c r="E398"/>
    </row>
    <row r="399" spans="1:5">
      <c r="A399">
        <f>IFERROR(VLOOKUP(B399,[1]銷貨單品號主檔!$A:$D,4,0),"學習周邊")</f>
        <v>0</v>
      </c>
      <c r="C399"/>
      <c r="E399"/>
    </row>
    <row r="400" spans="1:5">
      <c r="A400">
        <f>IFERROR(VLOOKUP(B400,[1]銷貨單品號主檔!$A:$D,4,0),"學習周邊")</f>
        <v>0</v>
      </c>
      <c r="C400"/>
      <c r="E400"/>
    </row>
    <row r="401" spans="1:5">
      <c r="A401">
        <f>IFERROR(VLOOKUP(B401,[1]銷貨單品號主檔!$A:$D,4,0),"學習周邊")</f>
        <v>0</v>
      </c>
      <c r="C401"/>
      <c r="E401"/>
    </row>
    <row r="402" spans="1:5">
      <c r="A402">
        <f>IFERROR(VLOOKUP(B402,[1]銷貨單品號主檔!$A:$D,4,0),"學習周邊")</f>
        <v>0</v>
      </c>
      <c r="C402"/>
      <c r="E402"/>
    </row>
    <row r="403" spans="1:5">
      <c r="A403">
        <f>IFERROR(VLOOKUP(B403,[1]銷貨單品號主檔!$A:$D,4,0),"學習周邊")</f>
        <v>0</v>
      </c>
      <c r="C403"/>
      <c r="E403"/>
    </row>
    <row r="404" spans="1:5">
      <c r="A404">
        <f>IFERROR(VLOOKUP(B404,[1]銷貨單品號主檔!$A:$D,4,0),"學習周邊")</f>
        <v>0</v>
      </c>
      <c r="C404"/>
      <c r="E404"/>
    </row>
    <row r="405" spans="1:5">
      <c r="A405">
        <f>IFERROR(VLOOKUP(B405,[1]銷貨單品號主檔!$A:$D,4,0),"學習周邊")</f>
        <v>0</v>
      </c>
      <c r="C405"/>
      <c r="E405"/>
    </row>
    <row r="406" spans="1:5">
      <c r="A406">
        <f>IFERROR(VLOOKUP(B406,[1]銷貨單品號主檔!$A:$D,4,0),"學習周邊")</f>
        <v>0</v>
      </c>
      <c r="C406"/>
      <c r="E406"/>
    </row>
    <row r="407" spans="1:5">
      <c r="A407">
        <f>IFERROR(VLOOKUP(B407,[1]銷貨單品號主檔!$A:$D,4,0),"學習周邊")</f>
        <v>0</v>
      </c>
      <c r="C407"/>
      <c r="E407"/>
    </row>
    <row r="408" spans="1:5">
      <c r="A408">
        <f>IFERROR(VLOOKUP(B408,[1]銷貨單品號主檔!$A:$D,4,0),"學習周邊")</f>
        <v>0</v>
      </c>
      <c r="C408"/>
      <c r="E408"/>
    </row>
    <row r="409" spans="1:5">
      <c r="A409">
        <f>IFERROR(VLOOKUP(B409,[1]銷貨單品號主檔!$A:$D,4,0),"學習周邊")</f>
        <v>0</v>
      </c>
      <c r="C409"/>
      <c r="E409"/>
    </row>
    <row r="410" spans="1:5">
      <c r="A410">
        <f>IFERROR(VLOOKUP(B410,[1]銷貨單品號主檔!$A:$D,4,0),"學習周邊")</f>
        <v>0</v>
      </c>
      <c r="C410"/>
      <c r="E410"/>
    </row>
    <row r="411" spans="1:5">
      <c r="A411">
        <f>IFERROR(VLOOKUP(B411,[1]銷貨單品號主檔!$A:$D,4,0),"學習周邊")</f>
        <v>0</v>
      </c>
      <c r="C411"/>
      <c r="E411"/>
    </row>
    <row r="412" spans="1:5">
      <c r="A412">
        <f>IFERROR(VLOOKUP(B412,[1]銷貨單品號主檔!$A:$D,4,0),"學習周邊")</f>
        <v>0</v>
      </c>
      <c r="C412"/>
      <c r="E412"/>
    </row>
    <row r="413" spans="1:5">
      <c r="A413">
        <f>IFERROR(VLOOKUP(B413,[1]銷貨單品號主檔!$A:$D,4,0),"學習周邊")</f>
        <v>0</v>
      </c>
      <c r="C413"/>
      <c r="E413"/>
    </row>
    <row r="414" spans="1:5">
      <c r="A414">
        <f>IFERROR(VLOOKUP(B414,[1]銷貨單品號主檔!$A:$D,4,0),"學習周邊")</f>
        <v>0</v>
      </c>
      <c r="C414"/>
      <c r="E414"/>
    </row>
    <row r="415" spans="1:5">
      <c r="A415">
        <f>IFERROR(VLOOKUP(B415,[1]銷貨單品號主檔!$A:$D,4,0),"學習周邊")</f>
        <v>0</v>
      </c>
      <c r="C415"/>
      <c r="E415"/>
    </row>
    <row r="416" spans="1:5">
      <c r="A416">
        <f>IFERROR(VLOOKUP(B416,[1]銷貨單品號主檔!$A:$D,4,0),"學習周邊")</f>
        <v>0</v>
      </c>
      <c r="C416"/>
      <c r="E416"/>
    </row>
    <row r="417" spans="1:7">
      <c r="A417">
        <f>IFERROR(VLOOKUP(B417,[1]銷貨單品號主檔!$A:$D,4,0),"學習周邊")</f>
        <v>0</v>
      </c>
      <c r="C417"/>
      <c r="E417"/>
    </row>
    <row r="418" spans="1:7">
      <c r="A418">
        <f>IFERROR(VLOOKUP(B418,[1]銷貨單品號主檔!$A:$D,4,0),"學習周邊")</f>
        <v>0</v>
      </c>
      <c r="C418"/>
      <c r="E418"/>
    </row>
    <row r="419" spans="1:7">
      <c r="A419">
        <f>IFERROR(VLOOKUP(B419,[1]銷貨單品號主檔!$A:$D,4,0),"學習周邊")</f>
        <v>0</v>
      </c>
      <c r="C419"/>
      <c r="E419"/>
    </row>
    <row r="420" spans="1:7">
      <c r="A420">
        <f>IFERROR(VLOOKUP(B420,[1]銷貨單品號主檔!$A:$D,4,0),"學習周邊")</f>
        <v>0</v>
      </c>
      <c r="C420"/>
      <c r="E420"/>
    </row>
    <row r="421" spans="1:7">
      <c r="A421">
        <f>IFERROR(VLOOKUP(B421,[1]銷貨單品號主檔!$A:$D,4,0),"學習周邊")</f>
        <v>0</v>
      </c>
      <c r="C421"/>
      <c r="E421"/>
    </row>
    <row r="422" spans="1:7">
      <c r="A422">
        <f>IFERROR(VLOOKUP(B422,[1]銷貨單品號主檔!$A:$D,4,0),"學習周邊")</f>
        <v>0</v>
      </c>
      <c r="C422"/>
      <c r="E422"/>
    </row>
    <row r="423" spans="1:7">
      <c r="A423">
        <f>IFERROR(VLOOKUP(B423,[1]銷貨單品號主檔!$A:$D,4,0),"學習周邊")</f>
        <v>0</v>
      </c>
      <c r="C423"/>
      <c r="E423"/>
    </row>
    <row r="424" spans="1:7" s="23" customFormat="1">
      <c r="A424">
        <f>IFERROR(VLOOKUP(B424,[1]銷貨單品號主檔!$A:$D,4,0),"學習周邊")</f>
        <v>0</v>
      </c>
      <c r="B424"/>
      <c r="C424"/>
      <c r="D424"/>
      <c r="E424"/>
      <c r="F424"/>
      <c r="G424"/>
    </row>
    <row r="425" spans="1:7" s="23" customFormat="1">
      <c r="A425">
        <f>IFERROR(VLOOKUP(B425,[1]銷貨單品號主檔!$A:$D,4,0),"學習周邊")</f>
        <v>0</v>
      </c>
      <c r="B425"/>
      <c r="C425"/>
      <c r="D425"/>
      <c r="E425"/>
      <c r="F425"/>
      <c r="G425"/>
    </row>
    <row r="426" spans="1:7" s="23" customFormat="1">
      <c r="A426">
        <f>IFERROR(VLOOKUP(B426,[1]銷貨單品號主檔!$A:$D,4,0),"學習周邊")</f>
        <v>0</v>
      </c>
      <c r="B426"/>
      <c r="C426"/>
      <c r="D426"/>
      <c r="E426"/>
      <c r="F426"/>
      <c r="G426"/>
    </row>
    <row r="427" spans="1:7" s="23" customFormat="1">
      <c r="A427">
        <f>IFERROR(VLOOKUP(B427,[1]銷貨單品號主檔!$A:$D,4,0),"學習周邊")</f>
        <v>0</v>
      </c>
      <c r="B427"/>
      <c r="C427"/>
      <c r="D427"/>
      <c r="E427"/>
      <c r="F427"/>
      <c r="G427"/>
    </row>
    <row r="428" spans="1:7" s="23" customFormat="1">
      <c r="A428">
        <f>IFERROR(VLOOKUP(B428,[1]銷貨單品號主檔!$A:$D,4,0),"學習周邊")</f>
        <v>0</v>
      </c>
      <c r="B428"/>
      <c r="C428"/>
      <c r="D428"/>
      <c r="E428"/>
      <c r="F428"/>
      <c r="G428"/>
    </row>
    <row r="429" spans="1:7" s="23" customFormat="1">
      <c r="A429">
        <f>IFERROR(VLOOKUP(B429,[1]銷貨單品號主檔!$A:$D,4,0),"學習周邊")</f>
        <v>0</v>
      </c>
      <c r="B429"/>
      <c r="C429"/>
      <c r="D429"/>
      <c r="E429"/>
      <c r="F429"/>
      <c r="G429"/>
    </row>
    <row r="430" spans="1:7" s="23" customFormat="1">
      <c r="A430">
        <f>IFERROR(VLOOKUP(B430,[1]銷貨單品號主檔!$A:$D,4,0),"學習周邊")</f>
        <v>0</v>
      </c>
      <c r="B430"/>
      <c r="C430"/>
      <c r="D430"/>
      <c r="E430"/>
      <c r="F430"/>
      <c r="G430"/>
    </row>
    <row r="431" spans="1:7" s="23" customFormat="1">
      <c r="A431">
        <f>IFERROR(VLOOKUP(B431,[1]銷貨單品號主檔!$A:$D,4,0),"學習周邊")</f>
        <v>0</v>
      </c>
      <c r="B431"/>
      <c r="C431"/>
      <c r="D431"/>
      <c r="E431"/>
      <c r="F431"/>
      <c r="G431"/>
    </row>
    <row r="432" spans="1:7" s="23" customFormat="1">
      <c r="A432">
        <f>IFERROR(VLOOKUP(B432,[1]銷貨單品號主檔!$A:$D,4,0),"學習周邊")</f>
        <v>0</v>
      </c>
      <c r="B432"/>
      <c r="C432"/>
      <c r="D432"/>
      <c r="E432"/>
      <c r="F432"/>
      <c r="G432"/>
    </row>
    <row r="433" spans="1:7" s="23" customFormat="1">
      <c r="A433">
        <f>IFERROR(VLOOKUP(B433,[1]銷貨單品號主檔!$A:$D,4,0),"學習周邊")</f>
        <v>0</v>
      </c>
      <c r="B433"/>
      <c r="C433"/>
      <c r="D433"/>
      <c r="E433"/>
      <c r="F433"/>
      <c r="G433"/>
    </row>
    <row r="434" spans="1:7" s="23" customFormat="1">
      <c r="A434">
        <f>IFERROR(VLOOKUP(B434,[1]銷貨單品號主檔!$A:$D,4,0),"學習周邊")</f>
        <v>0</v>
      </c>
      <c r="B434"/>
      <c r="C434"/>
      <c r="D434"/>
      <c r="E434"/>
      <c r="F434"/>
      <c r="G434"/>
    </row>
    <row r="435" spans="1:7" s="23" customFormat="1">
      <c r="A435">
        <f>IFERROR(VLOOKUP(B435,[1]銷貨單品號主檔!$A:$D,4,0),"學習周邊")</f>
        <v>0</v>
      </c>
      <c r="B435"/>
      <c r="C435"/>
      <c r="D435"/>
      <c r="E435"/>
      <c r="F435"/>
      <c r="G435"/>
    </row>
    <row r="436" spans="1:7" s="23" customFormat="1">
      <c r="A436">
        <f>IFERROR(VLOOKUP(B436,[1]銷貨單品號主檔!$A:$D,4,0),"學習周邊")</f>
        <v>0</v>
      </c>
      <c r="B436"/>
      <c r="C436"/>
      <c r="D436"/>
      <c r="E436"/>
      <c r="F436"/>
      <c r="G436"/>
    </row>
    <row r="437" spans="1:7" s="23" customFormat="1">
      <c r="A437">
        <f>IFERROR(VLOOKUP(B437,[1]銷貨單品號主檔!$A:$D,4,0),"學習周邊")</f>
        <v>0</v>
      </c>
      <c r="B437"/>
      <c r="C437"/>
      <c r="D437"/>
      <c r="E437"/>
      <c r="F437"/>
      <c r="G437"/>
    </row>
    <row r="438" spans="1:7" s="23" customFormat="1">
      <c r="A438">
        <f>IFERROR(VLOOKUP(B438,[1]銷貨單品號主檔!$A:$D,4,0),"學習周邊")</f>
        <v>0</v>
      </c>
      <c r="B438"/>
      <c r="C438"/>
      <c r="D438"/>
      <c r="E438"/>
      <c r="F438"/>
      <c r="G438"/>
    </row>
    <row r="439" spans="1:7" s="23" customFormat="1">
      <c r="A439">
        <f>IFERROR(VLOOKUP(B439,[1]銷貨單品號主檔!$A:$D,4,0),"學習周邊")</f>
        <v>0</v>
      </c>
      <c r="B439"/>
      <c r="C439"/>
      <c r="D439"/>
      <c r="E439"/>
      <c r="F439"/>
      <c r="G439"/>
    </row>
    <row r="440" spans="1:7" s="23" customFormat="1">
      <c r="A440">
        <f>IFERROR(VLOOKUP(B440,[1]銷貨單品號主檔!$A:$D,4,0),"學習周邊")</f>
        <v>0</v>
      </c>
      <c r="B440"/>
      <c r="C440"/>
      <c r="D440"/>
      <c r="E440"/>
      <c r="F440"/>
      <c r="G440"/>
    </row>
    <row r="441" spans="1:7" s="23" customFormat="1">
      <c r="A441">
        <f>IFERROR(VLOOKUP(B441,[1]銷貨單品號主檔!$A:$D,4,0),"學習周邊")</f>
        <v>0</v>
      </c>
      <c r="B441"/>
      <c r="C441"/>
      <c r="D441"/>
      <c r="E441"/>
      <c r="F441"/>
      <c r="G441"/>
    </row>
    <row r="442" spans="1:7" s="23" customFormat="1">
      <c r="A442">
        <f>IFERROR(VLOOKUP(B442,[1]銷貨單品號主檔!$A:$D,4,0),"學習周邊")</f>
        <v>0</v>
      </c>
      <c r="B442"/>
      <c r="C442"/>
      <c r="D442"/>
      <c r="E442"/>
      <c r="F442"/>
      <c r="G442"/>
    </row>
    <row r="443" spans="1:7" s="23" customFormat="1">
      <c r="A443">
        <f>IFERROR(VLOOKUP(B443,[1]銷貨單品號主檔!$A:$D,4,0),"學習周邊")</f>
        <v>0</v>
      </c>
      <c r="B443"/>
      <c r="C443"/>
      <c r="D443"/>
      <c r="E443"/>
      <c r="F443"/>
      <c r="G443"/>
    </row>
    <row r="444" spans="1:7" s="23" customFormat="1">
      <c r="A444">
        <f>IFERROR(VLOOKUP(B444,[1]銷貨單品號主檔!$A:$D,4,0),"學習周邊")</f>
        <v>0</v>
      </c>
      <c r="B444"/>
      <c r="C444"/>
      <c r="D444"/>
      <c r="E444"/>
      <c r="F444"/>
      <c r="G444"/>
    </row>
    <row r="445" spans="1:7" s="23" customFormat="1">
      <c r="A445">
        <f>IFERROR(VLOOKUP(B445,[1]銷貨單品號主檔!$A:$D,4,0),"學習周邊")</f>
        <v>0</v>
      </c>
      <c r="B445"/>
      <c r="C445"/>
      <c r="D445"/>
      <c r="E445"/>
      <c r="F445"/>
      <c r="G445"/>
    </row>
    <row r="446" spans="1:7" s="23" customFormat="1">
      <c r="A446">
        <f>IFERROR(VLOOKUP(B446,[1]銷貨單品號主檔!$A:$D,4,0),"學習周邊")</f>
        <v>0</v>
      </c>
      <c r="B446"/>
      <c r="C446"/>
      <c r="D446"/>
      <c r="E446"/>
      <c r="F446"/>
      <c r="G446"/>
    </row>
    <row r="447" spans="1:7" s="23" customFormat="1">
      <c r="A447">
        <f>IFERROR(VLOOKUP(B447,[1]銷貨單品號主檔!$A:$D,4,0),"學習周邊")</f>
        <v>0</v>
      </c>
      <c r="B447"/>
      <c r="C447"/>
      <c r="D447"/>
      <c r="E447"/>
      <c r="F447"/>
      <c r="G447"/>
    </row>
    <row r="448" spans="1:7" s="23" customFormat="1">
      <c r="A448">
        <f>IFERROR(VLOOKUP(B448,[1]銷貨單品號主檔!$A:$D,4,0),"學習周邊")</f>
        <v>0</v>
      </c>
      <c r="B448"/>
      <c r="C448"/>
      <c r="D448"/>
      <c r="E448"/>
      <c r="F448"/>
      <c r="G448"/>
    </row>
    <row r="449" spans="1:7" s="23" customFormat="1">
      <c r="A449">
        <f>IFERROR(VLOOKUP(B449,[1]銷貨單品號主檔!$A:$D,4,0),"學習周邊")</f>
        <v>0</v>
      </c>
      <c r="B449"/>
      <c r="C449"/>
      <c r="D449"/>
      <c r="E449"/>
      <c r="F449"/>
      <c r="G449"/>
    </row>
    <row r="450" spans="1:7" s="23" customFormat="1">
      <c r="A450">
        <f>IFERROR(VLOOKUP(B450,[1]銷貨單品號主檔!$A:$D,4,0),"學習周邊")</f>
        <v>0</v>
      </c>
      <c r="B450"/>
      <c r="C450"/>
      <c r="D450"/>
      <c r="E450"/>
      <c r="F450"/>
      <c r="G450"/>
    </row>
    <row r="451" spans="1:7" s="23" customFormat="1">
      <c r="A451">
        <f>IFERROR(VLOOKUP(B451,[1]銷貨單品號主檔!$A:$D,4,0),"學習周邊")</f>
        <v>0</v>
      </c>
      <c r="B451"/>
      <c r="C451"/>
      <c r="D451"/>
      <c r="E451"/>
      <c r="F451"/>
      <c r="G451"/>
    </row>
    <row r="452" spans="1:7" s="23" customFormat="1">
      <c r="A452">
        <f>IFERROR(VLOOKUP(B452,[1]銷貨單品號主檔!$A:$D,4,0),"學習周邊")</f>
        <v>0</v>
      </c>
      <c r="B452"/>
      <c r="C452"/>
      <c r="D452"/>
      <c r="E452"/>
      <c r="F452"/>
      <c r="G452"/>
    </row>
    <row r="453" spans="1:7" s="23" customFormat="1">
      <c r="A453">
        <f>IFERROR(VLOOKUP(B453,[1]銷貨單品號主檔!$A:$D,4,0),"學習周邊")</f>
        <v>0</v>
      </c>
      <c r="B453"/>
      <c r="C453"/>
      <c r="D453"/>
      <c r="E453"/>
      <c r="F453"/>
      <c r="G453"/>
    </row>
    <row r="454" spans="1:7" s="23" customFormat="1">
      <c r="A454">
        <f>IFERROR(VLOOKUP(B454,[1]銷貨單品號主檔!$A:$D,4,0),"學習周邊")</f>
        <v>0</v>
      </c>
      <c r="B454"/>
      <c r="C454"/>
      <c r="D454"/>
      <c r="E454"/>
      <c r="F454"/>
      <c r="G454"/>
    </row>
    <row r="455" spans="1:7" s="23" customFormat="1">
      <c r="A455">
        <f>IFERROR(VLOOKUP(B455,[1]銷貨單品號主檔!$A:$D,4,0),"學習周邊")</f>
        <v>0</v>
      </c>
      <c r="B455"/>
      <c r="C455"/>
      <c r="D455"/>
      <c r="E455"/>
      <c r="F455"/>
      <c r="G455"/>
    </row>
    <row r="456" spans="1:7" s="23" customFormat="1">
      <c r="A456">
        <f>IFERROR(VLOOKUP(B456,[1]銷貨單品號主檔!$A:$D,4,0),"學習周邊")</f>
        <v>0</v>
      </c>
      <c r="B456"/>
      <c r="C456"/>
      <c r="D456"/>
      <c r="E456"/>
      <c r="F456"/>
      <c r="G456"/>
    </row>
    <row r="457" spans="1:7" s="23" customFormat="1">
      <c r="A457">
        <f>IFERROR(VLOOKUP(B457,[1]銷貨單品號主檔!$A:$D,4,0),"學習周邊")</f>
        <v>0</v>
      </c>
      <c r="B457"/>
      <c r="C457"/>
      <c r="D457"/>
      <c r="E457"/>
      <c r="F457"/>
      <c r="G457"/>
    </row>
    <row r="458" spans="1:7" s="23" customFormat="1">
      <c r="A458">
        <f>IFERROR(VLOOKUP(B458,[1]銷貨單品號主檔!$A:$D,4,0),"學習周邊")</f>
        <v>0</v>
      </c>
      <c r="B458"/>
      <c r="C458"/>
      <c r="D458"/>
      <c r="E458"/>
      <c r="F458"/>
      <c r="G458"/>
    </row>
    <row r="459" spans="1:7" s="23" customFormat="1">
      <c r="A459">
        <f>IFERROR(VLOOKUP(B459,[1]銷貨單品號主檔!$A:$D,4,0),"學習周邊")</f>
        <v>0</v>
      </c>
      <c r="B459"/>
      <c r="C459"/>
      <c r="D459"/>
      <c r="E459"/>
      <c r="F459"/>
      <c r="G459"/>
    </row>
    <row r="460" spans="1:7" s="23" customFormat="1">
      <c r="A460">
        <f>IFERROR(VLOOKUP(B460,[1]銷貨單品號主檔!$A:$D,4,0),"學習周邊")</f>
        <v>0</v>
      </c>
      <c r="B460"/>
      <c r="C460"/>
      <c r="D460"/>
      <c r="E460"/>
      <c r="F460"/>
      <c r="G460"/>
    </row>
    <row r="461" spans="1:7" s="23" customFormat="1">
      <c r="A461">
        <f>IFERROR(VLOOKUP(B461,[1]銷貨單品號主檔!$A:$D,4,0),"學習周邊")</f>
        <v>0</v>
      </c>
      <c r="B461"/>
      <c r="C461"/>
      <c r="D461"/>
      <c r="E461"/>
      <c r="F461"/>
      <c r="G461"/>
    </row>
    <row r="462" spans="1:7" s="23" customFormat="1">
      <c r="A462">
        <f>IFERROR(VLOOKUP(B462,[1]銷貨單品號主檔!$A:$D,4,0),"學習周邊")</f>
        <v>0</v>
      </c>
      <c r="B462"/>
      <c r="C462"/>
      <c r="D462"/>
      <c r="E462"/>
      <c r="F462"/>
      <c r="G462"/>
    </row>
    <row r="463" spans="1:7" s="23" customFormat="1">
      <c r="A463">
        <f>IFERROR(VLOOKUP(B463,[1]銷貨單品號主檔!$A:$D,4,0),"學習周邊")</f>
        <v>0</v>
      </c>
      <c r="B463"/>
      <c r="C463"/>
      <c r="D463"/>
      <c r="E463"/>
      <c r="F463"/>
      <c r="G463"/>
    </row>
    <row r="464" spans="1:7" s="23" customFormat="1">
      <c r="A464">
        <f>IFERROR(VLOOKUP(B464,[1]銷貨單品號主檔!$A:$D,4,0),"學習周邊")</f>
        <v>0</v>
      </c>
      <c r="B464"/>
      <c r="C464"/>
      <c r="D464"/>
      <c r="E464"/>
      <c r="F464"/>
      <c r="G464"/>
    </row>
    <row r="465" spans="1:7" s="23" customFormat="1">
      <c r="A465">
        <f>IFERROR(VLOOKUP(B465,[1]銷貨單品號主檔!$A:$D,4,0),"學習周邊")</f>
        <v>0</v>
      </c>
      <c r="B465"/>
      <c r="C465"/>
      <c r="D465"/>
      <c r="E465"/>
      <c r="F465"/>
      <c r="G465"/>
    </row>
    <row r="466" spans="1:7" s="23" customFormat="1">
      <c r="A466">
        <f>IFERROR(VLOOKUP(B466,[1]銷貨單品號主檔!$A:$D,4,0),"學習周邊")</f>
        <v>0</v>
      </c>
      <c r="B466"/>
      <c r="C466"/>
      <c r="D466"/>
      <c r="E466"/>
      <c r="F466"/>
      <c r="G466"/>
    </row>
    <row r="467" spans="1:7" s="23" customFormat="1">
      <c r="A467">
        <f>IFERROR(VLOOKUP(B467,[1]銷貨單品號主檔!$A:$D,4,0),"學習周邊")</f>
        <v>0</v>
      </c>
      <c r="B467"/>
      <c r="C467"/>
      <c r="D467"/>
      <c r="E467"/>
      <c r="F467"/>
      <c r="G467"/>
    </row>
    <row r="468" spans="1:7" s="23" customFormat="1">
      <c r="A468">
        <f>IFERROR(VLOOKUP(B468,[1]銷貨單品號主檔!$A:$D,4,0),"學習周邊")</f>
        <v>0</v>
      </c>
      <c r="B468"/>
      <c r="C468"/>
      <c r="D468"/>
      <c r="E468"/>
      <c r="F468"/>
      <c r="G468"/>
    </row>
    <row r="469" spans="1:7" s="23" customFormat="1">
      <c r="A469">
        <f>IFERROR(VLOOKUP(B469,[1]銷貨單品號主檔!$A:$D,4,0),"學習周邊")</f>
        <v>0</v>
      </c>
      <c r="B469"/>
      <c r="C469"/>
      <c r="D469"/>
      <c r="E469"/>
      <c r="F469"/>
      <c r="G469"/>
    </row>
    <row r="470" spans="1:7" s="23" customFormat="1">
      <c r="A470">
        <f>IFERROR(VLOOKUP(B470,[1]銷貨單品號主檔!$A:$D,4,0),"學習周邊")</f>
        <v>0</v>
      </c>
      <c r="B470"/>
      <c r="C470"/>
      <c r="D470"/>
      <c r="E470"/>
      <c r="F470"/>
      <c r="G470"/>
    </row>
    <row r="471" spans="1:7" s="23" customFormat="1">
      <c r="A471">
        <f>IFERROR(VLOOKUP(B471,[1]銷貨單品號主檔!$A:$D,4,0),"學習周邊")</f>
        <v>0</v>
      </c>
      <c r="B471"/>
      <c r="C471"/>
      <c r="D471"/>
      <c r="E471"/>
      <c r="F471"/>
      <c r="G471"/>
    </row>
    <row r="472" spans="1:7" s="23" customFormat="1">
      <c r="A472">
        <f>IFERROR(VLOOKUP(B472,[1]銷貨單品號主檔!$A:$D,4,0),"學習周邊")</f>
        <v>0</v>
      </c>
      <c r="B472"/>
      <c r="C472"/>
      <c r="D472"/>
      <c r="E472"/>
      <c r="F472"/>
      <c r="G472"/>
    </row>
    <row r="473" spans="1:7" s="23" customFormat="1">
      <c r="A473">
        <f>IFERROR(VLOOKUP(B473,[1]銷貨單品號主檔!$A:$D,4,0),"學習周邊")</f>
        <v>0</v>
      </c>
      <c r="B473"/>
      <c r="C473"/>
      <c r="D473"/>
      <c r="E473"/>
      <c r="F473"/>
      <c r="G473"/>
    </row>
    <row r="474" spans="1:7" s="23" customFormat="1">
      <c r="A474">
        <f>IFERROR(VLOOKUP(B474,[1]銷貨單品號主檔!$A:$D,4,0),"學習周邊")</f>
        <v>0</v>
      </c>
      <c r="B474"/>
      <c r="C474"/>
      <c r="D474"/>
      <c r="E474"/>
      <c r="F474"/>
      <c r="G474"/>
    </row>
    <row r="475" spans="1:7" s="23" customFormat="1">
      <c r="A475">
        <f>IFERROR(VLOOKUP(B475,[1]銷貨單品號主檔!$A:$D,4,0),"學習周邊")</f>
        <v>0</v>
      </c>
      <c r="B475"/>
      <c r="C475"/>
      <c r="D475"/>
      <c r="E475"/>
      <c r="F475"/>
      <c r="G475"/>
    </row>
    <row r="476" spans="1:7" s="23" customFormat="1">
      <c r="A476">
        <f>IFERROR(VLOOKUP(B476,[1]銷貨單品號主檔!$A:$D,4,0),"學習周邊")</f>
        <v>0</v>
      </c>
      <c r="B476"/>
      <c r="C476"/>
      <c r="D476"/>
      <c r="E476"/>
      <c r="F476"/>
      <c r="G476"/>
    </row>
    <row r="477" spans="1:7" s="23" customFormat="1">
      <c r="A477">
        <f>IFERROR(VLOOKUP(B477,[1]銷貨單品號主檔!$A:$D,4,0),"學習周邊")</f>
        <v>0</v>
      </c>
      <c r="B477"/>
      <c r="C477"/>
      <c r="D477"/>
      <c r="E477"/>
      <c r="F477"/>
      <c r="G477"/>
    </row>
    <row r="478" spans="1:7" s="23" customFormat="1">
      <c r="A478">
        <f>IFERROR(VLOOKUP(B478,[1]銷貨單品號主檔!$A:$D,4,0),"學習周邊")</f>
        <v>0</v>
      </c>
      <c r="B478"/>
      <c r="C478"/>
      <c r="D478"/>
      <c r="E478"/>
      <c r="F478"/>
      <c r="G478"/>
    </row>
    <row r="479" spans="1:7" s="23" customFormat="1">
      <c r="A479">
        <f>IFERROR(VLOOKUP(B479,[1]銷貨單品號主檔!$A:$D,4,0),"學習周邊")</f>
        <v>0</v>
      </c>
      <c r="B479"/>
      <c r="C479"/>
      <c r="D479"/>
      <c r="E479"/>
      <c r="F479"/>
      <c r="G479"/>
    </row>
    <row r="480" spans="1:7" s="23" customFormat="1">
      <c r="A480">
        <f>IFERROR(VLOOKUP(B480,[1]銷貨單品號主檔!$A:$D,4,0),"學習周邊")</f>
        <v>0</v>
      </c>
      <c r="B480"/>
      <c r="C480"/>
      <c r="D480"/>
      <c r="E480"/>
      <c r="F480"/>
      <c r="G480"/>
    </row>
    <row r="481" spans="1:7" s="23" customFormat="1">
      <c r="A481">
        <f>IFERROR(VLOOKUP(B481,[1]銷貨單品號主檔!$A:$D,4,0),"學習周邊")</f>
        <v>0</v>
      </c>
      <c r="B481"/>
      <c r="C481"/>
      <c r="D481"/>
      <c r="E481"/>
      <c r="F481"/>
      <c r="G481"/>
    </row>
    <row r="482" spans="1:7" s="23" customFormat="1">
      <c r="A482">
        <f>IFERROR(VLOOKUP(B482,[1]銷貨單品號主檔!$A:$D,4,0),"學習周邊")</f>
        <v>0</v>
      </c>
      <c r="B482"/>
      <c r="C482"/>
      <c r="D482"/>
      <c r="E482"/>
      <c r="F482"/>
      <c r="G482"/>
    </row>
    <row r="483" spans="1:7" s="23" customFormat="1">
      <c r="A483">
        <f>IFERROR(VLOOKUP(B483,[1]銷貨單品號主檔!$A:$D,4,0),"學習周邊")</f>
        <v>0</v>
      </c>
      <c r="B483"/>
      <c r="C483"/>
      <c r="D483"/>
      <c r="E483"/>
      <c r="F483"/>
      <c r="G483"/>
    </row>
    <row r="484" spans="1:7" s="23" customFormat="1">
      <c r="A484">
        <f>IFERROR(VLOOKUP(B484,[1]銷貨單品號主檔!$A:$D,4,0),"學習周邊")</f>
        <v>0</v>
      </c>
      <c r="B484"/>
      <c r="C484"/>
      <c r="D484"/>
      <c r="E484"/>
      <c r="F484"/>
      <c r="G484"/>
    </row>
    <row r="485" spans="1:7" s="23" customFormat="1">
      <c r="A485">
        <f>IFERROR(VLOOKUP(B485,[1]銷貨單品號主檔!$A:$D,4,0),"學習周邊")</f>
        <v>0</v>
      </c>
      <c r="B485"/>
      <c r="C485"/>
      <c r="D485"/>
      <c r="E485"/>
      <c r="F485"/>
      <c r="G485"/>
    </row>
    <row r="486" spans="1:7" s="23" customFormat="1">
      <c r="A486">
        <f>IFERROR(VLOOKUP(B486,[1]銷貨單品號主檔!$A:$D,4,0),"學習周邊")</f>
        <v>0</v>
      </c>
      <c r="B486"/>
      <c r="C486"/>
      <c r="D486"/>
      <c r="E486"/>
      <c r="F486"/>
      <c r="G486"/>
    </row>
    <row r="487" spans="1:7" s="23" customFormat="1">
      <c r="A487">
        <f>IFERROR(VLOOKUP(B487,[1]銷貨單品號主檔!$A:$D,4,0),"學習周邊")</f>
        <v>0</v>
      </c>
      <c r="B487"/>
      <c r="C487"/>
      <c r="D487"/>
      <c r="E487"/>
      <c r="F487"/>
      <c r="G487"/>
    </row>
    <row r="488" spans="1:7" s="23" customFormat="1">
      <c r="A488">
        <f>IFERROR(VLOOKUP(B488,[1]銷貨單品號主檔!$A:$D,4,0),"學習周邊")</f>
        <v>0</v>
      </c>
      <c r="B488"/>
      <c r="C488"/>
      <c r="D488"/>
      <c r="E488"/>
      <c r="F488"/>
      <c r="G488"/>
    </row>
    <row r="489" spans="1:7" s="23" customFormat="1">
      <c r="A489">
        <f>IFERROR(VLOOKUP(B489,[1]銷貨單品號主檔!$A:$D,4,0),"學習周邊")</f>
        <v>0</v>
      </c>
      <c r="B489"/>
      <c r="C489"/>
      <c r="D489"/>
      <c r="E489"/>
      <c r="F489"/>
      <c r="G489"/>
    </row>
    <row r="490" spans="1:7" s="23" customFormat="1">
      <c r="A490">
        <f>IFERROR(VLOOKUP(B490,[1]銷貨單品號主檔!$A:$D,4,0),"學習周邊")</f>
        <v>0</v>
      </c>
      <c r="B490"/>
      <c r="C490"/>
      <c r="D490"/>
      <c r="E490"/>
      <c r="F490"/>
      <c r="G490"/>
    </row>
    <row r="491" spans="1:7" s="23" customFormat="1">
      <c r="A491">
        <f>IFERROR(VLOOKUP(B491,[1]銷貨單品號主檔!$A:$D,4,0),"學習周邊")</f>
        <v>0</v>
      </c>
      <c r="B491"/>
      <c r="C491"/>
      <c r="D491"/>
      <c r="E491"/>
      <c r="F491"/>
      <c r="G491"/>
    </row>
    <row r="492" spans="1:7" s="23" customFormat="1">
      <c r="A492">
        <f>IFERROR(VLOOKUP(B492,[1]銷貨單品號主檔!$A:$D,4,0),"學習周邊")</f>
        <v>0</v>
      </c>
      <c r="B492"/>
      <c r="C492"/>
      <c r="D492"/>
      <c r="E492"/>
      <c r="F492"/>
      <c r="G492"/>
    </row>
    <row r="493" spans="1:7" s="23" customFormat="1">
      <c r="A493">
        <f>IFERROR(VLOOKUP(B493,[1]銷貨單品號主檔!$A:$D,4,0),"學習周邊")</f>
        <v>0</v>
      </c>
      <c r="B493"/>
      <c r="C493"/>
      <c r="D493"/>
      <c r="E493"/>
      <c r="F493"/>
      <c r="G493"/>
    </row>
    <row r="494" spans="1:7" s="23" customFormat="1">
      <c r="A494">
        <f>IFERROR(VLOOKUP(B494,[1]銷貨單品號主檔!$A:$D,4,0),"學習周邊")</f>
        <v>0</v>
      </c>
      <c r="B494"/>
      <c r="C494"/>
      <c r="D494"/>
      <c r="E494"/>
      <c r="F494"/>
      <c r="G494"/>
    </row>
    <row r="495" spans="1:7" s="23" customFormat="1">
      <c r="A495">
        <f>IFERROR(VLOOKUP(B495,[1]銷貨單品號主檔!$A:$D,4,0),"學習周邊")</f>
        <v>0</v>
      </c>
      <c r="B495"/>
      <c r="C495"/>
      <c r="D495"/>
      <c r="E495"/>
      <c r="F495"/>
      <c r="G495"/>
    </row>
    <row r="496" spans="1:7" s="23" customFormat="1">
      <c r="A496">
        <f>IFERROR(VLOOKUP(B496,[1]銷貨單品號主檔!$A:$D,4,0),"學習周邊")</f>
        <v>0</v>
      </c>
      <c r="B496"/>
      <c r="C496"/>
      <c r="D496"/>
      <c r="E496"/>
      <c r="F496"/>
      <c r="G496"/>
    </row>
    <row r="497" spans="1:7" s="23" customFormat="1">
      <c r="A497">
        <f>IFERROR(VLOOKUP(B497,[1]銷貨單品號主檔!$A:$D,4,0),"學習周邊")</f>
        <v>0</v>
      </c>
      <c r="B497"/>
      <c r="C497"/>
      <c r="D497"/>
      <c r="E497"/>
      <c r="F497"/>
      <c r="G497"/>
    </row>
    <row r="498" spans="1:7" s="23" customFormat="1">
      <c r="A498">
        <f>IFERROR(VLOOKUP(B498,[1]銷貨單品號主檔!$A:$D,4,0),"學習周邊")</f>
        <v>0</v>
      </c>
      <c r="B498"/>
      <c r="C498"/>
      <c r="D498"/>
      <c r="E498"/>
      <c r="F498"/>
      <c r="G498"/>
    </row>
    <row r="499" spans="1:7" s="23" customFormat="1">
      <c r="A499">
        <f>IFERROR(VLOOKUP(B499,[1]銷貨單品號主檔!$A:$D,4,0),"學習周邊")</f>
        <v>0</v>
      </c>
      <c r="B499"/>
      <c r="C499"/>
      <c r="D499"/>
      <c r="E499"/>
      <c r="F499"/>
      <c r="G499"/>
    </row>
    <row r="500" spans="1:7" s="23" customFormat="1">
      <c r="A500">
        <f>IFERROR(VLOOKUP(B500,[1]銷貨單品號主檔!$A:$D,4,0),"學習周邊")</f>
        <v>0</v>
      </c>
      <c r="B500"/>
      <c r="C500"/>
      <c r="D500"/>
      <c r="E500"/>
      <c r="F500"/>
      <c r="G500"/>
    </row>
    <row r="501" spans="1:7" s="23" customFormat="1">
      <c r="A501">
        <f>IFERROR(VLOOKUP(B501,[1]銷貨單品號主檔!$A:$D,4,0),"學習周邊")</f>
        <v>0</v>
      </c>
      <c r="B501"/>
      <c r="C501"/>
      <c r="D501"/>
      <c r="E501"/>
      <c r="F501"/>
      <c r="G501"/>
    </row>
    <row r="502" spans="1:7" s="23" customFormat="1">
      <c r="A502">
        <f>IFERROR(VLOOKUP(B502,[1]銷貨單品號主檔!$A:$D,4,0),"學習周邊")</f>
        <v>0</v>
      </c>
      <c r="B502"/>
      <c r="C502"/>
      <c r="D502"/>
      <c r="E502"/>
      <c r="F502"/>
      <c r="G502"/>
    </row>
    <row r="503" spans="1:7" s="23" customFormat="1">
      <c r="A503">
        <f>IFERROR(VLOOKUP(B503,[1]銷貨單品號主檔!$A:$D,4,0),"學習周邊")</f>
        <v>0</v>
      </c>
      <c r="B503"/>
      <c r="C503"/>
      <c r="D503"/>
      <c r="E503"/>
      <c r="F503"/>
      <c r="G503"/>
    </row>
    <row r="504" spans="1:7">
      <c r="A504">
        <f>IFERROR(VLOOKUP(B504,[1]銷貨單品號主檔!$A:$D,4,0),"學習周邊")</f>
        <v>0</v>
      </c>
      <c r="C504"/>
      <c r="E504"/>
    </row>
    <row r="505" spans="1:7">
      <c r="A505">
        <f>IFERROR(VLOOKUP(B505,[1]銷貨單品號主檔!$A:$D,4,0),"學習周邊")</f>
        <v>0</v>
      </c>
      <c r="C505"/>
      <c r="E505"/>
    </row>
    <row r="506" spans="1:7">
      <c r="A506">
        <f>IFERROR(VLOOKUP(B506,[1]銷貨單品號主檔!$A:$D,4,0),"學習周邊")</f>
        <v>0</v>
      </c>
      <c r="C506"/>
      <c r="E506"/>
    </row>
    <row r="507" spans="1:7">
      <c r="A507">
        <f>IFERROR(VLOOKUP(B507,[1]銷貨單品號主檔!$A:$D,4,0),"學習周邊")</f>
        <v>0</v>
      </c>
      <c r="C507"/>
      <c r="E507"/>
    </row>
    <row r="508" spans="1:7">
      <c r="A508">
        <f>IFERROR(VLOOKUP(B508,[1]銷貨單品號主檔!$A:$D,4,0),"學習周邊")</f>
        <v>0</v>
      </c>
      <c r="C508"/>
      <c r="E508"/>
    </row>
    <row r="509" spans="1:7">
      <c r="A509">
        <f>IFERROR(VLOOKUP(B509,[1]銷貨單品號主檔!$A:$D,4,0),"學習周邊")</f>
        <v>0</v>
      </c>
      <c r="C509"/>
      <c r="E509"/>
    </row>
    <row r="510" spans="1:7">
      <c r="A510">
        <f>IFERROR(VLOOKUP(B510,[1]銷貨單品號主檔!$A:$D,4,0),"學習周邊")</f>
        <v>0</v>
      </c>
      <c r="C510"/>
      <c r="E510"/>
    </row>
    <row r="511" spans="1:7">
      <c r="A511">
        <f>IFERROR(VLOOKUP(B511,[1]銷貨單品號主檔!$A:$D,4,0),"學習周邊")</f>
        <v>0</v>
      </c>
      <c r="C511"/>
      <c r="E511"/>
    </row>
    <row r="512" spans="1:7">
      <c r="A512">
        <f>IFERROR(VLOOKUP(B512,[1]銷貨單品號主檔!$A:$D,4,0),"學習周邊")</f>
        <v>0</v>
      </c>
      <c r="C512"/>
      <c r="E512"/>
    </row>
    <row r="513" spans="1:5">
      <c r="A513">
        <f>IFERROR(VLOOKUP(B513,[1]銷貨單品號主檔!$A:$D,4,0),"學習周邊")</f>
        <v>0</v>
      </c>
      <c r="C513"/>
      <c r="E513"/>
    </row>
    <row r="514" spans="1:5">
      <c r="A514">
        <f>IFERROR(VLOOKUP(B514,[1]銷貨單品號主檔!$A:$D,4,0),"學習周邊")</f>
        <v>0</v>
      </c>
      <c r="C514"/>
      <c r="E514"/>
    </row>
    <row r="515" spans="1:5">
      <c r="A515">
        <f>IFERROR(VLOOKUP(B515,[1]銷貨單品號主檔!$A:$D,4,0),"學習周邊")</f>
        <v>0</v>
      </c>
      <c r="C515"/>
      <c r="E515"/>
    </row>
    <row r="516" spans="1:5">
      <c r="A516">
        <f>IFERROR(VLOOKUP(B516,[1]銷貨單品號主檔!$A:$D,4,0),"學習周邊")</f>
        <v>0</v>
      </c>
      <c r="C516"/>
      <c r="E516"/>
    </row>
    <row r="517" spans="1:5">
      <c r="A517">
        <f>IFERROR(VLOOKUP(B517,[1]銷貨單品號主檔!$A:$D,4,0),"學習周邊")</f>
        <v>0</v>
      </c>
      <c r="C517"/>
      <c r="E517"/>
    </row>
    <row r="518" spans="1:5">
      <c r="A518">
        <f>IFERROR(VLOOKUP(B518,[1]銷貨單品號主檔!$A:$D,4,0),"學習周邊")</f>
        <v>0</v>
      </c>
      <c r="C518"/>
      <c r="E518"/>
    </row>
    <row r="519" spans="1:5">
      <c r="A519">
        <f>IFERROR(VLOOKUP(B519,[1]銷貨單品號主檔!$A:$D,4,0),"學習周邊")</f>
        <v>0</v>
      </c>
      <c r="C519"/>
      <c r="E519"/>
    </row>
    <row r="520" spans="1:5">
      <c r="A520">
        <f>IFERROR(VLOOKUP(B520,[1]銷貨單品號主檔!$A:$D,4,0),"學習周邊")</f>
        <v>0</v>
      </c>
      <c r="C520"/>
      <c r="E520"/>
    </row>
    <row r="521" spans="1:5">
      <c r="A521">
        <f>IFERROR(VLOOKUP(B521,[1]銷貨單品號主檔!$A:$D,4,0),"學習周邊")</f>
        <v>0</v>
      </c>
      <c r="C521"/>
      <c r="E521"/>
    </row>
    <row r="522" spans="1:5">
      <c r="A522">
        <f>IFERROR(VLOOKUP(B522,[1]銷貨單品號主檔!$A:$D,4,0),"學習周邊")</f>
        <v>0</v>
      </c>
      <c r="C522"/>
      <c r="E522"/>
    </row>
    <row r="523" spans="1:5">
      <c r="A523">
        <f>IFERROR(VLOOKUP(B523,[1]銷貨單品號主檔!$A:$D,4,0),"學習周邊")</f>
        <v>0</v>
      </c>
      <c r="C523"/>
      <c r="E523"/>
    </row>
    <row r="524" spans="1:5">
      <c r="A524">
        <f>IFERROR(VLOOKUP(B524,[1]銷貨單品號主檔!$A:$D,4,0),"學習周邊")</f>
        <v>0</v>
      </c>
      <c r="C524"/>
      <c r="E524"/>
    </row>
    <row r="525" spans="1:5">
      <c r="A525">
        <f>IFERROR(VLOOKUP(B525,[1]銷貨單品號主檔!$A:$D,4,0),"學習周邊")</f>
        <v>0</v>
      </c>
      <c r="C525"/>
      <c r="E525"/>
    </row>
    <row r="526" spans="1:5">
      <c r="A526">
        <f>IFERROR(VLOOKUP(B526,[1]銷貨單品號主檔!$A:$D,4,0),"學習周邊")</f>
        <v>0</v>
      </c>
      <c r="C526"/>
      <c r="E526"/>
    </row>
    <row r="527" spans="1:5">
      <c r="A527">
        <f>IFERROR(VLOOKUP(B527,[1]銷貨單品號主檔!$A:$D,4,0),"學習周邊")</f>
        <v>0</v>
      </c>
      <c r="C527"/>
      <c r="E527"/>
    </row>
    <row r="528" spans="1:5">
      <c r="A528">
        <f>IFERROR(VLOOKUP(B528,[1]銷貨單品號主檔!$A:$D,4,0),"學習周邊")</f>
        <v>0</v>
      </c>
      <c r="C528"/>
      <c r="E528"/>
    </row>
    <row r="529" spans="1:5">
      <c r="A529">
        <f>IFERROR(VLOOKUP(B529,[1]銷貨單品號主檔!$A:$D,4,0),"學習周邊")</f>
        <v>0</v>
      </c>
      <c r="C529"/>
      <c r="E529"/>
    </row>
    <row r="530" spans="1:5">
      <c r="A530">
        <f>IFERROR(VLOOKUP(B530,[1]銷貨單品號主檔!$A:$D,4,0),"學習周邊")</f>
        <v>0</v>
      </c>
      <c r="C530"/>
      <c r="E530"/>
    </row>
    <row r="531" spans="1:5">
      <c r="A531">
        <f>IFERROR(VLOOKUP(B531,[1]銷貨單品號主檔!$A:$D,4,0),"學習周邊")</f>
        <v>0</v>
      </c>
      <c r="C531"/>
      <c r="E531"/>
    </row>
    <row r="532" spans="1:5">
      <c r="A532">
        <f>IFERROR(VLOOKUP(B532,[1]銷貨單品號主檔!$A:$D,4,0),"學習周邊")</f>
        <v>0</v>
      </c>
      <c r="C532"/>
      <c r="E532"/>
    </row>
    <row r="533" spans="1:5">
      <c r="A533">
        <f>IFERROR(VLOOKUP(B533,[1]銷貨單品號主檔!$A:$D,4,0),"學習周邊")</f>
        <v>0</v>
      </c>
      <c r="C533"/>
      <c r="E533"/>
    </row>
    <row r="534" spans="1:5">
      <c r="A534">
        <f>IFERROR(VLOOKUP(B534,[1]銷貨單品號主檔!$A:$D,4,0),"學習周邊")</f>
        <v>0</v>
      </c>
      <c r="C534"/>
      <c r="E534"/>
    </row>
    <row r="535" spans="1:5">
      <c r="A535">
        <f>IFERROR(VLOOKUP(B535,[1]銷貨單品號主檔!$A:$D,4,0),"學習周邊")</f>
        <v>0</v>
      </c>
      <c r="C535"/>
      <c r="E535"/>
    </row>
    <row r="536" spans="1:5">
      <c r="A536">
        <f>IFERROR(VLOOKUP(B536,[1]銷貨單品號主檔!$A:$D,4,0),"學習周邊")</f>
        <v>0</v>
      </c>
      <c r="C536"/>
      <c r="E536"/>
    </row>
    <row r="537" spans="1:5">
      <c r="A537">
        <f>IFERROR(VLOOKUP(B537,[1]銷貨單品號主檔!$A:$D,4,0),"學習周邊")</f>
        <v>0</v>
      </c>
      <c r="C537"/>
      <c r="E537"/>
    </row>
    <row r="538" spans="1:5">
      <c r="A538">
        <f>IFERROR(VLOOKUP(B538,[1]銷貨單品號主檔!$A:$D,4,0),"學習周邊")</f>
        <v>0</v>
      </c>
      <c r="C538"/>
      <c r="E538"/>
    </row>
    <row r="539" spans="1:5">
      <c r="A539">
        <f>IFERROR(VLOOKUP(B539,[1]銷貨單品號主檔!$A:$D,4,0),"學習周邊")</f>
        <v>0</v>
      </c>
      <c r="C539"/>
      <c r="E539"/>
    </row>
    <row r="540" spans="1:5">
      <c r="A540">
        <f>IFERROR(VLOOKUP(B540,[1]銷貨單品號主檔!$A:$D,4,0),"學習周邊")</f>
        <v>0</v>
      </c>
      <c r="C540"/>
      <c r="E540"/>
    </row>
    <row r="541" spans="1:5">
      <c r="A541">
        <f>IFERROR(VLOOKUP(B541,[1]銷貨單品號主檔!$A:$D,4,0),"學習周邊")</f>
        <v>0</v>
      </c>
      <c r="C541"/>
      <c r="E541"/>
    </row>
    <row r="542" spans="1:5">
      <c r="A542">
        <f>IFERROR(VLOOKUP(B542,[1]銷貨單品號主檔!$A:$D,4,0),"學習周邊")</f>
        <v>0</v>
      </c>
      <c r="C542"/>
      <c r="E542"/>
    </row>
    <row r="543" spans="1:5">
      <c r="A543">
        <f>IFERROR(VLOOKUP(B543,[1]銷貨單品號主檔!$A:$D,4,0),"學習周邊")</f>
        <v>0</v>
      </c>
      <c r="C543"/>
      <c r="E543"/>
    </row>
    <row r="544" spans="1:5">
      <c r="A544">
        <f>IFERROR(VLOOKUP(B544,[1]銷貨單品號主檔!$A:$D,4,0),"學習周邊")</f>
        <v>0</v>
      </c>
      <c r="C544"/>
      <c r="E544"/>
    </row>
    <row r="545" spans="1:5">
      <c r="A545">
        <f>IFERROR(VLOOKUP(B545,[1]銷貨單品號主檔!$A:$D,4,0),"學習周邊")</f>
        <v>0</v>
      </c>
      <c r="C545"/>
      <c r="E545"/>
    </row>
    <row r="546" spans="1:5">
      <c r="A546">
        <f>IFERROR(VLOOKUP(B546,[1]銷貨單品號主檔!$A:$D,4,0),"學習周邊")</f>
        <v>0</v>
      </c>
      <c r="C546"/>
      <c r="E546"/>
    </row>
    <row r="547" spans="1:5">
      <c r="A547">
        <f>IFERROR(VLOOKUP(B547,[1]銷貨單品號主檔!$A:$D,4,0),"學習周邊")</f>
        <v>0</v>
      </c>
      <c r="C547"/>
      <c r="E547"/>
    </row>
    <row r="548" spans="1:5">
      <c r="A548">
        <f>IFERROR(VLOOKUP(B548,[1]銷貨單品號主檔!$A:$D,4,0),"學習周邊")</f>
        <v>0</v>
      </c>
      <c r="C548"/>
      <c r="E548"/>
    </row>
    <row r="549" spans="1:5">
      <c r="A549">
        <f>IFERROR(VLOOKUP(B549,[1]銷貨單品號主檔!$A:$D,4,0),"學習周邊")</f>
        <v>0</v>
      </c>
      <c r="C549"/>
      <c r="E549"/>
    </row>
    <row r="550" spans="1:5">
      <c r="A550">
        <f>IFERROR(VLOOKUP(B550,[1]銷貨單品號主檔!$A:$D,4,0),"學習周邊")</f>
        <v>0</v>
      </c>
      <c r="C550"/>
      <c r="E550"/>
    </row>
    <row r="551" spans="1:5">
      <c r="A551">
        <f>IFERROR(VLOOKUP(B551,[1]銷貨單品號主檔!$A:$D,4,0),"學習周邊")</f>
        <v>0</v>
      </c>
      <c r="C551"/>
      <c r="E551"/>
    </row>
    <row r="552" spans="1:5">
      <c r="A552">
        <f>IFERROR(VLOOKUP(B552,[1]銷貨單品號主檔!$A:$D,4,0),"學習周邊")</f>
        <v>0</v>
      </c>
      <c r="C552"/>
      <c r="E552"/>
    </row>
    <row r="553" spans="1:5">
      <c r="A553">
        <f>IFERROR(VLOOKUP(B553,[1]銷貨單品號主檔!$A:$D,4,0),"學習周邊")</f>
        <v>0</v>
      </c>
      <c r="C553"/>
      <c r="E553"/>
    </row>
    <row r="554" spans="1:5">
      <c r="A554">
        <f>IFERROR(VLOOKUP(B554,[1]銷貨單品號主檔!$A:$D,4,0),"學習周邊")</f>
        <v>0</v>
      </c>
      <c r="C554"/>
      <c r="E554"/>
    </row>
    <row r="555" spans="1:5">
      <c r="A555">
        <f>IFERROR(VLOOKUP(B555,[1]銷貨單品號主檔!$A:$D,4,0),"學習周邊")</f>
        <v>0</v>
      </c>
      <c r="C555"/>
      <c r="E555"/>
    </row>
    <row r="556" spans="1:5">
      <c r="A556">
        <f>IFERROR(VLOOKUP(B556,[1]銷貨單品號主檔!$A:$D,4,0),"學習周邊")</f>
        <v>0</v>
      </c>
      <c r="C556"/>
      <c r="E556"/>
    </row>
    <row r="557" spans="1:5">
      <c r="A557">
        <f>IFERROR(VLOOKUP(B557,[1]銷貨單品號主檔!$A:$D,4,0),"學習周邊")</f>
        <v>0</v>
      </c>
      <c r="C557"/>
      <c r="E557"/>
    </row>
    <row r="558" spans="1:5">
      <c r="A558">
        <f>IFERROR(VLOOKUP(B558,[1]銷貨單品號主檔!$A:$D,4,0),"學習周邊")</f>
        <v>0</v>
      </c>
      <c r="C558"/>
      <c r="E558"/>
    </row>
    <row r="559" spans="1:5">
      <c r="A559">
        <f>IFERROR(VLOOKUP(B559,[1]銷貨單品號主檔!$A:$D,4,0),"學習周邊")</f>
        <v>0</v>
      </c>
      <c r="C559"/>
      <c r="E559"/>
    </row>
    <row r="560" spans="1:5">
      <c r="A560">
        <f>IFERROR(VLOOKUP(B560,[1]銷貨單品號主檔!$A:$D,4,0),"學習周邊")</f>
        <v>0</v>
      </c>
      <c r="C560"/>
      <c r="E560"/>
    </row>
    <row r="561" spans="1:5">
      <c r="A561">
        <f>IFERROR(VLOOKUP(B561,[1]銷貨單品號主檔!$A:$D,4,0),"學習周邊")</f>
        <v>0</v>
      </c>
      <c r="C561"/>
      <c r="E561"/>
    </row>
    <row r="562" spans="1:5">
      <c r="A562">
        <f>IFERROR(VLOOKUP(B562,[1]銷貨單品號主檔!$A:$D,4,0),"學習周邊")</f>
        <v>0</v>
      </c>
      <c r="C562"/>
      <c r="E562"/>
    </row>
    <row r="563" spans="1:5">
      <c r="A563">
        <f>IFERROR(VLOOKUP(B563,[1]銷貨單品號主檔!$A:$D,4,0),"學習周邊")</f>
        <v>0</v>
      </c>
      <c r="C563"/>
      <c r="E563"/>
    </row>
    <row r="564" spans="1:5">
      <c r="A564">
        <f>IFERROR(VLOOKUP(B564,[1]銷貨單品號主檔!$A:$D,4,0),"學習周邊")</f>
        <v>0</v>
      </c>
      <c r="C564"/>
      <c r="E564"/>
    </row>
    <row r="565" spans="1:5">
      <c r="A565">
        <f>IFERROR(VLOOKUP(B565,[1]銷貨單品號主檔!$A:$D,4,0),"學習周邊")</f>
        <v>0</v>
      </c>
      <c r="C565"/>
      <c r="E565"/>
    </row>
    <row r="566" spans="1:5">
      <c r="A566">
        <f>IFERROR(VLOOKUP(B566,[1]銷貨單品號主檔!$A:$D,4,0),"學習周邊")</f>
        <v>0</v>
      </c>
      <c r="C566"/>
      <c r="E566"/>
    </row>
    <row r="567" spans="1:5">
      <c r="A567">
        <f>IFERROR(VLOOKUP(B567,[1]銷貨單品號主檔!$A:$D,4,0),"學習周邊")</f>
        <v>0</v>
      </c>
      <c r="C567"/>
      <c r="E567"/>
    </row>
    <row r="568" spans="1:5">
      <c r="A568">
        <f>IFERROR(VLOOKUP(B568,[1]銷貨單品號主檔!$A:$D,4,0),"學習周邊")</f>
        <v>0</v>
      </c>
      <c r="C568"/>
      <c r="E568"/>
    </row>
    <row r="569" spans="1:5">
      <c r="A569">
        <f>IFERROR(VLOOKUP(B569,[1]銷貨單品號主檔!$A:$D,4,0),"學習周邊")</f>
        <v>0</v>
      </c>
      <c r="C569"/>
      <c r="E569"/>
    </row>
    <row r="570" spans="1:5">
      <c r="A570">
        <f>IFERROR(VLOOKUP(B570,[1]銷貨單品號主檔!$A:$D,4,0),"學習周邊")</f>
        <v>0</v>
      </c>
      <c r="C570"/>
      <c r="E570"/>
    </row>
    <row r="571" spans="1:5">
      <c r="A571">
        <f>IFERROR(VLOOKUP(B571,[1]銷貨單品號主檔!$A:$D,4,0),"學習周邊")</f>
        <v>0</v>
      </c>
      <c r="C571"/>
      <c r="E571"/>
    </row>
    <row r="572" spans="1:5">
      <c r="A572">
        <f>IFERROR(VLOOKUP(B572,[1]銷貨單品號主檔!$A:$D,4,0),"學習周邊")</f>
        <v>0</v>
      </c>
      <c r="C572"/>
      <c r="E572"/>
    </row>
    <row r="573" spans="1:5">
      <c r="A573">
        <f>IFERROR(VLOOKUP(B573,[1]銷貨單品號主檔!$A:$D,4,0),"學習周邊")</f>
        <v>0</v>
      </c>
      <c r="C573"/>
      <c r="E573"/>
    </row>
    <row r="574" spans="1:5">
      <c r="A574">
        <f>IFERROR(VLOOKUP(B574,[1]銷貨單品號主檔!$A:$D,4,0),"學習周邊")</f>
        <v>0</v>
      </c>
      <c r="C574"/>
      <c r="E574"/>
    </row>
    <row r="575" spans="1:5">
      <c r="A575">
        <f>IFERROR(VLOOKUP(B575,[1]銷貨單品號主檔!$A:$D,4,0),"學習周邊")</f>
        <v>0</v>
      </c>
      <c r="C575"/>
      <c r="E575"/>
    </row>
    <row r="576" spans="1:5">
      <c r="A576">
        <f>IFERROR(VLOOKUP(B576,[1]銷貨單品號主檔!$A:$D,4,0),"學習周邊")</f>
        <v>0</v>
      </c>
      <c r="C576"/>
      <c r="E576"/>
    </row>
    <row r="577" spans="1:5">
      <c r="A577">
        <f>IFERROR(VLOOKUP(B577,[1]銷貨單品號主檔!$A:$D,4,0),"學習周邊")</f>
        <v>0</v>
      </c>
      <c r="C577"/>
      <c r="E577"/>
    </row>
    <row r="578" spans="1:5">
      <c r="A578">
        <f>IFERROR(VLOOKUP(B578,[1]銷貨單品號主檔!$A:$D,4,0),"學習周邊")</f>
        <v>0</v>
      </c>
      <c r="C578"/>
      <c r="E578"/>
    </row>
    <row r="579" spans="1:5">
      <c r="A579">
        <f>IFERROR(VLOOKUP(B579,[1]銷貨單品號主檔!$A:$D,4,0),"學習周邊")</f>
        <v>0</v>
      </c>
      <c r="C579"/>
      <c r="E579"/>
    </row>
    <row r="580" spans="1:5">
      <c r="A580">
        <f>IFERROR(VLOOKUP(B580,[1]銷貨單品號主檔!$A:$D,4,0),"學習周邊")</f>
        <v>0</v>
      </c>
      <c r="C580"/>
      <c r="E580"/>
    </row>
    <row r="581" spans="1:5">
      <c r="A581">
        <f>IFERROR(VLOOKUP(B581,[1]銷貨單品號主檔!$A:$D,4,0),"學習周邊")</f>
        <v>0</v>
      </c>
      <c r="C581"/>
      <c r="E581"/>
    </row>
    <row r="582" spans="1:5">
      <c r="A582">
        <f>IFERROR(VLOOKUP(B582,[1]銷貨單品號主檔!$A:$D,4,0),"學習周邊")</f>
        <v>0</v>
      </c>
      <c r="C582"/>
      <c r="E582"/>
    </row>
    <row r="583" spans="1:5">
      <c r="A583">
        <f>IFERROR(VLOOKUP(B583,[1]銷貨單品號主檔!$A:$D,4,0),"學習周邊")</f>
        <v>0</v>
      </c>
      <c r="C583"/>
      <c r="E583"/>
    </row>
    <row r="584" spans="1:5">
      <c r="A584">
        <f>IFERROR(VLOOKUP(B584,[1]銷貨單品號主檔!$A:$D,4,0),"學習周邊")</f>
        <v>0</v>
      </c>
      <c r="C584"/>
      <c r="E584"/>
    </row>
    <row r="585" spans="1:5">
      <c r="A585">
        <f>IFERROR(VLOOKUP(B585,[1]銷貨單品號主檔!$A:$D,4,0),"學習周邊")</f>
        <v>0</v>
      </c>
      <c r="C585"/>
      <c r="E585"/>
    </row>
    <row r="586" spans="1:5">
      <c r="A586">
        <f>IFERROR(VLOOKUP(B586,[1]銷貨單品號主檔!$A:$D,4,0),"學習周邊")</f>
        <v>0</v>
      </c>
      <c r="C586"/>
      <c r="E586"/>
    </row>
    <row r="587" spans="1:5">
      <c r="A587">
        <f>IFERROR(VLOOKUP(B587,[1]銷貨單品號主檔!$A:$D,4,0),"學習周邊")</f>
        <v>0</v>
      </c>
      <c r="C587"/>
      <c r="E587"/>
    </row>
    <row r="588" spans="1:5">
      <c r="A588">
        <f>IFERROR(VLOOKUP(B588,[1]銷貨單品號主檔!$A:$D,4,0),"學習周邊")</f>
        <v>0</v>
      </c>
      <c r="C588"/>
      <c r="E588"/>
    </row>
    <row r="589" spans="1:5">
      <c r="A589">
        <f>IFERROR(VLOOKUP(B589,[1]銷貨單品號主檔!$A:$D,4,0),"學習周邊")</f>
        <v>0</v>
      </c>
      <c r="C589"/>
      <c r="E589"/>
    </row>
    <row r="590" spans="1:5">
      <c r="A590">
        <f>IFERROR(VLOOKUP(B590,[1]銷貨單品號主檔!$A:$D,4,0),"學習周邊")</f>
        <v>0</v>
      </c>
      <c r="C590"/>
      <c r="E590"/>
    </row>
    <row r="591" spans="1:5">
      <c r="A591">
        <f>IFERROR(VLOOKUP(B591,[1]銷貨單品號主檔!$A:$D,4,0),"學習周邊")</f>
        <v>0</v>
      </c>
      <c r="C591"/>
      <c r="E591"/>
    </row>
    <row r="592" spans="1:5">
      <c r="A592">
        <f>IFERROR(VLOOKUP(B592,[1]銷貨單品號主檔!$A:$D,4,0),"學習周邊")</f>
        <v>0</v>
      </c>
      <c r="C592"/>
      <c r="E592"/>
    </row>
    <row r="593" spans="1:5">
      <c r="A593">
        <f>IFERROR(VLOOKUP(B593,[1]銷貨單品號主檔!$A:$D,4,0),"學習周邊")</f>
        <v>0</v>
      </c>
      <c r="C593"/>
      <c r="E593"/>
    </row>
    <row r="594" spans="1:5">
      <c r="A594">
        <f>IFERROR(VLOOKUP(B594,[1]銷貨單品號主檔!$A:$D,4,0),"學習周邊")</f>
        <v>0</v>
      </c>
      <c r="C594"/>
      <c r="E594"/>
    </row>
    <row r="595" spans="1:5">
      <c r="A595">
        <f>IFERROR(VLOOKUP(B595,[1]銷貨單品號主檔!$A:$D,4,0),"學習周邊")</f>
        <v>0</v>
      </c>
      <c r="C595"/>
      <c r="E595"/>
    </row>
    <row r="596" spans="1:5">
      <c r="A596">
        <f>IFERROR(VLOOKUP(B596,[1]銷貨單品號主檔!$A:$D,4,0),"學習周邊")</f>
        <v>0</v>
      </c>
      <c r="C596"/>
      <c r="E596"/>
    </row>
    <row r="597" spans="1:5">
      <c r="A597">
        <f>IFERROR(VLOOKUP(B597,[1]銷貨單品號主檔!$A:$D,4,0),"學習周邊")</f>
        <v>0</v>
      </c>
      <c r="C597"/>
      <c r="E597"/>
    </row>
    <row r="598" spans="1:5">
      <c r="A598">
        <f>IFERROR(VLOOKUP(B598,[1]銷貨單品號主檔!$A:$D,4,0),"學習周邊")</f>
        <v>0</v>
      </c>
      <c r="C598"/>
      <c r="E598"/>
    </row>
    <row r="599" spans="1:5">
      <c r="A599">
        <f>IFERROR(VLOOKUP(B599,[1]銷貨單品號主檔!$A:$D,4,0),"學習周邊")</f>
        <v>0</v>
      </c>
      <c r="C599"/>
      <c r="E599"/>
    </row>
    <row r="600" spans="1:5">
      <c r="A600">
        <f>IFERROR(VLOOKUP(B600,[1]銷貨單品號主檔!$A:$D,4,0),"學習周邊")</f>
        <v>0</v>
      </c>
      <c r="C600"/>
      <c r="E600"/>
    </row>
    <row r="601" spans="1:5">
      <c r="A601">
        <f>IFERROR(VLOOKUP(B601,[1]銷貨單品號主檔!$A:$D,4,0),"學習周邊")</f>
        <v>0</v>
      </c>
      <c r="C601"/>
      <c r="E601"/>
    </row>
    <row r="602" spans="1:5">
      <c r="A602">
        <f>IFERROR(VLOOKUP(B602,[1]銷貨單品號主檔!$A:$D,4,0),"學習周邊")</f>
        <v>0</v>
      </c>
      <c r="C602"/>
      <c r="E602"/>
    </row>
    <row r="603" spans="1:5">
      <c r="A603">
        <f>IFERROR(VLOOKUP(B603,[1]銷貨單品號主檔!$A:$D,4,0),"學習周邊")</f>
        <v>0</v>
      </c>
      <c r="C603"/>
      <c r="E603"/>
    </row>
    <row r="604" spans="1:5">
      <c r="A604">
        <f>IFERROR(VLOOKUP(B604,[1]銷貨單品號主檔!$A:$D,4,0),"學習周邊")</f>
        <v>0</v>
      </c>
      <c r="C604"/>
      <c r="E604"/>
    </row>
    <row r="605" spans="1:5">
      <c r="A605">
        <f>IFERROR(VLOOKUP(B605,[1]銷貨單品號主檔!$A:$D,4,0),"學習周邊")</f>
        <v>0</v>
      </c>
      <c r="C605"/>
      <c r="E605"/>
    </row>
    <row r="606" spans="1:5">
      <c r="A606">
        <f>IFERROR(VLOOKUP(B606,[1]銷貨單品號主檔!$A:$D,4,0),"學習周邊")</f>
        <v>0</v>
      </c>
      <c r="C606"/>
      <c r="E606"/>
    </row>
    <row r="607" spans="1:5">
      <c r="A607">
        <f>IFERROR(VLOOKUP(B607,[1]銷貨單品號主檔!$A:$D,4,0),"學習周邊")</f>
        <v>0</v>
      </c>
      <c r="C607"/>
      <c r="E607"/>
    </row>
    <row r="608" spans="1:5">
      <c r="A608">
        <f>IFERROR(VLOOKUP(B608,[1]銷貨單品號主檔!$A:$D,4,0),"學習周邊")</f>
        <v>0</v>
      </c>
      <c r="C608"/>
      <c r="E608"/>
    </row>
    <row r="609" spans="1:5">
      <c r="A609">
        <f>IFERROR(VLOOKUP(B609,[1]銷貨單品號主檔!$A:$D,4,0),"學習周邊")</f>
        <v>0</v>
      </c>
      <c r="C609"/>
      <c r="E609"/>
    </row>
    <row r="610" spans="1:5">
      <c r="A610">
        <f>IFERROR(VLOOKUP(B610,[1]銷貨單品號主檔!$A:$D,4,0),"學習周邊")</f>
        <v>0</v>
      </c>
      <c r="C610"/>
      <c r="E610"/>
    </row>
    <row r="611" spans="1:5">
      <c r="A611">
        <f>IFERROR(VLOOKUP(B611,[1]銷貨單品號主檔!$A:$D,4,0),"學習周邊")</f>
        <v>0</v>
      </c>
      <c r="C611"/>
      <c r="E611"/>
    </row>
    <row r="612" spans="1:5">
      <c r="A612">
        <f>IFERROR(VLOOKUP(B612,[1]銷貨單品號主檔!$A:$D,4,0),"學習周邊")</f>
        <v>0</v>
      </c>
      <c r="C612"/>
      <c r="E612"/>
    </row>
    <row r="613" spans="1:5">
      <c r="A613">
        <f>IFERROR(VLOOKUP(B613,[1]銷貨單品號主檔!$A:$D,4,0),"學習周邊")</f>
        <v>0</v>
      </c>
      <c r="C613"/>
      <c r="E613"/>
    </row>
    <row r="614" spans="1:5">
      <c r="A614">
        <f>IFERROR(VLOOKUP(B614,[1]銷貨單品號主檔!$A:$D,4,0),"學習周邊")</f>
        <v>0</v>
      </c>
      <c r="C614"/>
      <c r="E614"/>
    </row>
    <row r="615" spans="1:5">
      <c r="A615">
        <f>IFERROR(VLOOKUP(B615,[1]銷貨單品號主檔!$A:$D,4,0),"學習周邊")</f>
        <v>0</v>
      </c>
      <c r="C615"/>
      <c r="E615"/>
    </row>
    <row r="616" spans="1:5">
      <c r="A616">
        <f>IFERROR(VLOOKUP(B616,[1]銷貨單品號主檔!$A:$D,4,0),"學習周邊")</f>
        <v>0</v>
      </c>
      <c r="C616"/>
      <c r="E616"/>
    </row>
    <row r="617" spans="1:5">
      <c r="A617">
        <f>IFERROR(VLOOKUP(B617,[1]銷貨單品號主檔!$A:$D,4,0),"學習周邊")</f>
        <v>0</v>
      </c>
      <c r="C617"/>
      <c r="E617"/>
    </row>
    <row r="618" spans="1:5">
      <c r="A618">
        <f>IFERROR(VLOOKUP(B618,[1]銷貨單品號主檔!$A:$D,4,0),"學習周邊")</f>
        <v>0</v>
      </c>
      <c r="C618"/>
      <c r="E618"/>
    </row>
    <row r="619" spans="1:5">
      <c r="A619">
        <f>IFERROR(VLOOKUP(B619,[1]銷貨單品號主檔!$A:$D,4,0),"學習周邊")</f>
        <v>0</v>
      </c>
      <c r="C619"/>
      <c r="E619"/>
    </row>
    <row r="620" spans="1:5">
      <c r="A620">
        <f>IFERROR(VLOOKUP(B620,[1]銷貨單品號主檔!$A:$D,4,0),"學習周邊")</f>
        <v>0</v>
      </c>
      <c r="C620"/>
      <c r="E620"/>
    </row>
    <row r="621" spans="1:5">
      <c r="A621">
        <f>IFERROR(VLOOKUP(B621,[1]銷貨單品號主檔!$A:$D,4,0),"學習周邊")</f>
        <v>0</v>
      </c>
      <c r="C621"/>
      <c r="E621"/>
    </row>
    <row r="622" spans="1:5">
      <c r="A622">
        <f>IFERROR(VLOOKUP(B622,[1]銷貨單品號主檔!$A:$D,4,0),"學習周邊")</f>
        <v>0</v>
      </c>
      <c r="C622"/>
      <c r="E622"/>
    </row>
    <row r="623" spans="1:5">
      <c r="A623">
        <f>IFERROR(VLOOKUP(B623,[1]銷貨單品號主檔!$A:$D,4,0),"學習周邊")</f>
        <v>0</v>
      </c>
      <c r="C623"/>
      <c r="E623"/>
    </row>
    <row r="624" spans="1:5">
      <c r="A624">
        <f>IFERROR(VLOOKUP(B624,[1]銷貨單品號主檔!$A:$D,4,0),"學習周邊")</f>
        <v>0</v>
      </c>
      <c r="C624"/>
      <c r="E624"/>
    </row>
    <row r="625" spans="1:5">
      <c r="A625">
        <f>IFERROR(VLOOKUP(B625,[1]銷貨單品號主檔!$A:$D,4,0),"學習周邊")</f>
        <v>0</v>
      </c>
      <c r="C625"/>
      <c r="E625"/>
    </row>
    <row r="626" spans="1:5">
      <c r="A626">
        <f>IFERROR(VLOOKUP(B626,[1]銷貨單品號主檔!$A:$D,4,0),"學習周邊")</f>
        <v>0</v>
      </c>
      <c r="C626"/>
      <c r="E626"/>
    </row>
    <row r="627" spans="1:5">
      <c r="A627">
        <f>IFERROR(VLOOKUP(B627,[1]銷貨單品號主檔!$A:$D,4,0),"學習周邊")</f>
        <v>0</v>
      </c>
      <c r="C627"/>
      <c r="E627"/>
    </row>
    <row r="628" spans="1:5">
      <c r="A628">
        <f>IFERROR(VLOOKUP(B628,[1]銷貨單品號主檔!$A:$D,4,0),"學習周邊")</f>
        <v>0</v>
      </c>
      <c r="C628"/>
      <c r="E628"/>
    </row>
    <row r="629" spans="1:5">
      <c r="A629">
        <f>IFERROR(VLOOKUP(B629,[1]銷貨單品號主檔!$A:$D,4,0),"學習周邊")</f>
        <v>0</v>
      </c>
      <c r="C629"/>
      <c r="E629"/>
    </row>
    <row r="630" spans="1:5">
      <c r="A630">
        <f>IFERROR(VLOOKUP(B630,[1]銷貨單品號主檔!$A:$D,4,0),"學習周邊")</f>
        <v>0</v>
      </c>
      <c r="C630"/>
      <c r="E630"/>
    </row>
    <row r="631" spans="1:5">
      <c r="A631">
        <f>IFERROR(VLOOKUP(B631,[1]銷貨單品號主檔!$A:$D,4,0),"學習周邊")</f>
        <v>0</v>
      </c>
      <c r="C631"/>
      <c r="E631"/>
    </row>
    <row r="632" spans="1:5">
      <c r="A632">
        <f>IFERROR(VLOOKUP(B632,[1]銷貨單品號主檔!$A:$D,4,0),"學習周邊")</f>
        <v>0</v>
      </c>
      <c r="C632"/>
      <c r="E632"/>
    </row>
    <row r="633" spans="1:5">
      <c r="A633">
        <f>IFERROR(VLOOKUP(B633,[1]銷貨單品號主檔!$A:$D,4,0),"學習周邊")</f>
        <v>0</v>
      </c>
      <c r="C633"/>
      <c r="E633"/>
    </row>
    <row r="634" spans="1:5">
      <c r="A634">
        <f>IFERROR(VLOOKUP(B634,[1]銷貨單品號主檔!$A:$D,4,0),"學習周邊")</f>
        <v>0</v>
      </c>
      <c r="C634"/>
      <c r="E634"/>
    </row>
    <row r="635" spans="1:5">
      <c r="A635">
        <f>IFERROR(VLOOKUP(B635,[1]銷貨單品號主檔!$A:$D,4,0),"學習周邊")</f>
        <v>0</v>
      </c>
      <c r="C635"/>
      <c r="E635"/>
    </row>
    <row r="636" spans="1:5">
      <c r="A636">
        <f>IFERROR(VLOOKUP(B636,[1]銷貨單品號主檔!$A:$D,4,0),"學習周邊")</f>
        <v>0</v>
      </c>
      <c r="C636"/>
      <c r="E636"/>
    </row>
    <row r="637" spans="1:5">
      <c r="A637">
        <f>IFERROR(VLOOKUP(B637,[1]銷貨單品號主檔!$A:$D,4,0),"學習周邊")</f>
        <v>0</v>
      </c>
      <c r="C637"/>
      <c r="E637"/>
    </row>
    <row r="638" spans="1:5">
      <c r="A638">
        <f>IFERROR(VLOOKUP(B638,[1]銷貨單品號主檔!$A:$D,4,0),"學習周邊")</f>
        <v>0</v>
      </c>
      <c r="C638"/>
      <c r="E638"/>
    </row>
    <row r="639" spans="1:5">
      <c r="A639">
        <f>IFERROR(VLOOKUP(B639,[1]銷貨單品號主檔!$A:$D,4,0),"學習周邊")</f>
        <v>0</v>
      </c>
      <c r="C639"/>
      <c r="E639"/>
    </row>
    <row r="640" spans="1:5">
      <c r="A640">
        <f>IFERROR(VLOOKUP(B640,[1]銷貨單品號主檔!$A:$D,4,0),"學習周邊")</f>
        <v>0</v>
      </c>
      <c r="C640"/>
      <c r="E640"/>
    </row>
    <row r="641" spans="1:5">
      <c r="A641">
        <f>IFERROR(VLOOKUP(B641,[1]銷貨單品號主檔!$A:$D,4,0),"學習周邊")</f>
        <v>0</v>
      </c>
      <c r="C641"/>
      <c r="E641"/>
    </row>
    <row r="642" spans="1:5">
      <c r="A642">
        <f>IFERROR(VLOOKUP(B642,[1]銷貨單品號主檔!$A:$D,4,0),"學習周邊")</f>
        <v>0</v>
      </c>
      <c r="C642"/>
      <c r="E642"/>
    </row>
    <row r="643" spans="1:5">
      <c r="A643">
        <f>IFERROR(VLOOKUP(B643,[1]銷貨單品號主檔!$A:$D,4,0),"學習周邊")</f>
        <v>0</v>
      </c>
      <c r="C643"/>
      <c r="E643"/>
    </row>
    <row r="644" spans="1:5">
      <c r="A644">
        <f>IFERROR(VLOOKUP(B644,[1]銷貨單品號主檔!$A:$D,4,0),"學習周邊")</f>
        <v>0</v>
      </c>
      <c r="C644"/>
      <c r="E644"/>
    </row>
    <row r="645" spans="1:5">
      <c r="A645">
        <f>IFERROR(VLOOKUP(B645,[1]銷貨單品號主檔!$A:$D,4,0),"學習周邊")</f>
        <v>0</v>
      </c>
      <c r="C645"/>
      <c r="E645"/>
    </row>
    <row r="646" spans="1:5">
      <c r="A646">
        <f>IFERROR(VLOOKUP(B646,[1]銷貨單品號主檔!$A:$D,4,0),"學習周邊")</f>
        <v>0</v>
      </c>
      <c r="C646"/>
      <c r="E646"/>
    </row>
    <row r="647" spans="1:5">
      <c r="A647">
        <f>IFERROR(VLOOKUP(B647,[1]銷貨單品號主檔!$A:$D,4,0),"學習周邊")</f>
        <v>0</v>
      </c>
      <c r="C647"/>
      <c r="E647"/>
    </row>
    <row r="648" spans="1:5">
      <c r="A648">
        <f>IFERROR(VLOOKUP(B648,[1]銷貨單品號主檔!$A:$D,4,0),"學習周邊")</f>
        <v>0</v>
      </c>
      <c r="C648"/>
      <c r="E648"/>
    </row>
    <row r="649" spans="1:5">
      <c r="A649">
        <f>IFERROR(VLOOKUP(B649,[1]銷貨單品號主檔!$A:$D,4,0),"學習周邊")</f>
        <v>0</v>
      </c>
      <c r="C649"/>
      <c r="E649"/>
    </row>
    <row r="650" spans="1:5">
      <c r="A650">
        <f>IFERROR(VLOOKUP(B650,[1]銷貨單品號主檔!$A:$D,4,0),"學習周邊")</f>
        <v>0</v>
      </c>
      <c r="C650"/>
      <c r="E650"/>
    </row>
    <row r="651" spans="1:5">
      <c r="A651">
        <f>IFERROR(VLOOKUP(B651,[1]銷貨單品號主檔!$A:$D,4,0),"學習周邊")</f>
        <v>0</v>
      </c>
      <c r="C651"/>
      <c r="E651"/>
    </row>
    <row r="652" spans="1:5">
      <c r="A652">
        <f>IFERROR(VLOOKUP(B652,[1]銷貨單品號主檔!$A:$D,4,0),"學習周邊")</f>
        <v>0</v>
      </c>
      <c r="C652"/>
      <c r="E652"/>
    </row>
    <row r="653" spans="1:5">
      <c r="A653">
        <f>IFERROR(VLOOKUP(B653,[1]銷貨單品號主檔!$A:$D,4,0),"學習周邊")</f>
        <v>0</v>
      </c>
      <c r="C653"/>
      <c r="E653"/>
    </row>
    <row r="654" spans="1:5">
      <c r="A654">
        <f>IFERROR(VLOOKUP(B654,[1]銷貨單品號主檔!$A:$D,4,0),"學習周邊")</f>
        <v>0</v>
      </c>
      <c r="C654"/>
      <c r="E654"/>
    </row>
    <row r="655" spans="1:5">
      <c r="A655">
        <f>IFERROR(VLOOKUP(B655,[1]銷貨單品號主檔!$A:$D,4,0),"學習周邊")</f>
        <v>0</v>
      </c>
      <c r="C655"/>
      <c r="E655"/>
    </row>
    <row r="656" spans="1:5">
      <c r="A656">
        <f>IFERROR(VLOOKUP(B656,[1]銷貨單品號主檔!$A:$D,4,0),"學習周邊")</f>
        <v>0</v>
      </c>
      <c r="C656"/>
      <c r="E656"/>
    </row>
    <row r="657" spans="1:5">
      <c r="A657">
        <f>IFERROR(VLOOKUP(B657,[1]銷貨單品號主檔!$A:$D,4,0),"學習周邊")</f>
        <v>0</v>
      </c>
      <c r="C657"/>
      <c r="E657"/>
    </row>
    <row r="658" spans="1:5">
      <c r="A658">
        <f>IFERROR(VLOOKUP(B658,[1]銷貨單品號主檔!$A:$D,4,0),"學習周邊")</f>
        <v>0</v>
      </c>
      <c r="C658"/>
      <c r="E658"/>
    </row>
    <row r="659" spans="1:5">
      <c r="A659">
        <f>IFERROR(VLOOKUP(B659,[1]銷貨單品號主檔!$A:$D,4,0),"學習周邊")</f>
        <v>0</v>
      </c>
      <c r="C659"/>
      <c r="E659"/>
    </row>
    <row r="660" spans="1:5">
      <c r="A660">
        <f>IFERROR(VLOOKUP(B660,[1]銷貨單品號主檔!$A:$D,4,0),"學習周邊")</f>
        <v>0</v>
      </c>
      <c r="C660"/>
      <c r="E660"/>
    </row>
    <row r="661" spans="1:5">
      <c r="A661">
        <f>IFERROR(VLOOKUP(B661,[1]銷貨單品號主檔!$A:$D,4,0),"學習周邊")</f>
        <v>0</v>
      </c>
      <c r="C661"/>
      <c r="E661"/>
    </row>
    <row r="662" spans="1:5">
      <c r="A662">
        <f>IFERROR(VLOOKUP(B662,[1]銷貨單品號主檔!$A:$D,4,0),"學習周邊")</f>
        <v>0</v>
      </c>
      <c r="C662"/>
      <c r="E662"/>
    </row>
    <row r="663" spans="1:5">
      <c r="A663">
        <f>IFERROR(VLOOKUP(B663,[1]銷貨單品號主檔!$A:$D,4,0),"學習周邊")</f>
        <v>0</v>
      </c>
      <c r="C663"/>
      <c r="E663"/>
    </row>
    <row r="664" spans="1:5">
      <c r="A664">
        <f>IFERROR(VLOOKUP(B664,[1]銷貨單品號主檔!$A:$D,4,0),"學習周邊")</f>
        <v>0</v>
      </c>
      <c r="C664"/>
      <c r="E664"/>
    </row>
    <row r="665" spans="1:5">
      <c r="A665">
        <f>IFERROR(VLOOKUP(B665,[1]銷貨單品號主檔!$A:$D,4,0),"學習周邊")</f>
        <v>0</v>
      </c>
      <c r="C665"/>
      <c r="E665"/>
    </row>
    <row r="666" spans="1:5">
      <c r="A666">
        <f>IFERROR(VLOOKUP(B666,[1]銷貨單品號主檔!$A:$D,4,0),"學習周邊")</f>
        <v>0</v>
      </c>
      <c r="C666"/>
      <c r="E666"/>
    </row>
    <row r="667" spans="1:5">
      <c r="A667">
        <f>IFERROR(VLOOKUP(B667,[1]銷貨單品號主檔!$A:$D,4,0),"學習周邊")</f>
        <v>0</v>
      </c>
      <c r="C667"/>
      <c r="E667"/>
    </row>
    <row r="668" spans="1:5">
      <c r="A668">
        <f>IFERROR(VLOOKUP(B668,[1]銷貨單品號主檔!$A:$D,4,0),"學習周邊")</f>
        <v>0</v>
      </c>
      <c r="C668"/>
      <c r="E668"/>
    </row>
    <row r="669" spans="1:5">
      <c r="A669">
        <f>IFERROR(VLOOKUP(B669,[1]銷貨單品號主檔!$A:$D,4,0),"學習周邊")</f>
        <v>0</v>
      </c>
      <c r="C669"/>
      <c r="E669"/>
    </row>
    <row r="670" spans="1:5">
      <c r="A670">
        <f>IFERROR(VLOOKUP(B670,[1]銷貨單品號主檔!$A:$D,4,0),"學習周邊")</f>
        <v>0</v>
      </c>
      <c r="C670"/>
      <c r="E670"/>
    </row>
    <row r="671" spans="1:5">
      <c r="A671">
        <f>IFERROR(VLOOKUP(B671,[1]銷貨單品號主檔!$A:$D,4,0),"學習周邊")</f>
        <v>0</v>
      </c>
      <c r="C671"/>
      <c r="E671"/>
    </row>
    <row r="672" spans="1:5">
      <c r="A672">
        <f>IFERROR(VLOOKUP(B672,[1]銷貨單品號主檔!$A:$D,4,0),"學習周邊")</f>
        <v>0</v>
      </c>
      <c r="C672"/>
      <c r="E672"/>
    </row>
    <row r="673" spans="1:5">
      <c r="A673">
        <f>IFERROR(VLOOKUP(B673,[1]銷貨單品號主檔!$A:$D,4,0),"學習周邊")</f>
        <v>0</v>
      </c>
      <c r="C673"/>
      <c r="E673"/>
    </row>
    <row r="674" spans="1:5">
      <c r="A674">
        <f>IFERROR(VLOOKUP(B674,[1]銷貨單品號主檔!$A:$D,4,0),"學習周邊")</f>
        <v>0</v>
      </c>
      <c r="C674"/>
      <c r="E674"/>
    </row>
    <row r="675" spans="1:5">
      <c r="A675">
        <f>IFERROR(VLOOKUP(B675,[1]銷貨單品號主檔!$A:$D,4,0),"學習周邊")</f>
        <v>0</v>
      </c>
      <c r="C675"/>
      <c r="E675"/>
    </row>
    <row r="676" spans="1:5">
      <c r="A676">
        <f>IFERROR(VLOOKUP(B676,[1]銷貨單品號主檔!$A:$D,4,0),"學習周邊")</f>
        <v>0</v>
      </c>
      <c r="C676"/>
      <c r="E676"/>
    </row>
    <row r="677" spans="1:5">
      <c r="A677">
        <f>IFERROR(VLOOKUP(B677,[1]銷貨單品號主檔!$A:$D,4,0),"學習周邊")</f>
        <v>0</v>
      </c>
      <c r="C677"/>
      <c r="E677"/>
    </row>
    <row r="678" spans="1:5">
      <c r="A678">
        <f>IFERROR(VLOOKUP(B678,[1]銷貨單品號主檔!$A:$D,4,0),"學習周邊")</f>
        <v>0</v>
      </c>
      <c r="C678"/>
      <c r="E678"/>
    </row>
    <row r="679" spans="1:5">
      <c r="A679">
        <f>IFERROR(VLOOKUP(B679,[1]銷貨單品號主檔!$A:$D,4,0),"學習周邊")</f>
        <v>0</v>
      </c>
      <c r="C679"/>
      <c r="E679"/>
    </row>
    <row r="680" spans="1:5">
      <c r="A680">
        <f>IFERROR(VLOOKUP(B680,[1]銷貨單品號主檔!$A:$D,4,0),"學習周邊")</f>
        <v>0</v>
      </c>
      <c r="C680"/>
      <c r="E680"/>
    </row>
    <row r="681" spans="1:5">
      <c r="A681">
        <f>IFERROR(VLOOKUP(B681,[1]銷貨單品號主檔!$A:$D,4,0),"學習周邊")</f>
        <v>0</v>
      </c>
      <c r="C681"/>
      <c r="E681"/>
    </row>
    <row r="682" spans="1:5">
      <c r="A682">
        <f>IFERROR(VLOOKUP(B682,[1]銷貨單品號主檔!$A:$D,4,0),"學習周邊")</f>
        <v>0</v>
      </c>
      <c r="C682"/>
      <c r="E682"/>
    </row>
    <row r="683" spans="1:5">
      <c r="A683">
        <f>IFERROR(VLOOKUP(B683,[1]銷貨單品號主檔!$A:$D,4,0),"學習周邊")</f>
        <v>0</v>
      </c>
      <c r="C683"/>
      <c r="E683"/>
    </row>
    <row r="684" spans="1:5">
      <c r="A684">
        <f>IFERROR(VLOOKUP(B684,[1]銷貨單品號主檔!$A:$D,4,0),"學習周邊")</f>
        <v>0</v>
      </c>
      <c r="C684"/>
      <c r="E684"/>
    </row>
    <row r="685" spans="1:5">
      <c r="A685">
        <f>IFERROR(VLOOKUP(B685,[1]銷貨單品號主檔!$A:$D,4,0),"學習周邊")</f>
        <v>0</v>
      </c>
      <c r="C685"/>
      <c r="E685"/>
    </row>
    <row r="686" spans="1:5">
      <c r="A686">
        <f>IFERROR(VLOOKUP(B686,[1]銷貨單品號主檔!$A:$D,4,0),"學習周邊")</f>
        <v>0</v>
      </c>
      <c r="C686"/>
      <c r="E686"/>
    </row>
    <row r="687" spans="1:5">
      <c r="A687">
        <f>IFERROR(VLOOKUP(B687,[1]銷貨單品號主檔!$A:$D,4,0),"學習周邊")</f>
        <v>0</v>
      </c>
      <c r="C687"/>
      <c r="E687"/>
    </row>
    <row r="688" spans="1:5">
      <c r="A688">
        <f>IFERROR(VLOOKUP(B688,[1]銷貨單品號主檔!$A:$D,4,0),"學習周邊")</f>
        <v>0</v>
      </c>
      <c r="C688"/>
      <c r="E688"/>
    </row>
    <row r="689" spans="1:5">
      <c r="A689">
        <f>IFERROR(VLOOKUP(B689,[1]銷貨單品號主檔!$A:$D,4,0),"學習周邊")</f>
        <v>0</v>
      </c>
      <c r="C689"/>
      <c r="E689"/>
    </row>
    <row r="690" spans="1:5">
      <c r="A690">
        <f>IFERROR(VLOOKUP(B690,[1]銷貨單品號主檔!$A:$D,4,0),"學習周邊")</f>
        <v>0</v>
      </c>
      <c r="C690"/>
      <c r="E690"/>
    </row>
    <row r="691" spans="1:5">
      <c r="A691">
        <f>IFERROR(VLOOKUP(B691,[1]銷貨單品號主檔!$A:$D,4,0),"學習周邊")</f>
        <v>0</v>
      </c>
      <c r="C691"/>
      <c r="E691"/>
    </row>
    <row r="692" spans="1:5">
      <c r="A692">
        <f>IFERROR(VLOOKUP(B692,[1]銷貨單品號主檔!$A:$D,4,0),"學習周邊")</f>
        <v>0</v>
      </c>
      <c r="C692"/>
      <c r="E692"/>
    </row>
    <row r="693" spans="1:5">
      <c r="A693">
        <f>IFERROR(VLOOKUP(B693,[1]銷貨單品號主檔!$A:$D,4,0),"學習周邊")</f>
        <v>0</v>
      </c>
      <c r="C693"/>
      <c r="E693"/>
    </row>
    <row r="694" spans="1:5">
      <c r="A694">
        <f>IFERROR(VLOOKUP(B694,[1]銷貨單品號主檔!$A:$D,4,0),"學習周邊")</f>
        <v>0</v>
      </c>
      <c r="C694"/>
      <c r="E694"/>
    </row>
    <row r="695" spans="1:5">
      <c r="A695">
        <f>IFERROR(VLOOKUP(B695,[1]銷貨單品號主檔!$A:$D,4,0),"學習周邊")</f>
        <v>0</v>
      </c>
      <c r="C695"/>
      <c r="E695"/>
    </row>
    <row r="696" spans="1:5">
      <c r="A696">
        <f>IFERROR(VLOOKUP(B696,[1]銷貨單品號主檔!$A:$D,4,0),"學習周邊")</f>
        <v>0</v>
      </c>
      <c r="C696"/>
      <c r="E696"/>
    </row>
    <row r="697" spans="1:5">
      <c r="A697">
        <f>IFERROR(VLOOKUP(B697,[1]銷貨單品號主檔!$A:$D,4,0),"學習周邊")</f>
        <v>0</v>
      </c>
      <c r="C697"/>
      <c r="E697"/>
    </row>
    <row r="698" spans="1:5">
      <c r="A698">
        <f>IFERROR(VLOOKUP(B698,[1]銷貨單品號主檔!$A:$D,4,0),"學習周邊")</f>
        <v>0</v>
      </c>
      <c r="C698"/>
      <c r="E698"/>
    </row>
    <row r="699" spans="1:5">
      <c r="A699">
        <f>IFERROR(VLOOKUP(B699,[1]銷貨單品號主檔!$A:$D,4,0),"學習周邊")</f>
        <v>0</v>
      </c>
      <c r="C699"/>
      <c r="E699"/>
    </row>
    <row r="700" spans="1:5">
      <c r="A700">
        <f>IFERROR(VLOOKUP(B700,[1]銷貨單品號主檔!$A:$D,4,0),"學習周邊")</f>
        <v>0</v>
      </c>
      <c r="C700"/>
      <c r="E700"/>
    </row>
    <row r="701" spans="1:5">
      <c r="A701">
        <f>IFERROR(VLOOKUP(B701,[1]銷貨單品號主檔!$A:$D,4,0),"學習周邊")</f>
        <v>0</v>
      </c>
      <c r="C701"/>
      <c r="E701"/>
    </row>
    <row r="702" spans="1:5">
      <c r="A702">
        <f>IFERROR(VLOOKUP(B702,[1]銷貨單品號主檔!$A:$D,4,0),"學習周邊")</f>
        <v>0</v>
      </c>
      <c r="C702"/>
      <c r="E702"/>
    </row>
    <row r="703" spans="1:5">
      <c r="A703">
        <f>IFERROR(VLOOKUP(B703,[1]銷貨單品號主檔!$A:$D,4,0),"學習周邊")</f>
        <v>0</v>
      </c>
      <c r="C703"/>
      <c r="E703"/>
    </row>
    <row r="704" spans="1:5">
      <c r="A704">
        <f>IFERROR(VLOOKUP(B704,[1]銷貨單品號主檔!$A:$D,4,0),"學習周邊")</f>
        <v>0</v>
      </c>
      <c r="C704"/>
      <c r="E704"/>
    </row>
    <row r="705" spans="1:5">
      <c r="A705">
        <f>IFERROR(VLOOKUP(B705,[1]銷貨單品號主檔!$A:$D,4,0),"學習周邊")</f>
        <v>0</v>
      </c>
      <c r="C705"/>
      <c r="E705"/>
    </row>
    <row r="706" spans="1:5">
      <c r="A706">
        <f>IFERROR(VLOOKUP(B706,[1]銷貨單品號主檔!$A:$D,4,0),"學習周邊")</f>
        <v>0</v>
      </c>
      <c r="C706"/>
      <c r="E706"/>
    </row>
    <row r="707" spans="1:5">
      <c r="A707">
        <f>IFERROR(VLOOKUP(B707,[1]銷貨單品號主檔!$A:$D,4,0),"學習周邊")</f>
        <v>0</v>
      </c>
      <c r="C707"/>
      <c r="E707"/>
    </row>
    <row r="708" spans="1:5">
      <c r="A708">
        <f>IFERROR(VLOOKUP(B708,[1]銷貨單品號主檔!$A:$D,4,0),"學習周邊")</f>
        <v>0</v>
      </c>
      <c r="C708"/>
      <c r="E708"/>
    </row>
    <row r="709" spans="1:5">
      <c r="A709">
        <f>IFERROR(VLOOKUP(B709,[1]銷貨單品號主檔!$A:$D,4,0),"學習周邊")</f>
        <v>0</v>
      </c>
      <c r="C709"/>
      <c r="E709"/>
    </row>
    <row r="710" spans="1:5">
      <c r="A710">
        <f>IFERROR(VLOOKUP(B710,[1]銷貨單品號主檔!$A:$D,4,0),"學習周邊")</f>
        <v>0</v>
      </c>
      <c r="C710"/>
      <c r="E710"/>
    </row>
    <row r="711" spans="1:5">
      <c r="A711">
        <f>IFERROR(VLOOKUP(B711,[1]銷貨單品號主檔!$A:$D,4,0),"學習周邊")</f>
        <v>0</v>
      </c>
      <c r="C711"/>
      <c r="E711"/>
    </row>
    <row r="712" spans="1:5">
      <c r="A712">
        <f>IFERROR(VLOOKUP(B712,[1]銷貨單品號主檔!$A:$D,4,0),"學習周邊")</f>
        <v>0</v>
      </c>
      <c r="C712"/>
      <c r="E712"/>
    </row>
    <row r="713" spans="1:5">
      <c r="A713">
        <f>IFERROR(VLOOKUP(B713,[1]銷貨單品號主檔!$A:$D,4,0),"學習周邊")</f>
        <v>0</v>
      </c>
      <c r="C713"/>
      <c r="E713"/>
    </row>
    <row r="714" spans="1:5">
      <c r="A714">
        <f>IFERROR(VLOOKUP(B714,[1]銷貨單品號主檔!$A:$D,4,0),"學習周邊")</f>
        <v>0</v>
      </c>
      <c r="C714"/>
      <c r="E714"/>
    </row>
    <row r="715" spans="1:5">
      <c r="A715">
        <f>IFERROR(VLOOKUP(B715,[1]銷貨單品號主檔!$A:$D,4,0),"學習周邊")</f>
        <v>0</v>
      </c>
      <c r="C715"/>
      <c r="E715"/>
    </row>
    <row r="716" spans="1:5">
      <c r="A716">
        <f>IFERROR(VLOOKUP(B716,[1]銷貨單品號主檔!$A:$D,4,0),"學習周邊")</f>
        <v>0</v>
      </c>
      <c r="C716"/>
      <c r="E716"/>
    </row>
    <row r="717" spans="1:5">
      <c r="A717">
        <f>IFERROR(VLOOKUP(B717,[1]銷貨單品號主檔!$A:$D,4,0),"學習周邊")</f>
        <v>0</v>
      </c>
      <c r="C717"/>
      <c r="E717"/>
    </row>
    <row r="718" spans="1:5">
      <c r="A718">
        <f>IFERROR(VLOOKUP(B718,[1]銷貨單品號主檔!$A:$D,4,0),"學習周邊")</f>
        <v>0</v>
      </c>
      <c r="C718"/>
      <c r="E718"/>
    </row>
    <row r="719" spans="1:5">
      <c r="A719">
        <f>IFERROR(VLOOKUP(B719,[1]銷貨單品號主檔!$A:$D,4,0),"學習周邊")</f>
        <v>0</v>
      </c>
      <c r="C719"/>
      <c r="E719"/>
    </row>
    <row r="720" spans="1:5">
      <c r="A720">
        <f>IFERROR(VLOOKUP(B720,[1]銷貨單品號主檔!$A:$D,4,0),"學習周邊")</f>
        <v>0</v>
      </c>
      <c r="C720"/>
      <c r="E720"/>
    </row>
    <row r="721" spans="1:5">
      <c r="A721">
        <f>IFERROR(VLOOKUP(B721,[1]銷貨單品號主檔!$A:$D,4,0),"學習周邊")</f>
        <v>0</v>
      </c>
      <c r="C721"/>
      <c r="E721"/>
    </row>
    <row r="722" spans="1:5">
      <c r="A722">
        <f>IFERROR(VLOOKUP(B722,[1]銷貨單品號主檔!$A:$D,4,0),"學習周邊")</f>
        <v>0</v>
      </c>
      <c r="C722"/>
      <c r="E722"/>
    </row>
    <row r="723" spans="1:5">
      <c r="A723">
        <f>IFERROR(VLOOKUP(B723,[1]銷貨單品號主檔!$A:$D,4,0),"學習周邊")</f>
        <v>0</v>
      </c>
      <c r="C723"/>
      <c r="E723"/>
    </row>
    <row r="724" spans="1:5">
      <c r="A724">
        <f>IFERROR(VLOOKUP(B724,[1]銷貨單品號主檔!$A:$D,4,0),"學習周邊")</f>
        <v>0</v>
      </c>
      <c r="C724"/>
      <c r="E724"/>
    </row>
    <row r="725" spans="1:5">
      <c r="A725">
        <f>IFERROR(VLOOKUP(B725,[1]銷貨單品號主檔!$A:$D,4,0),"學習周邊")</f>
        <v>0</v>
      </c>
      <c r="C725"/>
      <c r="E725"/>
    </row>
    <row r="726" spans="1:5">
      <c r="A726">
        <f>IFERROR(VLOOKUP(B726,[1]銷貨單品號主檔!$A:$D,4,0),"學習周邊")</f>
        <v>0</v>
      </c>
      <c r="C726"/>
      <c r="E726"/>
    </row>
    <row r="727" spans="1:5">
      <c r="A727">
        <f>IFERROR(VLOOKUP(B727,[1]銷貨單品號主檔!$A:$D,4,0),"學習周邊")</f>
        <v>0</v>
      </c>
      <c r="C727"/>
      <c r="E727"/>
    </row>
    <row r="728" spans="1:5">
      <c r="A728">
        <f>IFERROR(VLOOKUP(B728,[1]銷貨單品號主檔!$A:$D,4,0),"學習周邊")</f>
        <v>0</v>
      </c>
      <c r="C728"/>
      <c r="E728"/>
    </row>
    <row r="729" spans="1:5">
      <c r="A729">
        <f>IFERROR(VLOOKUP(B729,[1]銷貨單品號主檔!$A:$D,4,0),"學習周邊")</f>
        <v>0</v>
      </c>
      <c r="C729"/>
      <c r="E729"/>
    </row>
    <row r="730" spans="1:5">
      <c r="A730">
        <f>IFERROR(VLOOKUP(B730,[1]銷貨單品號主檔!$A:$D,4,0),"學習周邊")</f>
        <v>0</v>
      </c>
      <c r="C730"/>
      <c r="E730"/>
    </row>
    <row r="731" spans="1:5">
      <c r="A731">
        <f>IFERROR(VLOOKUP(B731,[1]銷貨單品號主檔!$A:$D,4,0),"學習周邊")</f>
        <v>0</v>
      </c>
      <c r="C731"/>
      <c r="E731"/>
    </row>
    <row r="732" spans="1:5">
      <c r="A732">
        <f>IFERROR(VLOOKUP(B732,[1]銷貨單品號主檔!$A:$D,4,0),"學習周邊")</f>
        <v>0</v>
      </c>
      <c r="C732"/>
      <c r="E732"/>
    </row>
    <row r="733" spans="1:5">
      <c r="A733">
        <f>IFERROR(VLOOKUP(B733,[1]銷貨單品號主檔!$A:$D,4,0),"學習周邊")</f>
        <v>0</v>
      </c>
      <c r="C733"/>
      <c r="E733"/>
    </row>
    <row r="734" spans="1:5">
      <c r="A734">
        <f>IFERROR(VLOOKUP(B734,[1]銷貨單品號主檔!$A:$D,4,0),"學習周邊")</f>
        <v>0</v>
      </c>
      <c r="C734"/>
      <c r="E734"/>
    </row>
    <row r="735" spans="1:5">
      <c r="A735">
        <f>IFERROR(VLOOKUP(B735,[1]銷貨單品號主檔!$A:$D,4,0),"學習周邊")</f>
        <v>0</v>
      </c>
      <c r="C735"/>
      <c r="E735"/>
    </row>
    <row r="736" spans="1:5">
      <c r="A736">
        <f>IFERROR(VLOOKUP(B736,[1]銷貨單品號主檔!$A:$D,4,0),"學習周邊")</f>
        <v>0</v>
      </c>
      <c r="C736"/>
      <c r="E736"/>
    </row>
    <row r="737" spans="1:5">
      <c r="A737">
        <f>IFERROR(VLOOKUP(B737,[1]銷貨單品號主檔!$A:$D,4,0),"學習周邊")</f>
        <v>0</v>
      </c>
      <c r="C737"/>
      <c r="E737"/>
    </row>
    <row r="738" spans="1:5">
      <c r="A738">
        <f>IFERROR(VLOOKUP(B738,[1]銷貨單品號主檔!$A:$D,4,0),"學習周邊")</f>
        <v>0</v>
      </c>
      <c r="C738"/>
      <c r="E738"/>
    </row>
    <row r="739" spans="1:5">
      <c r="A739">
        <f>IFERROR(VLOOKUP(B739,[1]銷貨單品號主檔!$A:$D,4,0),"學習周邊")</f>
        <v>0</v>
      </c>
      <c r="C739"/>
      <c r="E739"/>
    </row>
    <row r="740" spans="1:5">
      <c r="A740">
        <f>IFERROR(VLOOKUP(B740,[1]銷貨單品號主檔!$A:$D,4,0),"學習周邊")</f>
        <v>0</v>
      </c>
      <c r="C740"/>
      <c r="E740"/>
    </row>
    <row r="741" spans="1:5">
      <c r="A741">
        <f>IFERROR(VLOOKUP(B741,[1]銷貨單品號主檔!$A:$D,4,0),"學習周邊")</f>
        <v>0</v>
      </c>
      <c r="C741"/>
      <c r="E741"/>
    </row>
    <row r="742" spans="1:5">
      <c r="A742">
        <f>IFERROR(VLOOKUP(B742,[1]銷貨單品號主檔!$A:$D,4,0),"學習周邊")</f>
        <v>0</v>
      </c>
      <c r="C742"/>
      <c r="E742"/>
    </row>
    <row r="743" spans="1:5">
      <c r="A743">
        <f>IFERROR(VLOOKUP(B743,[1]銷貨單品號主檔!$A:$D,4,0),"學習周邊")</f>
        <v>0</v>
      </c>
      <c r="C743"/>
      <c r="E743"/>
    </row>
    <row r="744" spans="1:5">
      <c r="A744">
        <f>IFERROR(VLOOKUP(B744,[1]銷貨單品號主檔!$A:$D,4,0),"學習周邊")</f>
        <v>0</v>
      </c>
      <c r="C744"/>
      <c r="E744"/>
    </row>
    <row r="745" spans="1:5">
      <c r="A745">
        <f>IFERROR(VLOOKUP(B745,[1]銷貨單品號主檔!$A:$D,4,0),"學習周邊")</f>
        <v>0</v>
      </c>
      <c r="C745"/>
      <c r="E745"/>
    </row>
    <row r="746" spans="1:5">
      <c r="A746">
        <f>IFERROR(VLOOKUP(B746,[1]銷貨單品號主檔!$A:$D,4,0),"學習周邊")</f>
        <v>0</v>
      </c>
      <c r="C746"/>
      <c r="E746"/>
    </row>
    <row r="747" spans="1:5">
      <c r="A747">
        <f>IFERROR(VLOOKUP(B747,[1]銷貨單品號主檔!$A:$D,4,0),"學習周邊")</f>
        <v>0</v>
      </c>
      <c r="C747"/>
      <c r="E747"/>
    </row>
    <row r="748" spans="1:5">
      <c r="A748">
        <f>IFERROR(VLOOKUP(B748,[1]銷貨單品號主檔!$A:$D,4,0),"學習周邊")</f>
        <v>0</v>
      </c>
      <c r="C748"/>
      <c r="E748"/>
    </row>
    <row r="749" spans="1:5">
      <c r="A749">
        <f>IFERROR(VLOOKUP(B749,[1]銷貨單品號主檔!$A:$D,4,0),"學習周邊")</f>
        <v>0</v>
      </c>
      <c r="C749"/>
      <c r="E749"/>
    </row>
    <row r="750" spans="1:5">
      <c r="A750">
        <f>IFERROR(VLOOKUP(B750,[1]銷貨單品號主檔!$A:$D,4,0),"學習周邊")</f>
        <v>0</v>
      </c>
      <c r="C750"/>
      <c r="E750"/>
    </row>
    <row r="751" spans="1:5">
      <c r="A751">
        <f>IFERROR(VLOOKUP(B751,[1]銷貨單品號主檔!$A:$D,4,0),"學習周邊")</f>
        <v>0</v>
      </c>
      <c r="C751"/>
      <c r="E751"/>
    </row>
    <row r="752" spans="1:5">
      <c r="A752">
        <f>IFERROR(VLOOKUP(B752,[1]銷貨單品號主檔!$A:$D,4,0),"學習周邊")</f>
        <v>0</v>
      </c>
      <c r="C752"/>
      <c r="E752"/>
    </row>
    <row r="753" spans="1:5">
      <c r="A753">
        <f>IFERROR(VLOOKUP(B753,[1]銷貨單品號主檔!$A:$D,4,0),"學習周邊")</f>
        <v>0</v>
      </c>
      <c r="C753"/>
      <c r="E753"/>
    </row>
    <row r="754" spans="1:5">
      <c r="A754">
        <f>IFERROR(VLOOKUP(B754,[1]銷貨單品號主檔!$A:$D,4,0),"學習周邊")</f>
        <v>0</v>
      </c>
      <c r="C754"/>
      <c r="E754"/>
    </row>
    <row r="755" spans="1:5">
      <c r="A755">
        <f>IFERROR(VLOOKUP(B755,[1]銷貨單品號主檔!$A:$D,4,0),"學習周邊")</f>
        <v>0</v>
      </c>
      <c r="C755"/>
      <c r="E755"/>
    </row>
    <row r="756" spans="1:5">
      <c r="A756">
        <f>IFERROR(VLOOKUP(B756,[1]銷貨單品號主檔!$A:$D,4,0),"學習周邊")</f>
        <v>0</v>
      </c>
      <c r="C756"/>
      <c r="E756"/>
    </row>
    <row r="757" spans="1:5">
      <c r="A757">
        <f>IFERROR(VLOOKUP(B757,[1]銷貨單品號主檔!$A:$D,4,0),"學習周邊")</f>
        <v>0</v>
      </c>
      <c r="C757"/>
      <c r="E757"/>
    </row>
    <row r="758" spans="1:5">
      <c r="A758">
        <f>IFERROR(VLOOKUP(B758,[1]銷貨單品號主檔!$A:$D,4,0),"學習周邊")</f>
        <v>0</v>
      </c>
      <c r="C758"/>
      <c r="E758"/>
    </row>
    <row r="759" spans="1:5">
      <c r="A759">
        <f>IFERROR(VLOOKUP(B759,[1]銷貨單品號主檔!$A:$D,4,0),"學習周邊")</f>
        <v>0</v>
      </c>
      <c r="C759"/>
      <c r="E759"/>
    </row>
    <row r="760" spans="1:5">
      <c r="A760">
        <f>IFERROR(VLOOKUP(B760,[1]銷貨單品號主檔!$A:$D,4,0),"學習周邊")</f>
        <v>0</v>
      </c>
      <c r="C760"/>
      <c r="E760"/>
    </row>
    <row r="761" spans="1:5">
      <c r="A761">
        <f>IFERROR(VLOOKUP(B761,[1]銷貨單品號主檔!$A:$D,4,0),"學習周邊")</f>
        <v>0</v>
      </c>
      <c r="C761"/>
      <c r="E761"/>
    </row>
    <row r="762" spans="1:5">
      <c r="A762">
        <f>IFERROR(VLOOKUP(B762,[1]銷貨單品號主檔!$A:$D,4,0),"學習周邊")</f>
        <v>0</v>
      </c>
      <c r="C762"/>
      <c r="E762"/>
    </row>
    <row r="763" spans="1:5">
      <c r="A763">
        <f>IFERROR(VLOOKUP(B763,[1]銷貨單品號主檔!$A:$D,4,0),"學習周邊")</f>
        <v>0</v>
      </c>
      <c r="C763"/>
      <c r="E763"/>
    </row>
    <row r="764" spans="1:5">
      <c r="A764">
        <f>IFERROR(VLOOKUP(B764,[1]銷貨單品號主檔!$A:$D,4,0),"學習周邊")</f>
        <v>0</v>
      </c>
      <c r="C764"/>
      <c r="E764"/>
    </row>
    <row r="765" spans="1:5">
      <c r="A765">
        <f>IFERROR(VLOOKUP(B765,[1]銷貨單品號主檔!$A:$D,4,0),"學習周邊")</f>
        <v>0</v>
      </c>
      <c r="C765"/>
      <c r="E765"/>
    </row>
    <row r="766" spans="1:5">
      <c r="A766">
        <f>IFERROR(VLOOKUP(B766,[1]銷貨單品號主檔!$A:$D,4,0),"學習周邊")</f>
        <v>0</v>
      </c>
      <c r="C766"/>
      <c r="E766"/>
    </row>
    <row r="767" spans="1:5">
      <c r="A767">
        <f>IFERROR(VLOOKUP(B767,[1]銷貨單品號主檔!$A:$D,4,0),"學習周邊")</f>
        <v>0</v>
      </c>
      <c r="C767"/>
      <c r="E767"/>
    </row>
    <row r="768" spans="1:5">
      <c r="A768">
        <f>IFERROR(VLOOKUP(B768,[1]銷貨單品號主檔!$A:$D,4,0),"學習周邊")</f>
        <v>0</v>
      </c>
      <c r="C768"/>
      <c r="E768"/>
    </row>
    <row r="769" spans="1:5">
      <c r="A769">
        <f>IFERROR(VLOOKUP(B769,[1]銷貨單品號主檔!$A:$D,4,0),"學習周邊")</f>
        <v>0</v>
      </c>
      <c r="C769"/>
      <c r="E769"/>
    </row>
    <row r="770" spans="1:5">
      <c r="A770">
        <f>IFERROR(VLOOKUP(B770,[1]銷貨單品號主檔!$A:$D,4,0),"學習周邊")</f>
        <v>0</v>
      </c>
      <c r="C770"/>
      <c r="E770"/>
    </row>
    <row r="771" spans="1:5">
      <c r="A771">
        <f>IFERROR(VLOOKUP(B771,[1]銷貨單品號主檔!$A:$D,4,0),"學習周邊")</f>
        <v>0</v>
      </c>
      <c r="C771"/>
      <c r="E771"/>
    </row>
    <row r="772" spans="1:5">
      <c r="A772">
        <f>IFERROR(VLOOKUP(B772,[1]銷貨單品號主檔!$A:$D,4,0),"學習周邊")</f>
        <v>0</v>
      </c>
      <c r="C772"/>
      <c r="E772"/>
    </row>
    <row r="773" spans="1:5">
      <c r="A773">
        <f>IFERROR(VLOOKUP(B773,[1]銷貨單品號主檔!$A:$D,4,0),"學習周邊")</f>
        <v>0</v>
      </c>
      <c r="C773"/>
      <c r="E773"/>
    </row>
    <row r="774" spans="1:5">
      <c r="A774">
        <f>IFERROR(VLOOKUP(B774,[1]銷貨單品號主檔!$A:$D,4,0),"學習周邊")</f>
        <v>0</v>
      </c>
      <c r="C774"/>
      <c r="E774"/>
    </row>
    <row r="775" spans="1:5">
      <c r="A775">
        <f>IFERROR(VLOOKUP(B775,[1]銷貨單品號主檔!$A:$D,4,0),"學習周邊")</f>
        <v>0</v>
      </c>
      <c r="C775"/>
      <c r="E775"/>
    </row>
    <row r="776" spans="1:5">
      <c r="A776">
        <f>IFERROR(VLOOKUP(B776,[1]銷貨單品號主檔!$A:$D,4,0),"學習周邊")</f>
        <v>0</v>
      </c>
      <c r="C776"/>
      <c r="E776"/>
    </row>
    <row r="777" spans="1:5">
      <c r="A777">
        <f>IFERROR(VLOOKUP(B777,[1]銷貨單品號主檔!$A:$D,4,0),"學習周邊")</f>
        <v>0</v>
      </c>
      <c r="C777"/>
      <c r="E777"/>
    </row>
    <row r="778" spans="1:5">
      <c r="A778">
        <f>IFERROR(VLOOKUP(B778,[1]銷貨單品號主檔!$A:$D,4,0),"學習周邊")</f>
        <v>0</v>
      </c>
      <c r="C778"/>
      <c r="E778"/>
    </row>
    <row r="779" spans="1:5">
      <c r="A779">
        <f>IFERROR(VLOOKUP(B779,[1]銷貨單品號主檔!$A:$D,4,0),"學習周邊")</f>
        <v>0</v>
      </c>
      <c r="C779"/>
      <c r="E779"/>
    </row>
    <row r="780" spans="1:5">
      <c r="A780">
        <f>IFERROR(VLOOKUP(B780,[1]銷貨單品號主檔!$A:$D,4,0),"學習周邊")</f>
        <v>0</v>
      </c>
      <c r="C780"/>
      <c r="E780"/>
    </row>
    <row r="781" spans="1:5">
      <c r="A781">
        <f>IFERROR(VLOOKUP(B781,[1]銷貨單品號主檔!$A:$D,4,0),"學習周邊")</f>
        <v>0</v>
      </c>
      <c r="C781"/>
      <c r="E781"/>
    </row>
    <row r="782" spans="1:5">
      <c r="A782">
        <f>IFERROR(VLOOKUP(B782,[1]銷貨單品號主檔!$A:$D,4,0),"學習周邊")</f>
        <v>0</v>
      </c>
      <c r="C782"/>
      <c r="E782"/>
    </row>
    <row r="783" spans="1:5">
      <c r="A783">
        <f>IFERROR(VLOOKUP(B783,[1]銷貨單品號主檔!$A:$D,4,0),"學習周邊")</f>
        <v>0</v>
      </c>
      <c r="C783"/>
      <c r="E783"/>
    </row>
    <row r="784" spans="1:5">
      <c r="A784">
        <f>IFERROR(VLOOKUP(B784,[1]銷貨單品號主檔!$A:$D,4,0),"學習周邊")</f>
        <v>0</v>
      </c>
      <c r="C784"/>
      <c r="E784"/>
    </row>
    <row r="785" spans="1:5">
      <c r="A785">
        <f>IFERROR(VLOOKUP(B785,[1]銷貨單品號主檔!$A:$D,4,0),"學習周邊")</f>
        <v>0</v>
      </c>
      <c r="C785"/>
      <c r="E785"/>
    </row>
    <row r="786" spans="1:5">
      <c r="A786">
        <f>IFERROR(VLOOKUP(B786,[1]銷貨單品號主檔!$A:$D,4,0),"學習周邊")</f>
        <v>0</v>
      </c>
      <c r="C786"/>
      <c r="E786"/>
    </row>
    <row r="787" spans="1:5">
      <c r="A787">
        <f>IFERROR(VLOOKUP(B787,[1]銷貨單品號主檔!$A:$D,4,0),"學習周邊")</f>
        <v>0</v>
      </c>
      <c r="C787"/>
      <c r="E787"/>
    </row>
    <row r="788" spans="1:5">
      <c r="A788">
        <f>IFERROR(VLOOKUP(B788,[1]銷貨單品號主檔!$A:$D,4,0),"學習周邊")</f>
        <v>0</v>
      </c>
      <c r="C788"/>
      <c r="E788"/>
    </row>
    <row r="789" spans="1:5">
      <c r="A789">
        <f>IFERROR(VLOOKUP(B789,[1]銷貨單品號主檔!$A:$D,4,0),"學習周邊")</f>
        <v>0</v>
      </c>
      <c r="C789"/>
      <c r="E789"/>
    </row>
    <row r="790" spans="1:5">
      <c r="A790">
        <f>IFERROR(VLOOKUP(B790,[1]銷貨單品號主檔!$A:$D,4,0),"學習周邊")</f>
        <v>0</v>
      </c>
      <c r="C790"/>
      <c r="E790"/>
    </row>
    <row r="791" spans="1:5">
      <c r="A791">
        <f>IFERROR(VLOOKUP(B791,[1]銷貨單品號主檔!$A:$D,4,0),"學習周邊")</f>
        <v>0</v>
      </c>
      <c r="C791"/>
      <c r="E791"/>
    </row>
    <row r="792" spans="1:5">
      <c r="A792">
        <f>IFERROR(VLOOKUP(B792,[1]銷貨單品號主檔!$A:$D,4,0),"學習周邊")</f>
        <v>0</v>
      </c>
      <c r="C792"/>
      <c r="E792"/>
    </row>
    <row r="793" spans="1:5">
      <c r="A793">
        <f>IFERROR(VLOOKUP(B793,[1]銷貨單品號主檔!$A:$D,4,0),"學習周邊")</f>
        <v>0</v>
      </c>
      <c r="C793"/>
      <c r="E793"/>
    </row>
    <row r="794" spans="1:5">
      <c r="A794">
        <f>IFERROR(VLOOKUP(B794,[1]銷貨單品號主檔!$A:$D,4,0),"學習周邊")</f>
        <v>0</v>
      </c>
      <c r="C794"/>
      <c r="E794"/>
    </row>
    <row r="795" spans="1:5">
      <c r="A795">
        <f>IFERROR(VLOOKUP(B795,[1]銷貨單品號主檔!$A:$D,4,0),"學習周邊")</f>
        <v>0</v>
      </c>
      <c r="C795"/>
      <c r="E795"/>
    </row>
    <row r="796" spans="1:5">
      <c r="A796">
        <f>IFERROR(VLOOKUP(B796,[1]銷貨單品號主檔!$A:$D,4,0),"學習周邊")</f>
        <v>0</v>
      </c>
      <c r="C796"/>
      <c r="E796"/>
    </row>
    <row r="797" spans="1:5">
      <c r="A797">
        <f>IFERROR(VLOOKUP(B797,[1]銷貨單品號主檔!$A:$D,4,0),"學習周邊")</f>
        <v>0</v>
      </c>
      <c r="C797"/>
      <c r="E797"/>
    </row>
    <row r="798" spans="1:5">
      <c r="A798">
        <f>IFERROR(VLOOKUP(B798,[1]銷貨單品號主檔!$A:$D,4,0),"學習周邊")</f>
        <v>0</v>
      </c>
      <c r="C798"/>
      <c r="E798"/>
    </row>
    <row r="799" spans="1:5">
      <c r="A799">
        <f>IFERROR(VLOOKUP(B799,[1]銷貨單品號主檔!$A:$D,4,0),"學習周邊")</f>
        <v>0</v>
      </c>
      <c r="C799"/>
      <c r="E799"/>
    </row>
    <row r="800" spans="1:5">
      <c r="A800">
        <f>IFERROR(VLOOKUP(B800,[1]銷貨單品號主檔!$A:$D,4,0),"學習周邊")</f>
        <v>0</v>
      </c>
      <c r="C800"/>
      <c r="E800"/>
    </row>
    <row r="801" spans="1:5">
      <c r="A801">
        <f>IFERROR(VLOOKUP(B801,[1]銷貨單品號主檔!$A:$D,4,0),"學習周邊")</f>
        <v>0</v>
      </c>
      <c r="C801"/>
      <c r="E801"/>
    </row>
    <row r="802" spans="1:5">
      <c r="A802">
        <f>IFERROR(VLOOKUP(B802,[1]銷貨單品號主檔!$A:$D,4,0),"學習周邊")</f>
        <v>0</v>
      </c>
      <c r="C802"/>
      <c r="E802"/>
    </row>
    <row r="803" spans="1:5">
      <c r="A803">
        <f>IFERROR(VLOOKUP(B803,[1]銷貨單品號主檔!$A:$D,4,0),"學習周邊")</f>
        <v>0</v>
      </c>
      <c r="C803"/>
      <c r="E803"/>
    </row>
    <row r="804" spans="1:5">
      <c r="A804">
        <f>IFERROR(VLOOKUP(B804,[1]銷貨單品號主檔!$A:$D,4,0),"學習周邊")</f>
        <v>0</v>
      </c>
      <c r="C804"/>
      <c r="E804"/>
    </row>
    <row r="805" spans="1:5">
      <c r="A805">
        <f>IFERROR(VLOOKUP(B805,[1]銷貨單品號主檔!$A:$D,4,0),"學習周邊")</f>
        <v>0</v>
      </c>
      <c r="C805"/>
      <c r="E805"/>
    </row>
    <row r="806" spans="1:5">
      <c r="A806">
        <f>IFERROR(VLOOKUP(B806,[1]銷貨單品號主檔!$A:$D,4,0),"學習周邊")</f>
        <v>0</v>
      </c>
      <c r="C806"/>
      <c r="E806"/>
    </row>
    <row r="807" spans="1:5">
      <c r="A807">
        <f>IFERROR(VLOOKUP(B807,[1]銷貨單品號主檔!$A:$D,4,0),"學習周邊")</f>
        <v>0</v>
      </c>
      <c r="C807"/>
      <c r="E807"/>
    </row>
    <row r="808" spans="1:5">
      <c r="A808">
        <f>IFERROR(VLOOKUP(B808,[1]銷貨單品號主檔!$A:$D,4,0),"學習周邊")</f>
        <v>0</v>
      </c>
      <c r="C808"/>
      <c r="E808"/>
    </row>
    <row r="809" spans="1:5">
      <c r="A809">
        <f>IFERROR(VLOOKUP(B809,[1]銷貨單品號主檔!$A:$D,4,0),"學習周邊")</f>
        <v>0</v>
      </c>
      <c r="C809"/>
      <c r="E809"/>
    </row>
    <row r="810" spans="1:5">
      <c r="A810">
        <f>IFERROR(VLOOKUP(B810,[1]銷貨單品號主檔!$A:$D,4,0),"學習周邊")</f>
        <v>0</v>
      </c>
      <c r="C810"/>
      <c r="E810"/>
    </row>
    <row r="811" spans="1:5">
      <c r="A811">
        <f>IFERROR(VLOOKUP(B811,[1]銷貨單品號主檔!$A:$D,4,0),"學習周邊")</f>
        <v>0</v>
      </c>
      <c r="C811"/>
      <c r="E811"/>
    </row>
    <row r="812" spans="1:5">
      <c r="A812">
        <f>IFERROR(VLOOKUP(B812,[1]銷貨單品號主檔!$A:$D,4,0),"學習周邊")</f>
        <v>0</v>
      </c>
      <c r="C812"/>
      <c r="E812"/>
    </row>
    <row r="813" spans="1:5">
      <c r="A813">
        <f>IFERROR(VLOOKUP(B813,[1]銷貨單品號主檔!$A:$D,4,0),"學習周邊")</f>
        <v>0</v>
      </c>
      <c r="C813"/>
      <c r="E813"/>
    </row>
    <row r="814" spans="1:5">
      <c r="A814">
        <f>IFERROR(VLOOKUP(B814,[1]銷貨單品號主檔!$A:$D,4,0),"學習周邊")</f>
        <v>0</v>
      </c>
      <c r="C814"/>
      <c r="E814"/>
    </row>
    <row r="815" spans="1:5">
      <c r="A815">
        <f>IFERROR(VLOOKUP(B815,[1]銷貨單品號主檔!$A:$D,4,0),"學習周邊")</f>
        <v>0</v>
      </c>
      <c r="C815"/>
      <c r="E815"/>
    </row>
    <row r="816" spans="1:5">
      <c r="A816">
        <f>IFERROR(VLOOKUP(B816,[1]銷貨單品號主檔!$A:$D,4,0),"學習周邊")</f>
        <v>0</v>
      </c>
      <c r="C816"/>
      <c r="E816"/>
    </row>
    <row r="817" spans="1:5">
      <c r="A817">
        <f>IFERROR(VLOOKUP(B817,[1]銷貨單品號主檔!$A:$D,4,0),"學習周邊")</f>
        <v>0</v>
      </c>
      <c r="C817"/>
      <c r="E817"/>
    </row>
    <row r="818" spans="1:5">
      <c r="A818">
        <f>IFERROR(VLOOKUP(B818,[1]銷貨單品號主檔!$A:$D,4,0),"學習周邊")</f>
        <v>0</v>
      </c>
      <c r="C818"/>
      <c r="E818"/>
    </row>
    <row r="819" spans="1:5">
      <c r="A819">
        <f>IFERROR(VLOOKUP(B819,[1]銷貨單品號主檔!$A:$D,4,0),"學習周邊")</f>
        <v>0</v>
      </c>
      <c r="C819"/>
      <c r="E819"/>
    </row>
    <row r="820" spans="1:5">
      <c r="A820">
        <f>IFERROR(VLOOKUP(B820,[1]銷貨單品號主檔!$A:$D,4,0),"學習周邊")</f>
        <v>0</v>
      </c>
      <c r="C820"/>
      <c r="E820"/>
    </row>
    <row r="821" spans="1:5">
      <c r="A821">
        <f>IFERROR(VLOOKUP(B821,[1]銷貨單品號主檔!$A:$D,4,0),"學習周邊")</f>
        <v>0</v>
      </c>
      <c r="C821"/>
      <c r="E821"/>
    </row>
    <row r="822" spans="1:5">
      <c r="A822">
        <f>IFERROR(VLOOKUP(B822,[1]銷貨單品號主檔!$A:$D,4,0),"學習周邊")</f>
        <v>0</v>
      </c>
      <c r="C822"/>
      <c r="E822"/>
    </row>
    <row r="823" spans="1:5">
      <c r="A823">
        <f>IFERROR(VLOOKUP(B823,[1]銷貨單品號主檔!$A:$D,4,0),"學習周邊")</f>
        <v>0</v>
      </c>
      <c r="C823"/>
      <c r="E823"/>
    </row>
    <row r="824" spans="1:5">
      <c r="A824">
        <f>IFERROR(VLOOKUP(B824,[1]銷貨單品號主檔!$A:$D,4,0),"學習周邊")</f>
        <v>0</v>
      </c>
      <c r="C824"/>
      <c r="E824"/>
    </row>
    <row r="825" spans="1:5">
      <c r="A825">
        <f>IFERROR(VLOOKUP(B825,[1]銷貨單品號主檔!$A:$D,4,0),"學習周邊")</f>
        <v>0</v>
      </c>
      <c r="C825"/>
      <c r="E825"/>
    </row>
    <row r="826" spans="1:5">
      <c r="A826">
        <f>IFERROR(VLOOKUP(B826,[1]銷貨單品號主檔!$A:$D,4,0),"學習周邊")</f>
        <v>0</v>
      </c>
      <c r="C826"/>
      <c r="E826"/>
    </row>
    <row r="827" spans="1:5">
      <c r="A827">
        <f>IFERROR(VLOOKUP(B827,[1]銷貨單品號主檔!$A:$D,4,0),"學習周邊")</f>
        <v>0</v>
      </c>
      <c r="C827"/>
      <c r="E827"/>
    </row>
    <row r="828" spans="1:5">
      <c r="A828">
        <f>IFERROR(VLOOKUP(B828,[1]銷貨單品號主檔!$A:$D,4,0),"學習周邊")</f>
        <v>0</v>
      </c>
      <c r="C828"/>
      <c r="E828"/>
    </row>
    <row r="829" spans="1:5">
      <c r="A829">
        <f>IFERROR(VLOOKUP(B829,[1]銷貨單品號主檔!$A:$D,4,0),"學習周邊")</f>
        <v>0</v>
      </c>
      <c r="C829"/>
      <c r="E829"/>
    </row>
    <row r="830" spans="1:5">
      <c r="A830">
        <f>IFERROR(VLOOKUP(B830,[1]銷貨單品號主檔!$A:$D,4,0),"學習周邊")</f>
        <v>0</v>
      </c>
      <c r="C830"/>
      <c r="E830"/>
    </row>
    <row r="831" spans="1:5">
      <c r="A831">
        <f>IFERROR(VLOOKUP(B831,[1]銷貨單品號主檔!$A:$D,4,0),"學習周邊")</f>
        <v>0</v>
      </c>
      <c r="C831"/>
      <c r="E831"/>
    </row>
    <row r="832" spans="1:5">
      <c r="A832">
        <f>IFERROR(VLOOKUP(B832,[1]銷貨單品號主檔!$A:$D,4,0),"學習周邊")</f>
        <v>0</v>
      </c>
      <c r="C832"/>
      <c r="E832"/>
    </row>
    <row r="833" spans="1:5">
      <c r="A833">
        <f>IFERROR(VLOOKUP(B833,[1]銷貨單品號主檔!$A:$D,4,0),"學習周邊")</f>
        <v>0</v>
      </c>
      <c r="C833"/>
      <c r="E833"/>
    </row>
    <row r="834" spans="1:5">
      <c r="A834">
        <f>IFERROR(VLOOKUP(B834,[1]銷貨單品號主檔!$A:$D,4,0),"學習周邊")</f>
        <v>0</v>
      </c>
      <c r="C834"/>
      <c r="E834"/>
    </row>
    <row r="835" spans="1:5">
      <c r="A835">
        <f>IFERROR(VLOOKUP(B835,[1]銷貨單品號主檔!$A:$D,4,0),"學習周邊")</f>
        <v>0</v>
      </c>
      <c r="C835"/>
      <c r="E835"/>
    </row>
    <row r="836" spans="1:5">
      <c r="A836">
        <f>IFERROR(VLOOKUP(B836,[1]銷貨單品號主檔!$A:$D,4,0),"學習周邊")</f>
        <v>0</v>
      </c>
      <c r="C836"/>
      <c r="E836"/>
    </row>
    <row r="837" spans="1:5">
      <c r="A837">
        <f>IFERROR(VLOOKUP(B837,[1]銷貨單品號主檔!$A:$D,4,0),"學習周邊")</f>
        <v>0</v>
      </c>
      <c r="C837"/>
      <c r="E837"/>
    </row>
    <row r="838" spans="1:5">
      <c r="A838">
        <f>IFERROR(VLOOKUP(B838,[1]銷貨單品號主檔!$A:$D,4,0),"學習周邊")</f>
        <v>0</v>
      </c>
      <c r="C838"/>
      <c r="E838"/>
    </row>
    <row r="839" spans="1:5">
      <c r="A839">
        <f>IFERROR(VLOOKUP(B839,[1]銷貨單品號主檔!$A:$D,4,0),"學習周邊")</f>
        <v>0</v>
      </c>
      <c r="C839"/>
      <c r="E839"/>
    </row>
    <row r="840" spans="1:5">
      <c r="A840">
        <f>IFERROR(VLOOKUP(B840,[1]銷貨單品號主檔!$A:$D,4,0),"學習周邊")</f>
        <v>0</v>
      </c>
      <c r="C840"/>
      <c r="E840"/>
    </row>
    <row r="841" spans="1:5">
      <c r="A841">
        <f>IFERROR(VLOOKUP(B841,[1]銷貨單品號主檔!$A:$D,4,0),"學習周邊")</f>
        <v>0</v>
      </c>
      <c r="C841"/>
      <c r="E841"/>
    </row>
    <row r="842" spans="1:5">
      <c r="A842">
        <f>IFERROR(VLOOKUP(B842,[1]銷貨單品號主檔!$A:$D,4,0),"學習周邊")</f>
        <v>0</v>
      </c>
      <c r="C842"/>
      <c r="E842"/>
    </row>
    <row r="843" spans="1:5">
      <c r="A843">
        <f>IFERROR(VLOOKUP(B843,[1]銷貨單品號主檔!$A:$D,4,0),"學習周邊")</f>
        <v>0</v>
      </c>
      <c r="C843"/>
      <c r="E843"/>
    </row>
    <row r="844" spans="1:5">
      <c r="A844">
        <f>IFERROR(VLOOKUP(B844,[1]銷貨單品號主檔!$A:$D,4,0),"學習周邊")</f>
        <v>0</v>
      </c>
      <c r="C844"/>
      <c r="E844"/>
    </row>
    <row r="845" spans="1:5">
      <c r="A845">
        <f>IFERROR(VLOOKUP(B845,[1]銷貨單品號主檔!$A:$D,4,0),"學習周邊")</f>
        <v>0</v>
      </c>
      <c r="C845"/>
      <c r="E845"/>
    </row>
    <row r="846" spans="1:5">
      <c r="A846">
        <f>IFERROR(VLOOKUP(B846,[1]銷貨單品號主檔!$A:$D,4,0),"學習周邊")</f>
        <v>0</v>
      </c>
      <c r="C846"/>
      <c r="E846"/>
    </row>
    <row r="847" spans="1:5">
      <c r="A847">
        <f>IFERROR(VLOOKUP(B847,[1]銷貨單品號主檔!$A:$D,4,0),"學習周邊")</f>
        <v>0</v>
      </c>
      <c r="C847"/>
      <c r="E847"/>
    </row>
    <row r="848" spans="1:5">
      <c r="A848">
        <f>IFERROR(VLOOKUP(B848,[1]銷貨單品號主檔!$A:$D,4,0),"學習周邊")</f>
        <v>0</v>
      </c>
      <c r="C848"/>
      <c r="E848"/>
    </row>
    <row r="849" spans="1:5">
      <c r="A849">
        <f>IFERROR(VLOOKUP(B849,[1]銷貨單品號主檔!$A:$D,4,0),"學習周邊")</f>
        <v>0</v>
      </c>
      <c r="C849"/>
      <c r="E849"/>
    </row>
    <row r="850" spans="1:5">
      <c r="A850">
        <f>IFERROR(VLOOKUP(B850,[1]銷貨單品號主檔!$A:$D,4,0),"學習周邊")</f>
        <v>0</v>
      </c>
      <c r="C850"/>
      <c r="E850"/>
    </row>
    <row r="851" spans="1:5">
      <c r="A851">
        <f>IFERROR(VLOOKUP(B851,[1]銷貨單品號主檔!$A:$D,4,0),"學習周邊")</f>
        <v>0</v>
      </c>
      <c r="C851"/>
      <c r="E851"/>
    </row>
    <row r="852" spans="1:5">
      <c r="A852">
        <f>IFERROR(VLOOKUP(B852,[1]銷貨單品號主檔!$A:$D,4,0),"學習周邊")</f>
        <v>0</v>
      </c>
      <c r="C852"/>
      <c r="E852"/>
    </row>
    <row r="853" spans="1:5">
      <c r="A853">
        <f>IFERROR(VLOOKUP(B853,[1]銷貨單品號主檔!$A:$D,4,0),"學習周邊")</f>
        <v>0</v>
      </c>
      <c r="C853"/>
      <c r="E853"/>
    </row>
    <row r="854" spans="1:5">
      <c r="A854">
        <f>IFERROR(VLOOKUP(B854,[1]銷貨單品號主檔!$A:$D,4,0),"學習周邊")</f>
        <v>0</v>
      </c>
      <c r="C854"/>
      <c r="E854"/>
    </row>
    <row r="855" spans="1:5">
      <c r="A855">
        <f>IFERROR(VLOOKUP(B855,[1]銷貨單品號主檔!$A:$D,4,0),"學習周邊")</f>
        <v>0</v>
      </c>
      <c r="C855"/>
      <c r="E855"/>
    </row>
    <row r="856" spans="1:5">
      <c r="A856">
        <f>IFERROR(VLOOKUP(B856,[1]銷貨單品號主檔!$A:$D,4,0),"學習周邊")</f>
        <v>0</v>
      </c>
      <c r="C856"/>
      <c r="E856"/>
    </row>
    <row r="857" spans="1:5">
      <c r="A857">
        <f>IFERROR(VLOOKUP(B857,[1]銷貨單品號主檔!$A:$D,4,0),"學習周邊")</f>
        <v>0</v>
      </c>
      <c r="C857"/>
      <c r="E857"/>
    </row>
    <row r="858" spans="1:5">
      <c r="A858">
        <f>IFERROR(VLOOKUP(B858,[1]銷貨單品號主檔!$A:$D,4,0),"學習周邊")</f>
        <v>0</v>
      </c>
      <c r="C858"/>
      <c r="E858"/>
    </row>
    <row r="859" spans="1:5">
      <c r="A859">
        <f>IFERROR(VLOOKUP(B859,[1]銷貨單品號主檔!$A:$D,4,0),"學習周邊")</f>
        <v>0</v>
      </c>
      <c r="C859"/>
      <c r="E859"/>
    </row>
    <row r="860" spans="1:5">
      <c r="A860">
        <f>IFERROR(VLOOKUP(B860,[1]銷貨單品號主檔!$A:$D,4,0),"學習周邊")</f>
        <v>0</v>
      </c>
      <c r="C860"/>
      <c r="E860"/>
    </row>
    <row r="861" spans="1:5">
      <c r="A861">
        <f>IFERROR(VLOOKUP(B861,[1]銷貨單品號主檔!$A:$D,4,0),"學習周邊")</f>
        <v>0</v>
      </c>
      <c r="C861"/>
      <c r="E861"/>
    </row>
    <row r="862" spans="1:5">
      <c r="A862">
        <f>IFERROR(VLOOKUP(B862,[1]銷貨單品號主檔!$A:$D,4,0),"學習周邊")</f>
        <v>0</v>
      </c>
      <c r="C862"/>
      <c r="E862"/>
    </row>
    <row r="863" spans="1:5">
      <c r="A863">
        <f>IFERROR(VLOOKUP(B863,[1]銷貨單品號主檔!$A:$D,4,0),"學習周邊")</f>
        <v>0</v>
      </c>
      <c r="C863"/>
      <c r="E863"/>
    </row>
    <row r="864" spans="1:5">
      <c r="A864">
        <f>IFERROR(VLOOKUP(B864,[1]銷貨單品號主檔!$A:$D,4,0),"學習周邊")</f>
        <v>0</v>
      </c>
      <c r="C864"/>
      <c r="E864"/>
    </row>
    <row r="865" spans="1:5">
      <c r="A865">
        <f>IFERROR(VLOOKUP(B865,[1]銷貨單品號主檔!$A:$D,4,0),"學習周邊")</f>
        <v>0</v>
      </c>
      <c r="C865"/>
      <c r="E865"/>
    </row>
    <row r="866" spans="1:5">
      <c r="A866">
        <f>IFERROR(VLOOKUP(B866,[1]銷貨單品號主檔!$A:$D,4,0),"學習周邊")</f>
        <v>0</v>
      </c>
      <c r="C866"/>
      <c r="E866"/>
    </row>
    <row r="867" spans="1:5">
      <c r="A867">
        <f>IFERROR(VLOOKUP(B867,[1]銷貨單品號主檔!$A:$D,4,0),"學習周邊")</f>
        <v>0</v>
      </c>
      <c r="C867"/>
      <c r="E867"/>
    </row>
    <row r="868" spans="1:5">
      <c r="A868">
        <f>IFERROR(VLOOKUP(B868,[1]銷貨單品號主檔!$A:$D,4,0),"學習周邊")</f>
        <v>0</v>
      </c>
      <c r="C868"/>
      <c r="E868"/>
    </row>
    <row r="869" spans="1:5">
      <c r="A869">
        <f>IFERROR(VLOOKUP(B869,[1]銷貨單品號主檔!$A:$D,4,0),"學習周邊")</f>
        <v>0</v>
      </c>
      <c r="C869"/>
      <c r="E869"/>
    </row>
    <row r="870" spans="1:5">
      <c r="A870">
        <f>IFERROR(VLOOKUP(B870,[1]銷貨單品號主檔!$A:$D,4,0),"學習周邊")</f>
        <v>0</v>
      </c>
      <c r="C870"/>
      <c r="E870"/>
    </row>
    <row r="871" spans="1:5">
      <c r="A871">
        <f>IFERROR(VLOOKUP(B871,[1]銷貨單品號主檔!$A:$D,4,0),"學習周邊")</f>
        <v>0</v>
      </c>
      <c r="C871"/>
      <c r="E871"/>
    </row>
    <row r="872" spans="1:5">
      <c r="A872">
        <f>IFERROR(VLOOKUP(B872,[1]銷貨單品號主檔!$A:$D,4,0),"學習周邊")</f>
        <v>0</v>
      </c>
      <c r="C872"/>
      <c r="E872"/>
    </row>
    <row r="873" spans="1:5">
      <c r="A873">
        <f>IFERROR(VLOOKUP(B873,[1]銷貨單品號主檔!$A:$D,4,0),"學習周邊")</f>
        <v>0</v>
      </c>
      <c r="C873"/>
      <c r="E873"/>
    </row>
    <row r="874" spans="1:5">
      <c r="A874">
        <f>IFERROR(VLOOKUP(B874,[1]銷貨單品號主檔!$A:$D,4,0),"學習周邊")</f>
        <v>0</v>
      </c>
      <c r="C874"/>
      <c r="E874"/>
    </row>
    <row r="875" spans="1:5">
      <c r="A875">
        <f>IFERROR(VLOOKUP(B875,[1]銷貨單品號主檔!$A:$D,4,0),"學習周邊")</f>
        <v>0</v>
      </c>
      <c r="C875"/>
      <c r="E875"/>
    </row>
    <row r="876" spans="1:5">
      <c r="A876">
        <f>IFERROR(VLOOKUP(B876,[1]銷貨單品號主檔!$A:$D,4,0),"學習周邊")</f>
        <v>0</v>
      </c>
      <c r="C876"/>
      <c r="E876"/>
    </row>
    <row r="877" spans="1:5">
      <c r="A877">
        <f>IFERROR(VLOOKUP(B877,[1]銷貨單品號主檔!$A:$D,4,0),"學習周邊")</f>
        <v>0</v>
      </c>
      <c r="C877"/>
      <c r="E877"/>
    </row>
    <row r="878" spans="1:5">
      <c r="A878">
        <f>IFERROR(VLOOKUP(B878,[1]銷貨單品號主檔!$A:$D,4,0),"學習周邊")</f>
        <v>0</v>
      </c>
      <c r="C878"/>
      <c r="E878"/>
    </row>
    <row r="879" spans="1:5">
      <c r="A879">
        <f>IFERROR(VLOOKUP(B879,[1]銷貨單品號主檔!$A:$D,4,0),"學習周邊")</f>
        <v>0</v>
      </c>
      <c r="C879"/>
      <c r="E879"/>
    </row>
    <row r="880" spans="1:5">
      <c r="A880">
        <f>IFERROR(VLOOKUP(B880,[1]銷貨單品號主檔!$A:$D,4,0),"學習周邊")</f>
        <v>0</v>
      </c>
      <c r="C880"/>
      <c r="E880"/>
    </row>
    <row r="881" spans="1:5">
      <c r="A881">
        <f>IFERROR(VLOOKUP(B881,[1]銷貨單品號主檔!$A:$D,4,0),"學習周邊")</f>
        <v>0</v>
      </c>
      <c r="C881"/>
      <c r="E881"/>
    </row>
    <row r="882" spans="1:5">
      <c r="A882">
        <f>IFERROR(VLOOKUP(B882,[1]銷貨單品號主檔!$A:$D,4,0),"學習周邊")</f>
        <v>0</v>
      </c>
      <c r="C882"/>
      <c r="E882"/>
    </row>
    <row r="883" spans="1:5">
      <c r="A883">
        <f>IFERROR(VLOOKUP(B883,[1]銷貨單品號主檔!$A:$D,4,0),"學習周邊")</f>
        <v>0</v>
      </c>
      <c r="C883"/>
      <c r="E883"/>
    </row>
    <row r="884" spans="1:5">
      <c r="A884">
        <f>IFERROR(VLOOKUP(B884,[1]銷貨單品號主檔!$A:$D,4,0),"學習周邊")</f>
        <v>0</v>
      </c>
      <c r="C884"/>
      <c r="E884"/>
    </row>
    <row r="885" spans="1:5">
      <c r="A885">
        <f>IFERROR(VLOOKUP(B885,[1]銷貨單品號主檔!$A:$D,4,0),"學習周邊")</f>
        <v>0</v>
      </c>
      <c r="C885"/>
      <c r="E885"/>
    </row>
    <row r="886" spans="1:5">
      <c r="A886">
        <f>IFERROR(VLOOKUP(B886,[1]銷貨單品號主檔!$A:$D,4,0),"學習周邊")</f>
        <v>0</v>
      </c>
      <c r="C886"/>
      <c r="E886"/>
    </row>
    <row r="887" spans="1:5">
      <c r="A887">
        <f>IFERROR(VLOOKUP(B887,[1]銷貨單品號主檔!$A:$D,4,0),"學習周邊")</f>
        <v>0</v>
      </c>
      <c r="C887"/>
      <c r="E887"/>
    </row>
    <row r="888" spans="1:5">
      <c r="A888">
        <f>IFERROR(VLOOKUP(B888,[1]銷貨單品號主檔!$A:$D,4,0),"學習周邊")</f>
        <v>0</v>
      </c>
      <c r="C888"/>
      <c r="E888"/>
    </row>
    <row r="889" spans="1:5">
      <c r="A889">
        <f>IFERROR(VLOOKUP(B889,[1]銷貨單品號主檔!$A:$D,4,0),"學習周邊")</f>
        <v>0</v>
      </c>
      <c r="C889"/>
      <c r="E889"/>
    </row>
    <row r="890" spans="1:5">
      <c r="A890">
        <f>IFERROR(VLOOKUP(B890,[1]銷貨單品號主檔!$A:$D,4,0),"學習周邊")</f>
        <v>0</v>
      </c>
      <c r="C890"/>
      <c r="E890"/>
    </row>
    <row r="891" spans="1:5">
      <c r="A891">
        <f>IFERROR(VLOOKUP(B891,[1]銷貨單品號主檔!$A:$D,4,0),"學習周邊")</f>
        <v>0</v>
      </c>
      <c r="C891"/>
      <c r="E891"/>
    </row>
    <row r="892" spans="1:5">
      <c r="A892">
        <f>IFERROR(VLOOKUP(B892,[1]銷貨單品號主檔!$A:$D,4,0),"學習周邊")</f>
        <v>0</v>
      </c>
      <c r="C892"/>
      <c r="E892"/>
    </row>
    <row r="893" spans="1:5">
      <c r="A893">
        <f>IFERROR(VLOOKUP(B893,[1]銷貨單品號主檔!$A:$D,4,0),"學習周邊")</f>
        <v>0</v>
      </c>
      <c r="C893"/>
      <c r="E893"/>
    </row>
    <row r="894" spans="1:5">
      <c r="A894">
        <f>IFERROR(VLOOKUP(B894,[1]銷貨單品號主檔!$A:$D,4,0),"學習周邊")</f>
        <v>0</v>
      </c>
      <c r="C894"/>
      <c r="E894"/>
    </row>
    <row r="895" spans="1:5">
      <c r="A895">
        <f>IFERROR(VLOOKUP(B895,[1]銷貨單品號主檔!$A:$D,4,0),"學習周邊")</f>
        <v>0</v>
      </c>
      <c r="C895"/>
      <c r="E895"/>
    </row>
    <row r="896" spans="1:5">
      <c r="A896">
        <f>IFERROR(VLOOKUP(B896,[1]銷貨單品號主檔!$A:$D,4,0),"學習周邊")</f>
        <v>0</v>
      </c>
      <c r="C896"/>
      <c r="E896"/>
    </row>
    <row r="897" spans="1:5">
      <c r="A897">
        <f>IFERROR(VLOOKUP(B897,[1]銷貨單品號主檔!$A:$D,4,0),"學習周邊")</f>
        <v>0</v>
      </c>
      <c r="C897"/>
      <c r="E897"/>
    </row>
    <row r="898" spans="1:5">
      <c r="A898">
        <f>IFERROR(VLOOKUP(B898,[1]銷貨單品號主檔!$A:$D,4,0),"學習周邊")</f>
        <v>0</v>
      </c>
      <c r="C898"/>
      <c r="E898"/>
    </row>
    <row r="899" spans="1:5">
      <c r="A899">
        <f>IFERROR(VLOOKUP(B899,[1]銷貨單品號主檔!$A:$D,4,0),"學習周邊")</f>
        <v>0</v>
      </c>
      <c r="C899"/>
      <c r="E899"/>
    </row>
    <row r="900" spans="1:5">
      <c r="A900">
        <f>IFERROR(VLOOKUP(B900,[1]銷貨單品號主檔!$A:$D,4,0),"學習周邊")</f>
        <v>0</v>
      </c>
      <c r="C900"/>
      <c r="E900"/>
    </row>
    <row r="901" spans="1:5">
      <c r="A901">
        <f>IFERROR(VLOOKUP(B901,[1]銷貨單品號主檔!$A:$D,4,0),"學習周邊")</f>
        <v>0</v>
      </c>
      <c r="C901"/>
      <c r="E901"/>
    </row>
    <row r="902" spans="1:5">
      <c r="A902">
        <f>IFERROR(VLOOKUP(B902,[1]銷貨單品號主檔!$A:$D,4,0),"學習周邊")</f>
        <v>0</v>
      </c>
      <c r="C902"/>
      <c r="E902"/>
    </row>
    <row r="903" spans="1:5">
      <c r="A903">
        <f>IFERROR(VLOOKUP(B903,[1]銷貨單品號主檔!$A:$D,4,0),"學習周邊")</f>
        <v>0</v>
      </c>
      <c r="C903"/>
      <c r="E903"/>
    </row>
    <row r="904" spans="1:5">
      <c r="A904">
        <f>IFERROR(VLOOKUP(B904,[1]銷貨單品號主檔!$A:$D,4,0),"學習周邊")</f>
        <v>0</v>
      </c>
      <c r="C904"/>
      <c r="E904"/>
    </row>
    <row r="905" spans="1:5">
      <c r="A905">
        <f>IFERROR(VLOOKUP(B905,[1]銷貨單品號主檔!$A:$D,4,0),"學習周邊")</f>
        <v>0</v>
      </c>
      <c r="C905"/>
      <c r="E905"/>
    </row>
    <row r="906" spans="1:5">
      <c r="A906">
        <f>IFERROR(VLOOKUP(B906,[1]銷貨單品號主檔!$A:$D,4,0),"學習周邊")</f>
        <v>0</v>
      </c>
      <c r="C906"/>
      <c r="E906"/>
    </row>
    <row r="907" spans="1:5">
      <c r="A907">
        <f>IFERROR(VLOOKUP(B907,[1]銷貨單品號主檔!$A:$D,4,0),"學習周邊")</f>
        <v>0</v>
      </c>
      <c r="C907"/>
      <c r="E907"/>
    </row>
    <row r="908" spans="1:5">
      <c r="A908">
        <f>IFERROR(VLOOKUP(B908,[1]銷貨單品號主檔!$A:$D,4,0),"學習周邊")</f>
        <v>0</v>
      </c>
      <c r="C908"/>
      <c r="E908"/>
    </row>
    <row r="909" spans="1:5">
      <c r="A909">
        <f>IFERROR(VLOOKUP(B909,[1]銷貨單品號主檔!$A:$D,4,0),"學習周邊")</f>
        <v>0</v>
      </c>
      <c r="C909"/>
      <c r="E909"/>
    </row>
    <row r="910" spans="1:5">
      <c r="A910">
        <f>IFERROR(VLOOKUP(B910,[1]銷貨單品號主檔!$A:$D,4,0),"學習周邊")</f>
        <v>0</v>
      </c>
      <c r="C910"/>
      <c r="E910"/>
    </row>
    <row r="911" spans="1:5">
      <c r="A911">
        <f>IFERROR(VLOOKUP(B911,[1]銷貨單品號主檔!$A:$D,4,0),"學習周邊")</f>
        <v>0</v>
      </c>
      <c r="C911"/>
      <c r="E911"/>
    </row>
    <row r="912" spans="1:5">
      <c r="A912">
        <f>IFERROR(VLOOKUP(B912,[1]銷貨單品號主檔!$A:$D,4,0),"學習周邊")</f>
        <v>0</v>
      </c>
      <c r="C912"/>
      <c r="E912"/>
    </row>
    <row r="913" spans="1:5">
      <c r="A913">
        <f>IFERROR(VLOOKUP(B913,[1]銷貨單品號主檔!$A:$D,4,0),"學習周邊")</f>
        <v>0</v>
      </c>
      <c r="C913"/>
      <c r="E913"/>
    </row>
    <row r="914" spans="1:5">
      <c r="A914">
        <f>IFERROR(VLOOKUP(B914,[1]銷貨單品號主檔!$A:$D,4,0),"學習周邊")</f>
        <v>0</v>
      </c>
      <c r="C914"/>
      <c r="E914"/>
    </row>
    <row r="915" spans="1:5">
      <c r="A915">
        <f>IFERROR(VLOOKUP(B915,[1]銷貨單品號主檔!$A:$D,4,0),"學習周邊")</f>
        <v>0</v>
      </c>
      <c r="C915"/>
      <c r="E915"/>
    </row>
    <row r="916" spans="1:5">
      <c r="A916">
        <f>IFERROR(VLOOKUP(B916,[1]銷貨單品號主檔!$A:$D,4,0),"學習周邊")</f>
        <v>0</v>
      </c>
      <c r="C916"/>
      <c r="E916"/>
    </row>
    <row r="917" spans="1:5">
      <c r="A917">
        <f>IFERROR(VLOOKUP(B917,[1]銷貨單品號主檔!$A:$D,4,0),"學習周邊")</f>
        <v>0</v>
      </c>
      <c r="C917"/>
      <c r="E917"/>
    </row>
    <row r="918" spans="1:5">
      <c r="A918">
        <f>IFERROR(VLOOKUP(B918,[1]銷貨單品號主檔!$A:$D,4,0),"學習周邊")</f>
        <v>0</v>
      </c>
      <c r="C918"/>
      <c r="E918"/>
    </row>
    <row r="919" spans="1:5">
      <c r="A919">
        <f>IFERROR(VLOOKUP(B919,[1]銷貨單品號主檔!$A:$D,4,0),"學習周邊")</f>
        <v>0</v>
      </c>
      <c r="C919"/>
      <c r="E919"/>
    </row>
    <row r="920" spans="1:5">
      <c r="A920">
        <f>IFERROR(VLOOKUP(B920,[1]銷貨單品號主檔!$A:$D,4,0),"學習周邊")</f>
        <v>0</v>
      </c>
      <c r="C920"/>
      <c r="E920"/>
    </row>
    <row r="921" spans="1:5">
      <c r="A921">
        <f>IFERROR(VLOOKUP(B921,[1]銷貨單品號主檔!$A:$D,4,0),"學習周邊")</f>
        <v>0</v>
      </c>
      <c r="C921"/>
      <c r="E921"/>
    </row>
    <row r="922" spans="1:5">
      <c r="A922">
        <f>IFERROR(VLOOKUP(B922,[1]銷貨單品號主檔!$A:$D,4,0),"學習周邊")</f>
        <v>0</v>
      </c>
      <c r="C922"/>
      <c r="E922"/>
    </row>
    <row r="923" spans="1:5">
      <c r="A923">
        <f>IFERROR(VLOOKUP(B923,[1]銷貨單品號主檔!$A:$D,4,0),"學習周邊")</f>
        <v>0</v>
      </c>
      <c r="C923"/>
      <c r="E923"/>
    </row>
    <row r="924" spans="1:5">
      <c r="A924">
        <f>IFERROR(VLOOKUP(B924,[1]銷貨單品號主檔!$A:$D,4,0),"學習周邊")</f>
        <v>0</v>
      </c>
      <c r="C924"/>
      <c r="E924"/>
    </row>
    <row r="925" spans="1:5">
      <c r="A925">
        <f>IFERROR(VLOOKUP(B925,[1]銷貨單品號主檔!$A:$D,4,0),"學習周邊")</f>
        <v>0</v>
      </c>
      <c r="C925"/>
      <c r="E925"/>
    </row>
    <row r="926" spans="1:5">
      <c r="A926">
        <f>IFERROR(VLOOKUP(B926,[1]銷貨單品號主檔!$A:$D,4,0),"學習周邊")</f>
        <v>0</v>
      </c>
      <c r="C926"/>
      <c r="E926"/>
    </row>
    <row r="927" spans="1:5">
      <c r="A927">
        <f>IFERROR(VLOOKUP(B927,[1]銷貨單品號主檔!$A:$D,4,0),"學習周邊")</f>
        <v>0</v>
      </c>
      <c r="C927"/>
      <c r="E927"/>
    </row>
    <row r="928" spans="1:5">
      <c r="A928">
        <f>IFERROR(VLOOKUP(B928,[1]銷貨單品號主檔!$A:$D,4,0),"學習周邊")</f>
        <v>0</v>
      </c>
      <c r="C928"/>
      <c r="E928"/>
    </row>
    <row r="929" spans="1:5">
      <c r="A929">
        <f>IFERROR(VLOOKUP(B929,[1]銷貨單品號主檔!$A:$D,4,0),"學習周邊")</f>
        <v>0</v>
      </c>
      <c r="C929"/>
      <c r="E929"/>
    </row>
    <row r="930" spans="1:5">
      <c r="A930">
        <f>IFERROR(VLOOKUP(B930,[1]銷貨單品號主檔!$A:$D,4,0),"學習周邊")</f>
        <v>0</v>
      </c>
      <c r="C930"/>
      <c r="E930"/>
    </row>
    <row r="931" spans="1:5">
      <c r="A931">
        <f>IFERROR(VLOOKUP(B931,[1]銷貨單品號主檔!$A:$D,4,0),"學習周邊")</f>
        <v>0</v>
      </c>
      <c r="C931"/>
      <c r="E931"/>
    </row>
    <row r="932" spans="1:5">
      <c r="A932">
        <f>IFERROR(VLOOKUP(B932,[1]銷貨單品號主檔!$A:$D,4,0),"學習周邊")</f>
        <v>0</v>
      </c>
      <c r="C932"/>
      <c r="E932"/>
    </row>
    <row r="933" spans="1:5">
      <c r="A933">
        <f>IFERROR(VLOOKUP(B933,[1]銷貨單品號主檔!$A:$D,4,0),"學習周邊")</f>
        <v>0</v>
      </c>
      <c r="C933"/>
      <c r="E933"/>
    </row>
    <row r="934" spans="1:5">
      <c r="A934">
        <f>IFERROR(VLOOKUP(B934,[1]銷貨單品號主檔!$A:$D,4,0),"學習周邊")</f>
        <v>0</v>
      </c>
      <c r="C934"/>
      <c r="E934"/>
    </row>
    <row r="935" spans="1:5">
      <c r="A935">
        <f>IFERROR(VLOOKUP(B935,[1]銷貨單品號主檔!$A:$D,4,0),"學習周邊")</f>
        <v>0</v>
      </c>
      <c r="C935"/>
      <c r="E935"/>
    </row>
    <row r="936" spans="1:5">
      <c r="A936">
        <f>IFERROR(VLOOKUP(B936,[1]銷貨單品號主檔!$A:$D,4,0),"學習周邊")</f>
        <v>0</v>
      </c>
      <c r="C936"/>
      <c r="E936"/>
    </row>
    <row r="937" spans="1:5">
      <c r="A937">
        <f>IFERROR(VLOOKUP(B937,[1]銷貨單品號主檔!$A:$D,4,0),"學習周邊")</f>
        <v>0</v>
      </c>
      <c r="C937"/>
      <c r="E937"/>
    </row>
    <row r="938" spans="1:5">
      <c r="A938">
        <f>IFERROR(VLOOKUP(B938,[1]銷貨單品號主檔!$A:$D,4,0),"學習周邊")</f>
        <v>0</v>
      </c>
      <c r="C938"/>
      <c r="E938"/>
    </row>
    <row r="939" spans="1:5">
      <c r="A939">
        <f>IFERROR(VLOOKUP(B939,[1]銷貨單品號主檔!$A:$D,4,0),"學習周邊")</f>
        <v>0</v>
      </c>
      <c r="C939"/>
      <c r="E939"/>
    </row>
    <row r="940" spans="1:5">
      <c r="A940">
        <f>IFERROR(VLOOKUP(B940,[1]銷貨單品號主檔!$A:$D,4,0),"學習周邊")</f>
        <v>0</v>
      </c>
      <c r="C940"/>
      <c r="E940"/>
    </row>
    <row r="941" spans="1:5">
      <c r="A941">
        <f>IFERROR(VLOOKUP(B941,[1]銷貨單品號主檔!$A:$D,4,0),"學習周邊")</f>
        <v>0</v>
      </c>
      <c r="C941"/>
      <c r="E941"/>
    </row>
    <row r="942" spans="1:5">
      <c r="A942">
        <f>IFERROR(VLOOKUP(B942,[1]銷貨單品號主檔!$A:$D,4,0),"學習周邊")</f>
        <v>0</v>
      </c>
      <c r="C942"/>
      <c r="E942"/>
    </row>
    <row r="943" spans="1:5">
      <c r="A943">
        <f>IFERROR(VLOOKUP(B943,[1]銷貨單品號主檔!$A:$D,4,0),"學習周邊")</f>
        <v>0</v>
      </c>
      <c r="C943"/>
      <c r="E943"/>
    </row>
    <row r="944" spans="1:5">
      <c r="A944">
        <f>IFERROR(VLOOKUP(B944,[1]銷貨單品號主檔!$A:$D,4,0),"學習周邊")</f>
        <v>0</v>
      </c>
      <c r="C944"/>
      <c r="E944"/>
    </row>
    <row r="945" spans="1:5">
      <c r="A945">
        <f>IFERROR(VLOOKUP(B945,[1]銷貨單品號主檔!$A:$D,4,0),"學習周邊")</f>
        <v>0</v>
      </c>
      <c r="C945"/>
      <c r="E945"/>
    </row>
    <row r="946" spans="1:5">
      <c r="A946">
        <f>IFERROR(VLOOKUP(B946,[1]銷貨單品號主檔!$A:$D,4,0),"學習周邊")</f>
        <v>0</v>
      </c>
      <c r="C946"/>
      <c r="E946"/>
    </row>
    <row r="947" spans="1:5">
      <c r="A947">
        <f>IFERROR(VLOOKUP(B947,[1]銷貨單品號主檔!$A:$D,4,0),"學習周邊")</f>
        <v>0</v>
      </c>
      <c r="C947"/>
      <c r="E947"/>
    </row>
    <row r="948" spans="1:5">
      <c r="A948">
        <f>IFERROR(VLOOKUP(B948,[1]銷貨單品號主檔!$A:$D,4,0),"學習周邊")</f>
        <v>0</v>
      </c>
      <c r="C948"/>
      <c r="E948"/>
    </row>
    <row r="949" spans="1:5">
      <c r="A949">
        <f>IFERROR(VLOOKUP(B949,[1]銷貨單品號主檔!$A:$D,4,0),"學習周邊")</f>
        <v>0</v>
      </c>
      <c r="C949"/>
      <c r="E949"/>
    </row>
    <row r="950" spans="1:5">
      <c r="A950">
        <f>IFERROR(VLOOKUP(B950,[1]銷貨單品號主檔!$A:$D,4,0),"學習周邊")</f>
        <v>0</v>
      </c>
      <c r="C950"/>
      <c r="E950"/>
    </row>
    <row r="951" spans="1:5">
      <c r="A951">
        <f>IFERROR(VLOOKUP(B951,[1]銷貨單品號主檔!$A:$D,4,0),"學習周邊")</f>
        <v>0</v>
      </c>
      <c r="C951"/>
      <c r="E951"/>
    </row>
    <row r="952" spans="1:5">
      <c r="A952">
        <f>IFERROR(VLOOKUP(B952,[1]銷貨單品號主檔!$A:$D,4,0),"學習周邊")</f>
        <v>0</v>
      </c>
      <c r="C952"/>
      <c r="E952"/>
    </row>
    <row r="953" spans="1:5">
      <c r="A953">
        <f>IFERROR(VLOOKUP(B953,[1]銷貨單品號主檔!$A:$D,4,0),"學習周邊")</f>
        <v>0</v>
      </c>
      <c r="C953"/>
      <c r="E953"/>
    </row>
    <row r="954" spans="1:5">
      <c r="A954">
        <f>IFERROR(VLOOKUP(B954,[1]銷貨單品號主檔!$A:$D,4,0),"學習周邊")</f>
        <v>0</v>
      </c>
      <c r="C954"/>
      <c r="E954"/>
    </row>
    <row r="955" spans="1:5">
      <c r="A955">
        <f>IFERROR(VLOOKUP(B955,[1]銷貨單品號主檔!$A:$D,4,0),"學習周邊")</f>
        <v>0</v>
      </c>
      <c r="C955"/>
      <c r="E955"/>
    </row>
    <row r="956" spans="1:5">
      <c r="A956">
        <f>IFERROR(VLOOKUP(B956,[1]銷貨單品號主檔!$A:$D,4,0),"學習周邊")</f>
        <v>0</v>
      </c>
      <c r="C956"/>
      <c r="E956"/>
    </row>
    <row r="957" spans="1:5">
      <c r="A957">
        <f>IFERROR(VLOOKUP(B957,[1]銷貨單品號主檔!$A:$D,4,0),"學習周邊")</f>
        <v>0</v>
      </c>
      <c r="C957"/>
      <c r="E957"/>
    </row>
    <row r="958" spans="1:5">
      <c r="A958">
        <f>IFERROR(VLOOKUP(B958,[1]銷貨單品號主檔!$A:$D,4,0),"學習周邊")</f>
        <v>0</v>
      </c>
      <c r="C958"/>
      <c r="E958"/>
    </row>
    <row r="959" spans="1:5">
      <c r="A959">
        <f>IFERROR(VLOOKUP(B959,[1]銷貨單品號主檔!$A:$D,4,0),"學習周邊")</f>
        <v>0</v>
      </c>
      <c r="C959"/>
      <c r="E959"/>
    </row>
    <row r="960" spans="1:5">
      <c r="A960">
        <f>IFERROR(VLOOKUP(B960,[1]銷貨單品號主檔!$A:$D,4,0),"學習周邊")</f>
        <v>0</v>
      </c>
      <c r="C960"/>
      <c r="E960"/>
    </row>
    <row r="961" spans="1:5">
      <c r="A961">
        <f>IFERROR(VLOOKUP(B961,[1]銷貨單品號主檔!$A:$D,4,0),"學習周邊")</f>
        <v>0</v>
      </c>
      <c r="C961"/>
      <c r="E961"/>
    </row>
    <row r="962" spans="1:5">
      <c r="A962">
        <f>IFERROR(VLOOKUP(B962,[1]銷貨單品號主檔!$A:$D,4,0),"學習周邊")</f>
        <v>0</v>
      </c>
      <c r="C962"/>
      <c r="E962"/>
    </row>
    <row r="963" spans="1:5">
      <c r="A963">
        <f>IFERROR(VLOOKUP(B963,[1]銷貨單品號主檔!$A:$D,4,0),"學習周邊")</f>
        <v>0</v>
      </c>
      <c r="C963"/>
      <c r="E963"/>
    </row>
    <row r="964" spans="1:5">
      <c r="A964">
        <f>IFERROR(VLOOKUP(B964,[1]銷貨單品號主檔!$A:$D,4,0),"學習周邊")</f>
        <v>0</v>
      </c>
      <c r="C964"/>
      <c r="E964"/>
    </row>
    <row r="965" spans="1:5">
      <c r="A965">
        <f>IFERROR(VLOOKUP(B965,[1]銷貨單品號主檔!$A:$D,4,0),"學習周邊")</f>
        <v>0</v>
      </c>
      <c r="C965"/>
      <c r="E965"/>
    </row>
    <row r="966" spans="1:5">
      <c r="A966">
        <f>IFERROR(VLOOKUP(B966,[1]銷貨單品號主檔!$A:$D,4,0),"學習周邊")</f>
        <v>0</v>
      </c>
      <c r="C966"/>
      <c r="E966"/>
    </row>
    <row r="967" spans="1:5">
      <c r="A967">
        <f>IFERROR(VLOOKUP(B967,[1]銷貨單品號主檔!$A:$D,4,0),"學習周邊")</f>
        <v>0</v>
      </c>
      <c r="C967"/>
      <c r="E967"/>
    </row>
    <row r="968" spans="1:5">
      <c r="A968">
        <f>IFERROR(VLOOKUP(B968,[1]銷貨單品號主檔!$A:$D,4,0),"學習周邊")</f>
        <v>0</v>
      </c>
      <c r="C968"/>
      <c r="E968"/>
    </row>
    <row r="969" spans="1:5">
      <c r="A969">
        <f>IFERROR(VLOOKUP(B969,[1]銷貨單品號主檔!$A:$D,4,0),"學習周邊")</f>
        <v>0</v>
      </c>
      <c r="C969"/>
      <c r="E969"/>
    </row>
    <row r="970" spans="1:5">
      <c r="A970">
        <f>IFERROR(VLOOKUP(B970,[1]銷貨單品號主檔!$A:$D,4,0),"學習周邊")</f>
        <v>0</v>
      </c>
      <c r="C970"/>
      <c r="E970"/>
    </row>
    <row r="971" spans="1:5">
      <c r="A971">
        <f>IFERROR(VLOOKUP(B971,[1]銷貨單品號主檔!$A:$D,4,0),"學習周邊")</f>
        <v>0</v>
      </c>
      <c r="C971"/>
      <c r="E971"/>
    </row>
    <row r="972" spans="1:5">
      <c r="A972">
        <f>IFERROR(VLOOKUP(B972,[1]銷貨單品號主檔!$A:$D,4,0),"學習周邊")</f>
        <v>0</v>
      </c>
      <c r="C972"/>
      <c r="E972"/>
    </row>
    <row r="973" spans="1:5">
      <c r="A973">
        <f>IFERROR(VLOOKUP(B973,[1]銷貨單品號主檔!$A:$D,4,0),"學習周邊")</f>
        <v>0</v>
      </c>
      <c r="C973"/>
      <c r="E973"/>
    </row>
    <row r="974" spans="1:5">
      <c r="A974">
        <f>IFERROR(VLOOKUP(B974,[1]銷貨單品號主檔!$A:$D,4,0),"學習周邊")</f>
        <v>0</v>
      </c>
      <c r="C974"/>
      <c r="E974"/>
    </row>
    <row r="975" spans="1:5">
      <c r="A975">
        <f>IFERROR(VLOOKUP(B975,[1]銷貨單品號主檔!$A:$D,4,0),"學習周邊")</f>
        <v>0</v>
      </c>
      <c r="C975"/>
      <c r="E975"/>
    </row>
    <row r="976" spans="1:5">
      <c r="A976">
        <f>IFERROR(VLOOKUP(B976,[1]銷貨單品號主檔!$A:$D,4,0),"學習周邊")</f>
        <v>0</v>
      </c>
      <c r="C976"/>
      <c r="E976"/>
    </row>
    <row r="977" spans="1:5">
      <c r="A977">
        <f>IFERROR(VLOOKUP(B977,[1]銷貨單品號主檔!$A:$D,4,0),"學習周邊")</f>
        <v>0</v>
      </c>
      <c r="C977"/>
      <c r="E977"/>
    </row>
    <row r="978" spans="1:5">
      <c r="A978">
        <f>IFERROR(VLOOKUP(B978,[1]銷貨單品號主檔!$A:$D,4,0),"學習周邊")</f>
        <v>0</v>
      </c>
      <c r="C978"/>
      <c r="E978"/>
    </row>
    <row r="979" spans="1:5">
      <c r="A979">
        <f>IFERROR(VLOOKUP(B979,[1]銷貨單品號主檔!$A:$D,4,0),"學習周邊")</f>
        <v>0</v>
      </c>
      <c r="C979"/>
      <c r="E979"/>
    </row>
    <row r="980" spans="1:5">
      <c r="A980">
        <f>IFERROR(VLOOKUP(B980,[1]銷貨單品號主檔!$A:$D,4,0),"學習周邊")</f>
        <v>0</v>
      </c>
      <c r="C980"/>
      <c r="E980"/>
    </row>
    <row r="981" spans="1:5">
      <c r="A981">
        <f>IFERROR(VLOOKUP(B981,[1]銷貨單品號主檔!$A:$D,4,0),"學習周邊")</f>
        <v>0</v>
      </c>
      <c r="C981"/>
      <c r="E981"/>
    </row>
    <row r="982" spans="1:5">
      <c r="A982">
        <f>IFERROR(VLOOKUP(B982,[1]銷貨單品號主檔!$A:$D,4,0),"學習周邊")</f>
        <v>0</v>
      </c>
      <c r="C982"/>
      <c r="E982"/>
    </row>
    <row r="983" spans="1:5">
      <c r="A983">
        <f>IFERROR(VLOOKUP(B983,[1]銷貨單品號主檔!$A:$D,4,0),"學習周邊")</f>
        <v>0</v>
      </c>
      <c r="C983"/>
      <c r="E983"/>
    </row>
    <row r="984" spans="1:5">
      <c r="A984">
        <f>IFERROR(VLOOKUP(B984,[1]銷貨單品號主檔!$A:$D,4,0),"學習周邊")</f>
        <v>0</v>
      </c>
      <c r="C984"/>
      <c r="E984"/>
    </row>
    <row r="985" spans="1:5">
      <c r="A985">
        <f>IFERROR(VLOOKUP(B985,[1]銷貨單品號主檔!$A:$D,4,0),"學習周邊")</f>
        <v>0</v>
      </c>
      <c r="C985"/>
      <c r="E985"/>
    </row>
    <row r="986" spans="1:5">
      <c r="A986">
        <f>IFERROR(VLOOKUP(B986,[1]銷貨單品號主檔!$A:$D,4,0),"學習周邊")</f>
        <v>0</v>
      </c>
      <c r="C986"/>
      <c r="E986"/>
    </row>
    <row r="987" spans="1:5">
      <c r="A987">
        <f>IFERROR(VLOOKUP(B987,[1]銷貨單品號主檔!$A:$D,4,0),"學習周邊")</f>
        <v>0</v>
      </c>
      <c r="C987"/>
      <c r="E987"/>
    </row>
    <row r="988" spans="1:5">
      <c r="A988">
        <f>IFERROR(VLOOKUP(B988,[1]銷貨單品號主檔!$A:$D,4,0),"學習周邊")</f>
        <v>0</v>
      </c>
      <c r="C988"/>
      <c r="E988"/>
    </row>
    <row r="989" spans="1:5">
      <c r="A989">
        <f>IFERROR(VLOOKUP(B989,[1]銷貨單品號主檔!$A:$D,4,0),"學習周邊")</f>
        <v>0</v>
      </c>
      <c r="C989"/>
      <c r="E989"/>
    </row>
    <row r="990" spans="1:5">
      <c r="A990">
        <f>IFERROR(VLOOKUP(B990,[1]銷貨單品號主檔!$A:$D,4,0),"學習周邊")</f>
        <v>0</v>
      </c>
      <c r="C990"/>
      <c r="E990"/>
    </row>
    <row r="991" spans="1:5">
      <c r="A991">
        <f>IFERROR(VLOOKUP(B991,[1]銷貨單品號主檔!$A:$D,4,0),"學習周邊")</f>
        <v>0</v>
      </c>
      <c r="C991"/>
      <c r="E991"/>
    </row>
    <row r="992" spans="1:5">
      <c r="A992">
        <f>IFERROR(VLOOKUP(B992,[1]銷貨單品號主檔!$A:$D,4,0),"學習周邊")</f>
        <v>0</v>
      </c>
      <c r="C992"/>
      <c r="E992"/>
    </row>
    <row r="993" spans="1:5">
      <c r="A993">
        <f>IFERROR(VLOOKUP(B993,[1]銷貨單品號主檔!$A:$D,4,0),"學習周邊")</f>
        <v>0</v>
      </c>
      <c r="C993"/>
      <c r="E993"/>
    </row>
    <row r="994" spans="1:5">
      <c r="A994">
        <f>IFERROR(VLOOKUP(B994,[1]銷貨單品號主檔!$A:$D,4,0),"學習周邊")</f>
        <v>0</v>
      </c>
      <c r="C994"/>
      <c r="E994"/>
    </row>
    <row r="995" spans="1:5">
      <c r="A995">
        <f>IFERROR(VLOOKUP(B995,[1]銷貨單品號主檔!$A:$D,4,0),"學習周邊")</f>
        <v>0</v>
      </c>
      <c r="C995"/>
      <c r="E995"/>
    </row>
    <row r="996" spans="1:5">
      <c r="A996">
        <f>IFERROR(VLOOKUP(B996,[1]銷貨單品號主檔!$A:$D,4,0),"學習周邊")</f>
        <v>0</v>
      </c>
      <c r="C996"/>
      <c r="E996"/>
    </row>
    <row r="997" spans="1:5">
      <c r="A997">
        <f>IFERROR(VLOOKUP(B997,[1]銷貨單品號主檔!$A:$D,4,0),"學習周邊")</f>
        <v>0</v>
      </c>
      <c r="C997"/>
      <c r="E997"/>
    </row>
    <row r="998" spans="1:5">
      <c r="A998">
        <f>IFERROR(VLOOKUP(B998,[1]銷貨單品號主檔!$A:$D,4,0),"學習周邊")</f>
        <v>0</v>
      </c>
      <c r="C998"/>
      <c r="E998"/>
    </row>
    <row r="999" spans="1:5">
      <c r="A999">
        <f>IFERROR(VLOOKUP(B999,[1]銷貨單品號主檔!$A:$D,4,0),"學習周邊")</f>
        <v>0</v>
      </c>
      <c r="C999"/>
      <c r="E999"/>
    </row>
    <row r="1000" spans="1:5">
      <c r="A1000">
        <f>IFERROR(VLOOKUP(B1000,[1]銷貨單品號主檔!$A:$D,4,0),"學習周邊")</f>
        <v>0</v>
      </c>
      <c r="C1000"/>
      <c r="E1000"/>
    </row>
    <row r="1001" spans="1:5">
      <c r="A1001">
        <f>IFERROR(VLOOKUP(B1001,[1]銷貨單品號主檔!$A:$D,4,0),"學習周邊")</f>
        <v>0</v>
      </c>
      <c r="C1001"/>
      <c r="E1001"/>
    </row>
    <row r="1002" spans="1:5">
      <c r="A1002">
        <f>IFERROR(VLOOKUP(B1002,[1]銷貨單品號主檔!$A:$D,4,0),"學習周邊")</f>
        <v>0</v>
      </c>
      <c r="C1002"/>
      <c r="E1002"/>
    </row>
    <row r="1003" spans="1:5">
      <c r="A1003">
        <f>IFERROR(VLOOKUP(B1003,[1]銷貨單品號主檔!$A:$D,4,0),"學習周邊")</f>
        <v>0</v>
      </c>
      <c r="C1003"/>
      <c r="E1003"/>
    </row>
    <row r="1004" spans="1:5">
      <c r="A1004">
        <f>IFERROR(VLOOKUP(B1004,[1]銷貨單品號主檔!$A:$D,4,0),"學習周邊")</f>
        <v>0</v>
      </c>
      <c r="C1004"/>
      <c r="E1004"/>
    </row>
    <row r="1005" spans="1:5">
      <c r="A1005">
        <f>IFERROR(VLOOKUP(B1005,[1]銷貨單品號主檔!$A:$D,4,0),"學習周邊")</f>
        <v>0</v>
      </c>
      <c r="C1005"/>
      <c r="E1005"/>
    </row>
    <row r="1006" spans="1:5">
      <c r="A1006">
        <f>IFERROR(VLOOKUP(B1006,[1]銷貨單品號主檔!$A:$D,4,0),"學習周邊")</f>
        <v>0</v>
      </c>
      <c r="C1006"/>
      <c r="E1006"/>
    </row>
    <row r="1007" spans="1:5">
      <c r="A1007">
        <f>IFERROR(VLOOKUP(B1007,[1]銷貨單品號主檔!$A:$D,4,0),"學習周邊")</f>
        <v>0</v>
      </c>
      <c r="C1007"/>
      <c r="E1007"/>
    </row>
    <row r="1008" spans="1:5">
      <c r="A1008">
        <f>IFERROR(VLOOKUP(B1008,[1]銷貨單品號主檔!$A:$D,4,0),"學習周邊")</f>
        <v>0</v>
      </c>
      <c r="C1008"/>
      <c r="E1008"/>
    </row>
    <row r="1009" spans="1:5">
      <c r="A1009">
        <f>IFERROR(VLOOKUP(B1009,[1]銷貨單品號主檔!$A:$D,4,0),"學習周邊")</f>
        <v>0</v>
      </c>
      <c r="C1009"/>
      <c r="E1009"/>
    </row>
    <row r="1010" spans="1:5">
      <c r="A1010">
        <f>IFERROR(VLOOKUP(B1010,[1]銷貨單品號主檔!$A:$D,4,0),"學習周邊")</f>
        <v>0</v>
      </c>
      <c r="C1010"/>
      <c r="E1010"/>
    </row>
    <row r="1011" spans="1:5">
      <c r="A1011">
        <f>IFERROR(VLOOKUP(B1011,[1]銷貨單品號主檔!$A:$D,4,0),"學習周邊")</f>
        <v>0</v>
      </c>
      <c r="C1011"/>
      <c r="E1011"/>
    </row>
    <row r="1012" spans="1:5">
      <c r="A1012">
        <f>IFERROR(VLOOKUP(B1012,[1]銷貨單品號主檔!$A:$D,4,0),"學習周邊")</f>
        <v>0</v>
      </c>
      <c r="C1012"/>
      <c r="E1012"/>
    </row>
    <row r="1013" spans="1:5">
      <c r="A1013">
        <f>IFERROR(VLOOKUP(B1013,[1]銷貨單品號主檔!$A:$D,4,0),"學習周邊")</f>
        <v>0</v>
      </c>
      <c r="C1013"/>
      <c r="E1013"/>
    </row>
    <row r="1014" spans="1:5">
      <c r="A1014">
        <f>IFERROR(VLOOKUP(B1014,[1]銷貨單品號主檔!$A:$D,4,0),"學習周邊")</f>
        <v>0</v>
      </c>
      <c r="C1014"/>
      <c r="E1014"/>
    </row>
    <row r="1015" spans="1:5">
      <c r="A1015">
        <f>IFERROR(VLOOKUP(B1015,[1]銷貨單品號主檔!$A:$D,4,0),"學習周邊")</f>
        <v>0</v>
      </c>
      <c r="C1015"/>
      <c r="E1015"/>
    </row>
    <row r="1016" spans="1:5">
      <c r="A1016">
        <f>IFERROR(VLOOKUP(B1016,[1]銷貨單品號主檔!$A:$D,4,0),"學習周邊")</f>
        <v>0</v>
      </c>
      <c r="C1016"/>
      <c r="E1016"/>
    </row>
    <row r="1017" spans="1:5">
      <c r="A1017">
        <f>IFERROR(VLOOKUP(B1017,[1]銷貨單品號主檔!$A:$D,4,0),"學習周邊")</f>
        <v>0</v>
      </c>
      <c r="C1017"/>
      <c r="E1017"/>
    </row>
    <row r="1018" spans="1:5">
      <c r="A1018">
        <f>IFERROR(VLOOKUP(B1018,[1]銷貨單品號主檔!$A:$D,4,0),"學習周邊")</f>
        <v>0</v>
      </c>
      <c r="C1018"/>
      <c r="E1018"/>
    </row>
    <row r="1019" spans="1:5">
      <c r="A1019">
        <f>IFERROR(VLOOKUP(B1019,[1]銷貨單品號主檔!$A:$D,4,0),"學習周邊")</f>
        <v>0</v>
      </c>
      <c r="C1019"/>
      <c r="E1019"/>
    </row>
    <row r="1020" spans="1:5">
      <c r="A1020">
        <f>IFERROR(VLOOKUP(B1020,[1]銷貨單品號主檔!$A:$D,4,0),"學習周邊")</f>
        <v>0</v>
      </c>
      <c r="C1020"/>
      <c r="E1020"/>
    </row>
    <row r="1021" spans="1:5">
      <c r="A1021">
        <f>IFERROR(VLOOKUP(B1021,[1]銷貨單品號主檔!$A:$D,4,0),"學習周邊")</f>
        <v>0</v>
      </c>
      <c r="C1021"/>
      <c r="E1021"/>
    </row>
    <row r="1022" spans="1:5">
      <c r="A1022">
        <f>IFERROR(VLOOKUP(B1022,[1]銷貨單品號主檔!$A:$D,4,0),"學習周邊")</f>
        <v>0</v>
      </c>
      <c r="C1022"/>
      <c r="E1022"/>
    </row>
    <row r="1023" spans="1:5">
      <c r="A1023">
        <f>IFERROR(VLOOKUP(B1023,[1]銷貨單品號主檔!$A:$D,4,0),"學習周邊")</f>
        <v>0</v>
      </c>
      <c r="C1023"/>
      <c r="E1023"/>
    </row>
    <row r="1024" spans="1:5">
      <c r="A1024">
        <f>IFERROR(VLOOKUP(B1024,[1]銷貨單品號主檔!$A:$D,4,0),"學習周邊")</f>
        <v>0</v>
      </c>
      <c r="C1024"/>
      <c r="E1024"/>
    </row>
    <row r="1025" spans="1:5">
      <c r="A1025">
        <f>IFERROR(VLOOKUP(B1025,[1]銷貨單品號主檔!$A:$D,4,0),"學習周邊")</f>
        <v>0</v>
      </c>
      <c r="C1025"/>
      <c r="E1025"/>
    </row>
    <row r="1026" spans="1:5">
      <c r="A1026">
        <f>IFERROR(VLOOKUP(B1026,[1]銷貨單品號主檔!$A:$D,4,0),"學習周邊")</f>
        <v>0</v>
      </c>
      <c r="C1026"/>
      <c r="E1026"/>
    </row>
    <row r="1027" spans="1:5">
      <c r="A1027">
        <f>IFERROR(VLOOKUP(B1027,[1]銷貨單品號主檔!$A:$D,4,0),"學習周邊")</f>
        <v>0</v>
      </c>
      <c r="C1027"/>
      <c r="E1027"/>
    </row>
    <row r="1028" spans="1:5">
      <c r="A1028">
        <f>IFERROR(VLOOKUP(B1028,[1]銷貨單品號主檔!$A:$D,4,0),"學習周邊")</f>
        <v>0</v>
      </c>
      <c r="C1028"/>
      <c r="E1028"/>
    </row>
    <row r="1029" spans="1:5">
      <c r="A1029">
        <f>IFERROR(VLOOKUP(B1029,[1]銷貨單品號主檔!$A:$D,4,0),"學習周邊")</f>
        <v>0</v>
      </c>
      <c r="C1029"/>
      <c r="E1029"/>
    </row>
    <row r="1030" spans="1:5">
      <c r="A1030">
        <f>IFERROR(VLOOKUP(B1030,[1]銷貨單品號主檔!$A:$D,4,0),"學習周邊")</f>
        <v>0</v>
      </c>
      <c r="C1030"/>
      <c r="E1030"/>
    </row>
    <row r="1031" spans="1:5">
      <c r="A1031">
        <f>IFERROR(VLOOKUP(B1031,[1]銷貨單品號主檔!$A:$D,4,0),"學習周邊")</f>
        <v>0</v>
      </c>
      <c r="C1031"/>
      <c r="E1031"/>
    </row>
    <row r="1032" spans="1:5">
      <c r="A1032">
        <f>IFERROR(VLOOKUP(B1032,[1]銷貨單品號主檔!$A:$D,4,0),"學習周邊")</f>
        <v>0</v>
      </c>
      <c r="C1032"/>
      <c r="E1032"/>
    </row>
    <row r="1033" spans="1:5">
      <c r="A1033">
        <f>IFERROR(VLOOKUP(B1033,[1]銷貨單品號主檔!$A:$D,4,0),"學習周邊")</f>
        <v>0</v>
      </c>
      <c r="C1033"/>
      <c r="E1033"/>
    </row>
    <row r="1034" spans="1:5">
      <c r="A1034">
        <f>IFERROR(VLOOKUP(B1034,[1]銷貨單品號主檔!$A:$D,4,0),"學習周邊")</f>
        <v>0</v>
      </c>
      <c r="C1034"/>
      <c r="E1034"/>
    </row>
    <row r="1035" spans="1:5">
      <c r="A1035">
        <f>IFERROR(VLOOKUP(B1035,[1]銷貨單品號主檔!$A:$D,4,0),"學習周邊")</f>
        <v>0</v>
      </c>
      <c r="C1035"/>
      <c r="E1035"/>
    </row>
    <row r="1036" spans="1:5">
      <c r="A1036">
        <f>IFERROR(VLOOKUP(B1036,[1]銷貨單品號主檔!$A:$D,4,0),"學習周邊")</f>
        <v>0</v>
      </c>
      <c r="C1036"/>
      <c r="E1036"/>
    </row>
    <row r="1037" spans="1:5">
      <c r="A1037">
        <f>IFERROR(VLOOKUP(B1037,[1]銷貨單品號主檔!$A:$D,4,0),"學習周邊")</f>
        <v>0</v>
      </c>
      <c r="C1037"/>
      <c r="E1037"/>
    </row>
    <row r="1038" spans="1:5">
      <c r="A1038">
        <f>IFERROR(VLOOKUP(B1038,[1]銷貨單品號主檔!$A:$D,4,0),"學習周邊")</f>
        <v>0</v>
      </c>
      <c r="C1038"/>
      <c r="E1038"/>
    </row>
    <row r="1039" spans="1:5">
      <c r="A1039">
        <f>IFERROR(VLOOKUP(B1039,[1]銷貨單品號主檔!$A:$D,4,0),"學習周邊")</f>
        <v>0</v>
      </c>
      <c r="C1039"/>
      <c r="E1039"/>
    </row>
    <row r="1040" spans="1:5">
      <c r="A1040">
        <f>IFERROR(VLOOKUP(B1040,[1]銷貨單品號主檔!$A:$D,4,0),"學習周邊")</f>
        <v>0</v>
      </c>
      <c r="C1040"/>
      <c r="E1040"/>
    </row>
    <row r="1041" spans="1:5">
      <c r="A1041">
        <f>IFERROR(VLOOKUP(B1041,[1]銷貨單品號主檔!$A:$D,4,0),"學習周邊")</f>
        <v>0</v>
      </c>
      <c r="C1041"/>
      <c r="E1041"/>
    </row>
    <row r="1042" spans="1:5">
      <c r="A1042">
        <f>IFERROR(VLOOKUP(B1042,[1]銷貨單品號主檔!$A:$D,4,0),"學習周邊")</f>
        <v>0</v>
      </c>
      <c r="C1042"/>
      <c r="E1042"/>
    </row>
    <row r="1043" spans="1:5">
      <c r="A1043">
        <f>IFERROR(VLOOKUP(B1043,[1]銷貨單品號主檔!$A:$D,4,0),"學習周邊")</f>
        <v>0</v>
      </c>
      <c r="C1043"/>
      <c r="E1043"/>
    </row>
    <row r="1044" spans="1:5">
      <c r="A1044">
        <f>IFERROR(VLOOKUP(B1044,[1]銷貨單品號主檔!$A:$D,4,0),"學習周邊")</f>
        <v>0</v>
      </c>
      <c r="C1044"/>
      <c r="E1044"/>
    </row>
    <row r="1045" spans="1:5">
      <c r="A1045">
        <f>IFERROR(VLOOKUP(B1045,[1]銷貨單品號主檔!$A:$D,4,0),"學習周邊")</f>
        <v>0</v>
      </c>
      <c r="C1045"/>
      <c r="E1045"/>
    </row>
    <row r="1046" spans="1:5">
      <c r="A1046">
        <f>IFERROR(VLOOKUP(B1046,[1]銷貨單品號主檔!$A:$D,4,0),"學習周邊")</f>
        <v>0</v>
      </c>
      <c r="C1046"/>
      <c r="E1046"/>
    </row>
    <row r="1047" spans="1:5">
      <c r="A1047">
        <f>IFERROR(VLOOKUP(B1047,[1]銷貨單品號主檔!$A:$D,4,0),"學習周邊")</f>
        <v>0</v>
      </c>
      <c r="C1047"/>
      <c r="E1047"/>
    </row>
    <row r="1048" spans="1:5">
      <c r="A1048">
        <f>IFERROR(VLOOKUP(B1048,[1]銷貨單品號主檔!$A:$D,4,0),"學習周邊")</f>
        <v>0</v>
      </c>
      <c r="C1048"/>
      <c r="E1048"/>
    </row>
    <row r="1049" spans="1:5">
      <c r="A1049">
        <f>IFERROR(VLOOKUP(B1049,[1]銷貨單品號主檔!$A:$D,4,0),"學習周邊")</f>
        <v>0</v>
      </c>
      <c r="C1049"/>
      <c r="E1049"/>
    </row>
    <row r="1050" spans="1:5">
      <c r="A1050">
        <f>IFERROR(VLOOKUP(B1050,[1]銷貨單品號主檔!$A:$D,4,0),"學習周邊")</f>
        <v>0</v>
      </c>
      <c r="C1050"/>
      <c r="E1050"/>
    </row>
    <row r="1051" spans="1:5">
      <c r="A1051">
        <f>IFERROR(VLOOKUP(B1051,[1]銷貨單品號主檔!$A:$D,4,0),"學習周邊")</f>
        <v>0</v>
      </c>
      <c r="C1051"/>
      <c r="E1051"/>
    </row>
    <row r="1052" spans="1:5">
      <c r="A1052">
        <f>IFERROR(VLOOKUP(B1052,[1]銷貨單品號主檔!$A:$D,4,0),"學習周邊")</f>
        <v>0</v>
      </c>
      <c r="C1052"/>
      <c r="E1052"/>
    </row>
    <row r="1053" spans="1:5">
      <c r="A1053">
        <f>IFERROR(VLOOKUP(B1053,[1]銷貨單品號主檔!$A:$D,4,0),"學習周邊")</f>
        <v>0</v>
      </c>
      <c r="C1053"/>
      <c r="E1053"/>
    </row>
    <row r="1054" spans="1:5">
      <c r="A1054">
        <f>IFERROR(VLOOKUP(B1054,[1]銷貨單品號主檔!$A:$D,4,0),"學習周邊")</f>
        <v>0</v>
      </c>
      <c r="C1054"/>
      <c r="E1054"/>
    </row>
    <row r="1055" spans="1:5">
      <c r="A1055">
        <f>IFERROR(VLOOKUP(B1055,[1]銷貨單品號主檔!$A:$D,4,0),"學習周邊")</f>
        <v>0</v>
      </c>
      <c r="C1055"/>
      <c r="E1055"/>
    </row>
    <row r="1056" spans="1:5">
      <c r="A1056">
        <f>IFERROR(VLOOKUP(B1056,[1]銷貨單品號主檔!$A:$D,4,0),"學習周邊")</f>
        <v>0</v>
      </c>
      <c r="C1056"/>
      <c r="E1056"/>
    </row>
    <row r="1057" spans="1:5">
      <c r="A1057">
        <f>IFERROR(VLOOKUP(B1057,[1]銷貨單品號主檔!$A:$D,4,0),"學習周邊")</f>
        <v>0</v>
      </c>
      <c r="C1057"/>
      <c r="E1057"/>
    </row>
    <row r="1058" spans="1:5">
      <c r="A1058">
        <f>IFERROR(VLOOKUP(B1058,[1]銷貨單品號主檔!$A:$D,4,0),"學習周邊")</f>
        <v>0</v>
      </c>
      <c r="C1058"/>
      <c r="E1058"/>
    </row>
    <row r="1059" spans="1:5">
      <c r="A1059">
        <f>IFERROR(VLOOKUP(B1059,[1]銷貨單品號主檔!$A:$D,4,0),"學習周邊")</f>
        <v>0</v>
      </c>
      <c r="C1059"/>
      <c r="E1059"/>
    </row>
    <row r="1060" spans="1:5">
      <c r="A1060">
        <f>IFERROR(VLOOKUP(B1060,[1]銷貨單品號主檔!$A:$D,4,0),"學習周邊")</f>
        <v>0</v>
      </c>
      <c r="C1060"/>
      <c r="E1060"/>
    </row>
    <row r="1061" spans="1:5">
      <c r="A1061">
        <f>IFERROR(VLOOKUP(B1061,[1]銷貨單品號主檔!$A:$D,4,0),"學習周邊")</f>
        <v>0</v>
      </c>
      <c r="C1061"/>
      <c r="E1061"/>
    </row>
    <row r="1062" spans="1:5">
      <c r="A1062">
        <f>IFERROR(VLOOKUP(B1062,[1]銷貨單品號主檔!$A:$D,4,0),"學習周邊")</f>
        <v>0</v>
      </c>
      <c r="C1062"/>
      <c r="E1062"/>
    </row>
    <row r="1063" spans="1:5">
      <c r="A1063">
        <f>IFERROR(VLOOKUP(B1063,[1]銷貨單品號主檔!$A:$D,4,0),"學習周邊")</f>
        <v>0</v>
      </c>
      <c r="C1063"/>
      <c r="E1063"/>
    </row>
    <row r="1064" spans="1:5">
      <c r="A1064">
        <f>IFERROR(VLOOKUP(B1064,[1]銷貨單品號主檔!$A:$D,4,0),"學習周邊")</f>
        <v>0</v>
      </c>
      <c r="C1064"/>
      <c r="E1064"/>
    </row>
    <row r="1065" spans="1:5">
      <c r="A1065">
        <f>IFERROR(VLOOKUP(B1065,[1]銷貨單品號主檔!$A:$D,4,0),"學習周邊")</f>
        <v>0</v>
      </c>
      <c r="C1065"/>
      <c r="E1065"/>
    </row>
    <row r="1066" spans="1:5">
      <c r="A1066">
        <f>IFERROR(VLOOKUP(B1066,[1]銷貨單品號主檔!$A:$D,4,0),"學習周邊")</f>
        <v>0</v>
      </c>
      <c r="C1066"/>
      <c r="E1066"/>
    </row>
    <row r="1067" spans="1:5">
      <c r="A1067">
        <f>IFERROR(VLOOKUP(B1067,[1]銷貨單品號主檔!$A:$D,4,0),"學習周邊")</f>
        <v>0</v>
      </c>
      <c r="C1067"/>
      <c r="E1067"/>
    </row>
    <row r="1068" spans="1:5">
      <c r="A1068">
        <f>IFERROR(VLOOKUP(B1068,[1]銷貨單品號主檔!$A:$D,4,0),"學習周邊")</f>
        <v>0</v>
      </c>
      <c r="C1068"/>
      <c r="E1068"/>
    </row>
    <row r="1069" spans="1:5">
      <c r="A1069">
        <f>IFERROR(VLOOKUP(B1069,[1]銷貨單品號主檔!$A:$D,4,0),"學習周邊")</f>
        <v>0</v>
      </c>
      <c r="C1069"/>
      <c r="E1069"/>
    </row>
    <row r="1070" spans="1:5">
      <c r="A1070">
        <f>IFERROR(VLOOKUP(B1070,[1]銷貨單品號主檔!$A:$D,4,0),"學習周邊")</f>
        <v>0</v>
      </c>
      <c r="C1070"/>
      <c r="E1070"/>
    </row>
    <row r="1071" spans="1:5">
      <c r="A1071">
        <f>IFERROR(VLOOKUP(B1071,[1]銷貨單品號主檔!$A:$D,4,0),"學習周邊")</f>
        <v>0</v>
      </c>
      <c r="C1071"/>
      <c r="E1071"/>
    </row>
    <row r="1072" spans="1:5">
      <c r="A1072">
        <f>IFERROR(VLOOKUP(B1072,[1]銷貨單品號主檔!$A:$D,4,0),"學習周邊")</f>
        <v>0</v>
      </c>
      <c r="C1072"/>
      <c r="E1072"/>
    </row>
    <row r="1073" spans="1:5">
      <c r="A1073">
        <f>IFERROR(VLOOKUP(B1073,[1]銷貨單品號主檔!$A:$D,4,0),"學習周邊")</f>
        <v>0</v>
      </c>
      <c r="C1073"/>
      <c r="E1073"/>
    </row>
    <row r="1074" spans="1:5">
      <c r="A1074">
        <f>IFERROR(VLOOKUP(B1074,[1]銷貨單品號主檔!$A:$D,4,0),"學習周邊")</f>
        <v>0</v>
      </c>
      <c r="C1074"/>
      <c r="E1074"/>
    </row>
    <row r="1075" spans="1:5">
      <c r="A1075">
        <f>IFERROR(VLOOKUP(B1075,[1]銷貨單品號主檔!$A:$D,4,0),"學習周邊")</f>
        <v>0</v>
      </c>
      <c r="C1075"/>
      <c r="E1075"/>
    </row>
    <row r="1076" spans="1:5">
      <c r="A1076">
        <f>IFERROR(VLOOKUP(B1076,[1]銷貨單品號主檔!$A:$D,4,0),"學習周邊")</f>
        <v>0</v>
      </c>
      <c r="C1076"/>
      <c r="E1076"/>
    </row>
    <row r="1077" spans="1:5">
      <c r="A1077">
        <f>IFERROR(VLOOKUP(B1077,[1]銷貨單品號主檔!$A:$D,4,0),"學習周邊")</f>
        <v>0</v>
      </c>
      <c r="C1077"/>
      <c r="E1077"/>
    </row>
    <row r="1078" spans="1:5">
      <c r="A1078">
        <f>IFERROR(VLOOKUP(B1078,[1]銷貨單品號主檔!$A:$D,4,0),"學習周邊")</f>
        <v>0</v>
      </c>
      <c r="C1078"/>
      <c r="E1078"/>
    </row>
    <row r="1079" spans="1:5">
      <c r="A1079">
        <f>IFERROR(VLOOKUP(B1079,[1]銷貨單品號主檔!$A:$D,4,0),"學習周邊")</f>
        <v>0</v>
      </c>
      <c r="C1079"/>
      <c r="E1079"/>
    </row>
    <row r="1080" spans="1:5">
      <c r="A1080">
        <f>IFERROR(VLOOKUP(B1080,[1]銷貨單品號主檔!$A:$D,4,0),"學習周邊")</f>
        <v>0</v>
      </c>
      <c r="C1080"/>
      <c r="E1080"/>
    </row>
    <row r="1081" spans="1:5">
      <c r="A1081">
        <f>IFERROR(VLOOKUP(B1081,[1]銷貨單品號主檔!$A:$D,4,0),"學習周邊")</f>
        <v>0</v>
      </c>
      <c r="C1081"/>
      <c r="E1081"/>
    </row>
    <row r="1082" spans="1:5">
      <c r="A1082">
        <f>IFERROR(VLOOKUP(B1082,[1]銷貨單品號主檔!$A:$D,4,0),"學習周邊")</f>
        <v>0</v>
      </c>
      <c r="C1082"/>
      <c r="E1082"/>
    </row>
    <row r="1083" spans="1:5">
      <c r="A1083">
        <f>IFERROR(VLOOKUP(B1083,[1]銷貨單品號主檔!$A:$D,4,0),"學習周邊")</f>
        <v>0</v>
      </c>
      <c r="C1083"/>
      <c r="E1083"/>
    </row>
    <row r="1084" spans="1:5">
      <c r="A1084">
        <f>IFERROR(VLOOKUP(B1084,[1]銷貨單品號主檔!$A:$D,4,0),"學習周邊")</f>
        <v>0</v>
      </c>
      <c r="C1084"/>
      <c r="E1084"/>
    </row>
    <row r="1085" spans="1:5">
      <c r="A1085">
        <f>IFERROR(VLOOKUP(B1085,[1]銷貨單品號主檔!$A:$D,4,0),"學習周邊")</f>
        <v>0</v>
      </c>
      <c r="C1085"/>
      <c r="E1085"/>
    </row>
    <row r="1086" spans="1:5">
      <c r="A1086">
        <f>IFERROR(VLOOKUP(B1086,[1]銷貨單品號主檔!$A:$D,4,0),"學習周邊")</f>
        <v>0</v>
      </c>
      <c r="C1086"/>
      <c r="E1086"/>
    </row>
    <row r="1087" spans="1:5">
      <c r="A1087">
        <f>IFERROR(VLOOKUP(B1087,[1]銷貨單品號主檔!$A:$D,4,0),"學習周邊")</f>
        <v>0</v>
      </c>
      <c r="C1087"/>
      <c r="E1087"/>
    </row>
    <row r="1088" spans="1:5">
      <c r="A1088">
        <f>IFERROR(VLOOKUP(B1088,[1]銷貨單品號主檔!$A:$D,4,0),"學習周邊")</f>
        <v>0</v>
      </c>
      <c r="C1088"/>
      <c r="E1088"/>
    </row>
    <row r="1089" spans="1:5">
      <c r="A1089">
        <f>IFERROR(VLOOKUP(B1089,[1]銷貨單品號主檔!$A:$D,4,0),"學習周邊")</f>
        <v>0</v>
      </c>
      <c r="C1089"/>
      <c r="E1089"/>
    </row>
    <row r="1090" spans="1:5">
      <c r="A1090">
        <f>IFERROR(VLOOKUP(B1090,[1]銷貨單品號主檔!$A:$D,4,0),"學習周邊")</f>
        <v>0</v>
      </c>
      <c r="C1090"/>
      <c r="E1090"/>
    </row>
    <row r="1091" spans="1:5">
      <c r="A1091">
        <f>IFERROR(VLOOKUP(B1091,[1]銷貨單品號主檔!$A:$D,4,0),"學習周邊")</f>
        <v>0</v>
      </c>
      <c r="C1091"/>
      <c r="E1091"/>
    </row>
    <row r="1092" spans="1:5">
      <c r="A1092">
        <f>IFERROR(VLOOKUP(B1092,[1]銷貨單品號主檔!$A:$D,4,0),"學習周邊")</f>
        <v>0</v>
      </c>
      <c r="C1092"/>
      <c r="E1092"/>
    </row>
    <row r="1093" spans="1:5">
      <c r="A1093">
        <f>IFERROR(VLOOKUP(B1093,[1]銷貨單品號主檔!$A:$D,4,0),"學習周邊")</f>
        <v>0</v>
      </c>
      <c r="C1093"/>
      <c r="E1093"/>
    </row>
    <row r="1094" spans="1:5">
      <c r="A1094">
        <f>IFERROR(VLOOKUP(B1094,[1]銷貨單品號主檔!$A:$D,4,0),"學習周邊")</f>
        <v>0</v>
      </c>
      <c r="C1094"/>
      <c r="E1094"/>
    </row>
    <row r="1095" spans="1:5">
      <c r="A1095">
        <f>IFERROR(VLOOKUP(B1095,[1]銷貨單品號主檔!$A:$D,4,0),"學習周邊")</f>
        <v>0</v>
      </c>
      <c r="C1095"/>
      <c r="E1095"/>
    </row>
    <row r="1096" spans="1:5">
      <c r="A1096">
        <f>IFERROR(VLOOKUP(B1096,[1]銷貨單品號主檔!$A:$D,4,0),"學習周邊")</f>
        <v>0</v>
      </c>
      <c r="C1096"/>
      <c r="E1096"/>
    </row>
    <row r="1097" spans="1:5">
      <c r="A1097">
        <f>IFERROR(VLOOKUP(B1097,[1]銷貨單品號主檔!$A:$D,4,0),"學習周邊")</f>
        <v>0</v>
      </c>
      <c r="C1097"/>
      <c r="E1097"/>
    </row>
    <row r="1098" spans="1:5">
      <c r="A1098">
        <f>IFERROR(VLOOKUP(B1098,[1]銷貨單品號主檔!$A:$D,4,0),"學習周邊")</f>
        <v>0</v>
      </c>
      <c r="C1098"/>
      <c r="E1098"/>
    </row>
    <row r="1099" spans="1:5">
      <c r="A1099">
        <f>IFERROR(VLOOKUP(B1099,[1]銷貨單品號主檔!$A:$D,4,0),"學習周邊")</f>
        <v>0</v>
      </c>
      <c r="C1099"/>
      <c r="E1099"/>
    </row>
    <row r="1100" spans="1:5">
      <c r="A1100">
        <f>IFERROR(VLOOKUP(B1100,[1]銷貨單品號主檔!$A:$D,4,0),"學習周邊")</f>
        <v>0</v>
      </c>
      <c r="C1100"/>
      <c r="E1100"/>
    </row>
    <row r="1101" spans="1:5">
      <c r="A1101">
        <f>IFERROR(VLOOKUP(B1101,[1]銷貨單品號主檔!$A:$D,4,0),"學習周邊")</f>
        <v>0</v>
      </c>
      <c r="C1101"/>
      <c r="E1101"/>
    </row>
    <row r="1102" spans="1:5">
      <c r="A1102">
        <f>IFERROR(VLOOKUP(B1102,[1]銷貨單品號主檔!$A:$D,4,0),"學習周邊")</f>
        <v>0</v>
      </c>
      <c r="C1102"/>
      <c r="E1102"/>
    </row>
    <row r="1103" spans="1:5">
      <c r="A1103">
        <f>IFERROR(VLOOKUP(B1103,[1]銷貨單品號主檔!$A:$D,4,0),"學習周邊")</f>
        <v>0</v>
      </c>
      <c r="C1103"/>
      <c r="E1103"/>
    </row>
    <row r="1104" spans="1:5">
      <c r="A1104">
        <f>IFERROR(VLOOKUP(B1104,[1]銷貨單品號主檔!$A:$D,4,0),"學習周邊")</f>
        <v>0</v>
      </c>
      <c r="C1104"/>
      <c r="E1104"/>
    </row>
    <row r="1105" spans="1:5">
      <c r="A1105">
        <f>IFERROR(VLOOKUP(B1105,[1]銷貨單品號主檔!$A:$D,4,0),"學習周邊")</f>
        <v>0</v>
      </c>
      <c r="C1105"/>
      <c r="E1105"/>
    </row>
    <row r="1106" spans="1:5">
      <c r="A1106">
        <f>IFERROR(VLOOKUP(B1106,[1]銷貨單品號主檔!$A:$D,4,0),"學習周邊")</f>
        <v>0</v>
      </c>
      <c r="C1106"/>
      <c r="E1106"/>
    </row>
    <row r="1107" spans="1:5">
      <c r="A1107">
        <f>IFERROR(VLOOKUP(B1107,[1]銷貨單品號主檔!$A:$D,4,0),"學習周邊")</f>
        <v>0</v>
      </c>
      <c r="C1107"/>
      <c r="E1107"/>
    </row>
    <row r="1108" spans="1:5">
      <c r="A1108">
        <f>IFERROR(VLOOKUP(B1108,[1]銷貨單品號主檔!$A:$D,4,0),"學習周邊")</f>
        <v>0</v>
      </c>
      <c r="C1108"/>
      <c r="E1108"/>
    </row>
    <row r="1109" spans="1:5">
      <c r="A1109">
        <f>IFERROR(VLOOKUP(B1109,[1]銷貨單品號主檔!$A:$D,4,0),"學習周邊")</f>
        <v>0</v>
      </c>
      <c r="C1109"/>
      <c r="E1109"/>
    </row>
    <row r="1110" spans="1:5">
      <c r="A1110">
        <f>IFERROR(VLOOKUP(B1110,[1]銷貨單品號主檔!$A:$D,4,0),"學習周邊")</f>
        <v>0</v>
      </c>
      <c r="C1110"/>
      <c r="E1110"/>
    </row>
    <row r="1111" spans="1:5">
      <c r="A1111">
        <f>IFERROR(VLOOKUP(B1111,[1]銷貨單品號主檔!$A:$D,4,0),"學習周邊")</f>
        <v>0</v>
      </c>
      <c r="C1111"/>
      <c r="E1111"/>
    </row>
    <row r="1112" spans="1:5">
      <c r="A1112">
        <f>IFERROR(VLOOKUP(B1112,[1]銷貨單品號主檔!$A:$D,4,0),"學習周邊")</f>
        <v>0</v>
      </c>
      <c r="C1112"/>
      <c r="E1112"/>
    </row>
    <row r="1113" spans="1:5">
      <c r="A1113">
        <f>IFERROR(VLOOKUP(B1113,[1]銷貨單品號主檔!$A:$D,4,0),"學習周邊")</f>
        <v>0</v>
      </c>
      <c r="C1113"/>
      <c r="E1113"/>
    </row>
    <row r="1114" spans="1:5">
      <c r="A1114">
        <f>IFERROR(VLOOKUP(B1114,[1]銷貨單品號主檔!$A:$D,4,0),"學習周邊")</f>
        <v>0</v>
      </c>
      <c r="C1114"/>
      <c r="E1114"/>
    </row>
    <row r="1115" spans="1:5">
      <c r="A1115">
        <f>IFERROR(VLOOKUP(B1115,[1]銷貨單品號主檔!$A:$D,4,0),"學習周邊")</f>
        <v>0</v>
      </c>
      <c r="C1115"/>
      <c r="E1115"/>
    </row>
    <row r="1116" spans="1:5">
      <c r="A1116">
        <f>IFERROR(VLOOKUP(B1116,[1]銷貨單品號主檔!$A:$D,4,0),"學習周邊")</f>
        <v>0</v>
      </c>
      <c r="C1116"/>
      <c r="E1116"/>
    </row>
    <row r="1117" spans="1:5">
      <c r="A1117">
        <f>IFERROR(VLOOKUP(B1117,[1]銷貨單品號主檔!$A:$D,4,0),"學習周邊")</f>
        <v>0</v>
      </c>
      <c r="C1117"/>
      <c r="E1117"/>
    </row>
    <row r="1118" spans="1:5">
      <c r="A1118">
        <f>IFERROR(VLOOKUP(B1118,[1]銷貨單品號主檔!$A:$D,4,0),"學習周邊")</f>
        <v>0</v>
      </c>
      <c r="C1118"/>
      <c r="E1118"/>
    </row>
    <row r="1119" spans="1:5">
      <c r="A1119">
        <f>IFERROR(VLOOKUP(B1119,[1]銷貨單品號主檔!$A:$D,4,0),"學習周邊")</f>
        <v>0</v>
      </c>
      <c r="C1119"/>
      <c r="E1119"/>
    </row>
    <row r="1120" spans="1:5">
      <c r="A1120">
        <f>IFERROR(VLOOKUP(B1120,[1]銷貨單品號主檔!$A:$D,4,0),"學習周邊")</f>
        <v>0</v>
      </c>
      <c r="C1120"/>
      <c r="E1120"/>
    </row>
    <row r="1121" spans="1:5">
      <c r="A1121">
        <f>IFERROR(VLOOKUP(B1121,[1]銷貨單品號主檔!$A:$D,4,0),"學習周邊")</f>
        <v>0</v>
      </c>
      <c r="C1121"/>
      <c r="E1121"/>
    </row>
    <row r="1122" spans="1:5">
      <c r="A1122">
        <f>IFERROR(VLOOKUP(B1122,[1]銷貨單品號主檔!$A:$D,4,0),"學習周邊")</f>
        <v>0</v>
      </c>
      <c r="C1122"/>
      <c r="E1122"/>
    </row>
    <row r="1123" spans="1:5">
      <c r="A1123">
        <f>IFERROR(VLOOKUP(B1123,[1]銷貨單品號主檔!$A:$D,4,0),"學習周邊")</f>
        <v>0</v>
      </c>
      <c r="C1123"/>
      <c r="E1123"/>
    </row>
    <row r="1124" spans="1:5">
      <c r="A1124">
        <f>IFERROR(VLOOKUP(B1124,[1]銷貨單品號主檔!$A:$D,4,0),"學習周邊")</f>
        <v>0</v>
      </c>
      <c r="C1124"/>
      <c r="E1124"/>
    </row>
    <row r="1125" spans="1:5">
      <c r="A1125">
        <f>IFERROR(VLOOKUP(B1125,[1]銷貨單品號主檔!$A:$D,4,0),"學習周邊")</f>
        <v>0</v>
      </c>
      <c r="C1125"/>
      <c r="E1125"/>
    </row>
    <row r="1126" spans="1:5">
      <c r="A1126">
        <f>IFERROR(VLOOKUP(B1126,[1]銷貨單品號主檔!$A:$D,4,0),"學習周邊")</f>
        <v>0</v>
      </c>
      <c r="C1126"/>
      <c r="E1126"/>
    </row>
    <row r="1127" spans="1:5">
      <c r="A1127">
        <f>IFERROR(VLOOKUP(B1127,[1]銷貨單品號主檔!$A:$D,4,0),"學習周邊")</f>
        <v>0</v>
      </c>
      <c r="C1127"/>
      <c r="E1127"/>
    </row>
    <row r="1128" spans="1:5">
      <c r="A1128">
        <f>IFERROR(VLOOKUP(B1128,[1]銷貨單品號主檔!$A:$D,4,0),"學習周邊")</f>
        <v>0</v>
      </c>
      <c r="C1128"/>
      <c r="E1128"/>
    </row>
    <row r="1129" spans="1:5">
      <c r="A1129">
        <f>IFERROR(VLOOKUP(B1129,[1]銷貨單品號主檔!$A:$D,4,0),"學習周邊")</f>
        <v>0</v>
      </c>
      <c r="C1129"/>
      <c r="E1129"/>
    </row>
    <row r="1130" spans="1:5">
      <c r="A1130">
        <f>IFERROR(VLOOKUP(B1130,[1]銷貨單品號主檔!$A:$D,4,0),"學習周邊")</f>
        <v>0</v>
      </c>
      <c r="C1130"/>
      <c r="E1130"/>
    </row>
    <row r="1131" spans="1:5">
      <c r="A1131">
        <f>IFERROR(VLOOKUP(B1131,[1]銷貨單品號主檔!$A:$D,4,0),"學習周邊")</f>
        <v>0</v>
      </c>
      <c r="C1131"/>
      <c r="E1131"/>
    </row>
    <row r="1132" spans="1:5">
      <c r="A1132">
        <f>IFERROR(VLOOKUP(B1132,[1]銷貨單品號主檔!$A:$D,4,0),"學習周邊")</f>
        <v>0</v>
      </c>
      <c r="C1132"/>
      <c r="E1132"/>
    </row>
    <row r="1133" spans="1:5">
      <c r="A1133">
        <f>IFERROR(VLOOKUP(B1133,[1]銷貨單品號主檔!$A:$D,4,0),"學習周邊")</f>
        <v>0</v>
      </c>
      <c r="C1133"/>
      <c r="E1133"/>
    </row>
    <row r="1134" spans="1:5">
      <c r="A1134">
        <f>IFERROR(VLOOKUP(B1134,[1]銷貨單品號主檔!$A:$D,4,0),"學習周邊")</f>
        <v>0</v>
      </c>
      <c r="C1134"/>
      <c r="E1134"/>
    </row>
    <row r="1135" spans="1:5">
      <c r="A1135">
        <f>IFERROR(VLOOKUP(B1135,[1]銷貨單品號主檔!$A:$D,4,0),"學習周邊")</f>
        <v>0</v>
      </c>
      <c r="C1135"/>
      <c r="E1135"/>
    </row>
    <row r="1136" spans="1:5">
      <c r="A1136">
        <f>IFERROR(VLOOKUP(B1136,[1]銷貨單品號主檔!$A:$D,4,0),"學習周邊")</f>
        <v>0</v>
      </c>
      <c r="C1136"/>
      <c r="E1136"/>
    </row>
    <row r="1137" spans="1:5">
      <c r="A1137">
        <f>IFERROR(VLOOKUP(B1137,[1]銷貨單品號主檔!$A:$D,4,0),"學習周邊")</f>
        <v>0</v>
      </c>
      <c r="C1137"/>
      <c r="E1137"/>
    </row>
    <row r="1138" spans="1:5">
      <c r="A1138">
        <f>IFERROR(VLOOKUP(B1138,[1]銷貨單品號主檔!$A:$D,4,0),"學習周邊")</f>
        <v>0</v>
      </c>
      <c r="C1138"/>
      <c r="E1138"/>
    </row>
    <row r="1139" spans="1:5">
      <c r="A1139">
        <f>IFERROR(VLOOKUP(B1139,[1]銷貨單品號主檔!$A:$D,4,0),"學習周邊")</f>
        <v>0</v>
      </c>
      <c r="C1139"/>
      <c r="E1139"/>
    </row>
    <row r="1140" spans="1:5">
      <c r="A1140">
        <f>IFERROR(VLOOKUP(B1140,[1]銷貨單品號主檔!$A:$D,4,0),"學習周邊")</f>
        <v>0</v>
      </c>
      <c r="C1140"/>
      <c r="E1140"/>
    </row>
    <row r="1141" spans="1:5">
      <c r="A1141">
        <f>IFERROR(VLOOKUP(B1141,[1]銷貨單品號主檔!$A:$D,4,0),"學習周邊")</f>
        <v>0</v>
      </c>
      <c r="C1141"/>
      <c r="E1141"/>
    </row>
    <row r="1142" spans="1:5">
      <c r="A1142">
        <f>IFERROR(VLOOKUP(B1142,[1]銷貨單品號主檔!$A:$D,4,0),"學習周邊")</f>
        <v>0</v>
      </c>
      <c r="C1142"/>
      <c r="E1142"/>
    </row>
    <row r="1143" spans="1:5">
      <c r="A1143">
        <f>IFERROR(VLOOKUP(B1143,[1]銷貨單品號主檔!$A:$D,4,0),"學習周邊")</f>
        <v>0</v>
      </c>
      <c r="C1143"/>
      <c r="E1143"/>
    </row>
    <row r="1144" spans="1:5">
      <c r="A1144">
        <f>IFERROR(VLOOKUP(B1144,[1]銷貨單品號主檔!$A:$D,4,0),"學習周邊")</f>
        <v>0</v>
      </c>
      <c r="C1144"/>
      <c r="E1144"/>
    </row>
    <row r="1145" spans="1:5">
      <c r="A1145">
        <f>IFERROR(VLOOKUP(B1145,[1]銷貨單品號主檔!$A:$D,4,0),"學習周邊")</f>
        <v>0</v>
      </c>
      <c r="C1145"/>
      <c r="E1145"/>
    </row>
    <row r="1146" spans="1:5">
      <c r="A1146">
        <f>IFERROR(VLOOKUP(B1146,[1]銷貨單品號主檔!$A:$D,4,0),"學習周邊")</f>
        <v>0</v>
      </c>
      <c r="C1146"/>
      <c r="E1146"/>
    </row>
    <row r="1147" spans="1:5">
      <c r="A1147">
        <f>IFERROR(VLOOKUP(B1147,[1]銷貨單品號主檔!$A:$D,4,0),"學習周邊")</f>
        <v>0</v>
      </c>
      <c r="C1147"/>
      <c r="E1147"/>
    </row>
    <row r="1148" spans="1:5">
      <c r="A1148">
        <f>IFERROR(VLOOKUP(B1148,[1]銷貨單品號主檔!$A:$D,4,0),"學習周邊")</f>
        <v>0</v>
      </c>
      <c r="C1148"/>
      <c r="E1148"/>
    </row>
    <row r="1149" spans="1:5">
      <c r="A1149">
        <f>IFERROR(VLOOKUP(B1149,[1]銷貨單品號主檔!$A:$D,4,0),"學習周邊")</f>
        <v>0</v>
      </c>
      <c r="C1149"/>
      <c r="E1149"/>
    </row>
    <row r="1150" spans="1:5">
      <c r="A1150">
        <f>IFERROR(VLOOKUP(B1150,[1]銷貨單品號主檔!$A:$D,4,0),"學習周邊")</f>
        <v>0</v>
      </c>
      <c r="C1150"/>
      <c r="E1150"/>
    </row>
    <row r="1151" spans="1:5">
      <c r="A1151">
        <f>IFERROR(VLOOKUP(B1151,[1]銷貨單品號主檔!$A:$D,4,0),"學習周邊")</f>
        <v>0</v>
      </c>
      <c r="C1151"/>
      <c r="E1151"/>
    </row>
    <row r="1152" spans="1:5">
      <c r="A1152">
        <f>IFERROR(VLOOKUP(B1152,[1]銷貨單品號主檔!$A:$D,4,0),"學習周邊")</f>
        <v>0</v>
      </c>
      <c r="C1152"/>
      <c r="E1152"/>
    </row>
    <row r="1153" spans="1:5">
      <c r="A1153">
        <f>IFERROR(VLOOKUP(B1153,[1]銷貨單品號主檔!$A:$D,4,0),"學習周邊")</f>
        <v>0</v>
      </c>
      <c r="C1153"/>
      <c r="E1153"/>
    </row>
    <row r="1154" spans="1:5">
      <c r="A1154">
        <f>IFERROR(VLOOKUP(B1154,[1]銷貨單品號主檔!$A:$D,4,0),"學習周邊")</f>
        <v>0</v>
      </c>
      <c r="C1154"/>
      <c r="E1154"/>
    </row>
    <row r="1155" spans="1:5">
      <c r="A1155">
        <f>IFERROR(VLOOKUP(B1155,[1]銷貨單品號主檔!$A:$D,4,0),"學習周邊")</f>
        <v>0</v>
      </c>
      <c r="C1155"/>
      <c r="E1155"/>
    </row>
    <row r="1156" spans="1:5">
      <c r="A1156">
        <f>IFERROR(VLOOKUP(B1156,[1]銷貨單品號主檔!$A:$D,4,0),"學習周邊")</f>
        <v>0</v>
      </c>
      <c r="C1156"/>
      <c r="E1156"/>
    </row>
    <row r="1157" spans="1:5">
      <c r="A1157">
        <f>IFERROR(VLOOKUP(B1157,[1]銷貨單品號主檔!$A:$D,4,0),"學習周邊")</f>
        <v>0</v>
      </c>
      <c r="C1157"/>
      <c r="E1157"/>
    </row>
    <row r="1158" spans="1:5">
      <c r="A1158">
        <f>IFERROR(VLOOKUP(B1158,[1]銷貨單品號主檔!$A:$D,4,0),"學習周邊")</f>
        <v>0</v>
      </c>
      <c r="C1158"/>
      <c r="E1158"/>
    </row>
    <row r="1159" spans="1:5">
      <c r="A1159">
        <f>IFERROR(VLOOKUP(B1159,[1]銷貨單品號主檔!$A:$D,4,0),"學習周邊")</f>
        <v>0</v>
      </c>
      <c r="C1159"/>
      <c r="E1159"/>
    </row>
    <row r="1160" spans="1:5">
      <c r="A1160">
        <f>IFERROR(VLOOKUP(B1160,[1]銷貨單品號主檔!$A:$D,4,0),"學習周邊")</f>
        <v>0</v>
      </c>
      <c r="C1160"/>
      <c r="E1160"/>
    </row>
    <row r="1161" spans="1:5">
      <c r="A1161">
        <f>IFERROR(VLOOKUP(B1161,[1]銷貨單品號主檔!$A:$D,4,0),"學習周邊")</f>
        <v>0</v>
      </c>
      <c r="C1161"/>
      <c r="E1161"/>
    </row>
    <row r="1162" spans="1:5">
      <c r="A1162">
        <f>IFERROR(VLOOKUP(B1162,[1]銷貨單品號主檔!$A:$D,4,0),"學習周邊")</f>
        <v>0</v>
      </c>
      <c r="C1162"/>
      <c r="E1162"/>
    </row>
    <row r="1163" spans="1:5">
      <c r="A1163">
        <f>IFERROR(VLOOKUP(B1163,[1]銷貨單品號主檔!$A:$D,4,0),"學習周邊")</f>
        <v>0</v>
      </c>
      <c r="C1163"/>
      <c r="E1163"/>
    </row>
    <row r="1164" spans="1:5">
      <c r="A1164">
        <f>IFERROR(VLOOKUP(B1164,[1]銷貨單品號主檔!$A:$D,4,0),"學習周邊")</f>
        <v>0</v>
      </c>
      <c r="C1164"/>
      <c r="E1164"/>
    </row>
    <row r="1165" spans="1:5">
      <c r="A1165">
        <f>IFERROR(VLOOKUP(B1165,[1]銷貨單品號主檔!$A:$D,4,0),"學習周邊")</f>
        <v>0</v>
      </c>
      <c r="C1165"/>
      <c r="E1165"/>
    </row>
    <row r="1166" spans="1:5">
      <c r="A1166">
        <f>IFERROR(VLOOKUP(B1166,[1]銷貨單品號主檔!$A:$D,4,0),"學習周邊")</f>
        <v>0</v>
      </c>
      <c r="C1166"/>
      <c r="E1166"/>
    </row>
    <row r="1167" spans="1:5">
      <c r="A1167">
        <f>IFERROR(VLOOKUP(B1167,[1]銷貨單品號主檔!$A:$D,4,0),"學習周邊")</f>
        <v>0</v>
      </c>
      <c r="C1167"/>
      <c r="E1167"/>
    </row>
    <row r="1168" spans="1:5">
      <c r="A1168">
        <f>IFERROR(VLOOKUP(B1168,[1]銷貨單品號主檔!$A:$D,4,0),"學習周邊")</f>
        <v>0</v>
      </c>
      <c r="C1168"/>
      <c r="E1168"/>
    </row>
    <row r="1169" spans="1:5">
      <c r="A1169">
        <f>IFERROR(VLOOKUP(B1169,[1]銷貨單品號主檔!$A:$D,4,0),"學習周邊")</f>
        <v>0</v>
      </c>
      <c r="C1169"/>
      <c r="E1169"/>
    </row>
    <row r="1170" spans="1:5">
      <c r="A1170">
        <f>IFERROR(VLOOKUP(B1170,[1]銷貨單品號主檔!$A:$D,4,0),"學習周邊")</f>
        <v>0</v>
      </c>
      <c r="C1170"/>
      <c r="E1170"/>
    </row>
    <row r="1171" spans="1:5">
      <c r="A1171">
        <f>IFERROR(VLOOKUP(B1171,[1]銷貨單品號主檔!$A:$D,4,0),"學習周邊")</f>
        <v>0</v>
      </c>
      <c r="C1171"/>
      <c r="E1171"/>
    </row>
    <row r="1172" spans="1:5">
      <c r="A1172">
        <f>IFERROR(VLOOKUP(B1172,[1]銷貨單品號主檔!$A:$D,4,0),"學習周邊")</f>
        <v>0</v>
      </c>
      <c r="C1172"/>
      <c r="E1172"/>
    </row>
    <row r="1173" spans="1:5">
      <c r="A1173">
        <f>IFERROR(VLOOKUP(B1173,[1]銷貨單品號主檔!$A:$D,4,0),"學習周邊")</f>
        <v>0</v>
      </c>
      <c r="C1173"/>
      <c r="E1173"/>
    </row>
    <row r="1174" spans="1:5">
      <c r="A1174">
        <f>IFERROR(VLOOKUP(B1174,[1]銷貨單品號主檔!$A:$D,4,0),"學習周邊")</f>
        <v>0</v>
      </c>
      <c r="C1174"/>
      <c r="E1174"/>
    </row>
    <row r="1175" spans="1:5">
      <c r="A1175">
        <f>IFERROR(VLOOKUP(B1175,[1]銷貨單品號主檔!$A:$D,4,0),"學習周邊")</f>
        <v>0</v>
      </c>
      <c r="C1175"/>
      <c r="E1175"/>
    </row>
    <row r="1176" spans="1:5">
      <c r="A1176">
        <f>IFERROR(VLOOKUP(B1176,[1]銷貨單品號主檔!$A:$D,4,0),"學習周邊")</f>
        <v>0</v>
      </c>
      <c r="C1176"/>
      <c r="E1176"/>
    </row>
    <row r="1177" spans="1:5">
      <c r="A1177">
        <f>IFERROR(VLOOKUP(B1177,[1]銷貨單品號主檔!$A:$D,4,0),"學習周邊")</f>
        <v>0</v>
      </c>
      <c r="C1177"/>
      <c r="E1177"/>
    </row>
    <row r="1178" spans="1:5">
      <c r="A1178">
        <f>IFERROR(VLOOKUP(B1178,[1]銷貨單品號主檔!$A:$D,4,0),"學習周邊")</f>
        <v>0</v>
      </c>
      <c r="C1178"/>
      <c r="E1178"/>
    </row>
    <row r="1179" spans="1:5">
      <c r="A1179">
        <f>IFERROR(VLOOKUP(B1179,[1]銷貨單品號主檔!$A:$D,4,0),"學習周邊")</f>
        <v>0</v>
      </c>
      <c r="C1179"/>
      <c r="E1179"/>
    </row>
    <row r="1180" spans="1:5">
      <c r="A1180">
        <f>IFERROR(VLOOKUP(B1180,[1]銷貨單品號主檔!$A:$D,4,0),"學習周邊")</f>
        <v>0</v>
      </c>
      <c r="C1180"/>
      <c r="E1180"/>
    </row>
    <row r="1181" spans="1:5">
      <c r="A1181">
        <f>IFERROR(VLOOKUP(B1181,[1]銷貨單品號主檔!$A:$D,4,0),"學習周邊")</f>
        <v>0</v>
      </c>
      <c r="C1181"/>
      <c r="E1181"/>
    </row>
    <row r="1182" spans="1:5">
      <c r="A1182">
        <f>IFERROR(VLOOKUP(B1182,[1]銷貨單品號主檔!$A:$D,4,0),"學習周邊")</f>
        <v>0</v>
      </c>
      <c r="C1182"/>
      <c r="E1182"/>
    </row>
    <row r="1183" spans="1:5">
      <c r="A1183">
        <f>IFERROR(VLOOKUP(B1183,[1]銷貨單品號主檔!$A:$D,4,0),"學習周邊")</f>
        <v>0</v>
      </c>
      <c r="C1183"/>
      <c r="E1183"/>
    </row>
    <row r="1184" spans="1:5">
      <c r="A1184">
        <f>IFERROR(VLOOKUP(B1184,[1]銷貨單品號主檔!$A:$D,4,0),"學習周邊")</f>
        <v>0</v>
      </c>
      <c r="C1184"/>
      <c r="E1184"/>
    </row>
    <row r="1185" spans="1:5">
      <c r="A1185">
        <f>IFERROR(VLOOKUP(B1185,[1]銷貨單品號主檔!$A:$D,4,0),"學習周邊")</f>
        <v>0</v>
      </c>
      <c r="C1185"/>
      <c r="E1185"/>
    </row>
    <row r="1186" spans="1:5">
      <c r="A1186">
        <f>IFERROR(VLOOKUP(B1186,[1]銷貨單品號主檔!$A:$D,4,0),"學習周邊")</f>
        <v>0</v>
      </c>
      <c r="C1186"/>
      <c r="E1186"/>
    </row>
    <row r="1187" spans="1:5">
      <c r="A1187">
        <f>IFERROR(VLOOKUP(B1187,[1]銷貨單品號主檔!$A:$D,4,0),"學習周邊")</f>
        <v>0</v>
      </c>
      <c r="C1187"/>
      <c r="E1187"/>
    </row>
    <row r="1188" spans="1:5">
      <c r="A1188">
        <f>IFERROR(VLOOKUP(B1188,[1]銷貨單品號主檔!$A:$D,4,0),"學習周邊")</f>
        <v>0</v>
      </c>
      <c r="C1188"/>
      <c r="E1188"/>
    </row>
    <row r="1189" spans="1:5">
      <c r="A1189">
        <f>IFERROR(VLOOKUP(B1189,[1]銷貨單品號主檔!$A:$D,4,0),"學習周邊")</f>
        <v>0</v>
      </c>
      <c r="C1189"/>
      <c r="E1189"/>
    </row>
    <row r="1190" spans="1:5">
      <c r="A1190">
        <f>IFERROR(VLOOKUP(B1190,[1]銷貨單品號主檔!$A:$D,4,0),"學習周邊")</f>
        <v>0</v>
      </c>
      <c r="C1190"/>
      <c r="E1190"/>
    </row>
    <row r="1191" spans="1:5">
      <c r="A1191">
        <f>IFERROR(VLOOKUP(B1191,[1]銷貨單品號主檔!$A:$D,4,0),"學習周邊")</f>
        <v>0</v>
      </c>
      <c r="C1191"/>
      <c r="E1191"/>
    </row>
    <row r="1192" spans="1:5">
      <c r="A1192">
        <f>IFERROR(VLOOKUP(B1192,[1]銷貨單品號主檔!$A:$D,4,0),"學習周邊")</f>
        <v>0</v>
      </c>
      <c r="C1192"/>
      <c r="E1192"/>
    </row>
    <row r="1193" spans="1:5">
      <c r="A1193">
        <f>IFERROR(VLOOKUP(B1193,[1]銷貨單品號主檔!$A:$D,4,0),"學習周邊")</f>
        <v>0</v>
      </c>
      <c r="C1193"/>
      <c r="E1193"/>
    </row>
    <row r="1194" spans="1:5">
      <c r="A1194">
        <f>IFERROR(VLOOKUP(B1194,[1]銷貨單品號主檔!$A:$D,4,0),"學習周邊")</f>
        <v>0</v>
      </c>
      <c r="C1194"/>
      <c r="E1194"/>
    </row>
    <row r="1195" spans="1:5">
      <c r="A1195">
        <f>IFERROR(VLOOKUP(B1195,[1]銷貨單品號主檔!$A:$D,4,0),"學習周邊")</f>
        <v>0</v>
      </c>
      <c r="C1195"/>
      <c r="E1195"/>
    </row>
    <row r="1196" spans="1:5">
      <c r="A1196">
        <f>IFERROR(VLOOKUP(B1196,[1]銷貨單品號主檔!$A:$D,4,0),"學習周邊")</f>
        <v>0</v>
      </c>
      <c r="C1196"/>
      <c r="E1196"/>
    </row>
    <row r="1197" spans="1:5">
      <c r="A1197">
        <f>IFERROR(VLOOKUP(B1197,[1]銷貨單品號主檔!$A:$D,4,0),"學習周邊")</f>
        <v>0</v>
      </c>
      <c r="C1197"/>
      <c r="E1197"/>
    </row>
    <row r="1198" spans="1:5">
      <c r="A1198">
        <f>IFERROR(VLOOKUP(B1198,[1]銷貨單品號主檔!$A:$D,4,0),"學習周邊")</f>
        <v>0</v>
      </c>
      <c r="C1198"/>
      <c r="E1198"/>
    </row>
    <row r="1199" spans="1:5">
      <c r="A1199">
        <f>IFERROR(VLOOKUP(B1199,[1]銷貨單品號主檔!$A:$D,4,0),"學習周邊")</f>
        <v>0</v>
      </c>
      <c r="C1199"/>
      <c r="E1199"/>
    </row>
    <row r="1200" spans="1:5">
      <c r="A1200">
        <f>IFERROR(VLOOKUP(B1200,[1]銷貨單品號主檔!$A:$D,4,0),"學習周邊")</f>
        <v>0</v>
      </c>
      <c r="C1200"/>
      <c r="E1200"/>
    </row>
    <row r="1201" spans="1:5">
      <c r="A1201">
        <f>IFERROR(VLOOKUP(B1201,[1]銷貨單品號主檔!$A:$D,4,0),"學習周邊")</f>
        <v>0</v>
      </c>
      <c r="C1201"/>
      <c r="E1201"/>
    </row>
    <row r="1202" spans="1:5">
      <c r="A1202">
        <f>IFERROR(VLOOKUP(B1202,[1]銷貨單品號主檔!$A:$D,4,0),"學習周邊")</f>
        <v>0</v>
      </c>
      <c r="C1202"/>
      <c r="E1202"/>
    </row>
    <row r="1203" spans="1:5">
      <c r="A1203">
        <f>IFERROR(VLOOKUP(B1203,[1]銷貨單品號主檔!$A:$D,4,0),"學習周邊")</f>
        <v>0</v>
      </c>
      <c r="C1203"/>
      <c r="E1203"/>
    </row>
    <row r="1204" spans="1:5">
      <c r="A1204">
        <f>IFERROR(VLOOKUP(B1204,[1]銷貨單品號主檔!$A:$D,4,0),"學習周邊")</f>
        <v>0</v>
      </c>
      <c r="C1204"/>
      <c r="E1204"/>
    </row>
    <row r="1205" spans="1:5">
      <c r="A1205">
        <f>IFERROR(VLOOKUP(B1205,[1]銷貨單品號主檔!$A:$D,4,0),"學習周邊")</f>
        <v>0</v>
      </c>
      <c r="C1205"/>
      <c r="E1205"/>
    </row>
    <row r="1206" spans="1:5">
      <c r="A1206">
        <f>IFERROR(VLOOKUP(B1206,[1]銷貨單品號主檔!$A:$D,4,0),"學習周邊")</f>
        <v>0</v>
      </c>
      <c r="C1206"/>
      <c r="E1206"/>
    </row>
    <row r="1207" spans="1:5">
      <c r="A1207">
        <f>IFERROR(VLOOKUP(B1207,[1]銷貨單品號主檔!$A:$D,4,0),"學習周邊")</f>
        <v>0</v>
      </c>
      <c r="C1207"/>
      <c r="E1207"/>
    </row>
    <row r="1208" spans="1:5">
      <c r="A1208">
        <f>IFERROR(VLOOKUP(B1208,[1]銷貨單品號主檔!$A:$D,4,0),"學習周邊")</f>
        <v>0</v>
      </c>
      <c r="C1208"/>
      <c r="E1208"/>
    </row>
    <row r="1209" spans="1:5">
      <c r="A1209">
        <f>IFERROR(VLOOKUP(B1209,[1]銷貨單品號主檔!$A:$D,4,0),"學習周邊")</f>
        <v>0</v>
      </c>
      <c r="C1209"/>
      <c r="E1209"/>
    </row>
    <row r="1210" spans="1:5">
      <c r="A1210">
        <f>IFERROR(VLOOKUP(B1210,[1]銷貨單品號主檔!$A:$D,4,0),"學習周邊")</f>
        <v>0</v>
      </c>
      <c r="C1210"/>
      <c r="E1210"/>
    </row>
    <row r="1211" spans="1:5">
      <c r="A1211">
        <f>IFERROR(VLOOKUP(B1211,[1]銷貨單品號主檔!$A:$D,4,0),"學習周邊")</f>
        <v>0</v>
      </c>
      <c r="C1211"/>
      <c r="E1211"/>
    </row>
    <row r="1212" spans="1:5">
      <c r="A1212">
        <f>IFERROR(VLOOKUP(B1212,[1]銷貨單品號主檔!$A:$D,4,0),"學習周邊")</f>
        <v>0</v>
      </c>
      <c r="C1212"/>
      <c r="E1212"/>
    </row>
    <row r="1213" spans="1:5">
      <c r="A1213">
        <f>IFERROR(VLOOKUP(B1213,[1]銷貨單品號主檔!$A:$D,4,0),"學習周邊")</f>
        <v>0</v>
      </c>
      <c r="C1213"/>
      <c r="E1213"/>
    </row>
    <row r="1214" spans="1:5">
      <c r="A1214">
        <f>IFERROR(VLOOKUP(B1214,[1]銷貨單品號主檔!$A:$D,4,0),"學習周邊")</f>
        <v>0</v>
      </c>
      <c r="C1214"/>
      <c r="E1214"/>
    </row>
    <row r="1215" spans="1:5">
      <c r="A1215">
        <f>IFERROR(VLOOKUP(B1215,[1]銷貨單品號主檔!$A:$D,4,0),"學習周邊")</f>
        <v>0</v>
      </c>
      <c r="C1215"/>
      <c r="E1215"/>
    </row>
    <row r="1216" spans="1:5">
      <c r="A1216">
        <f>IFERROR(VLOOKUP(B1216,[1]銷貨單品號主檔!$A:$D,4,0),"學習周邊")</f>
        <v>0</v>
      </c>
      <c r="C1216"/>
      <c r="E1216"/>
    </row>
    <row r="1217" spans="1:5">
      <c r="A1217">
        <f>IFERROR(VLOOKUP(B1217,[1]銷貨單品號主檔!$A:$D,4,0),"學習周邊")</f>
        <v>0</v>
      </c>
      <c r="C1217"/>
      <c r="E1217"/>
    </row>
    <row r="1218" spans="1:5">
      <c r="A1218">
        <f>IFERROR(VLOOKUP(B1218,[1]銷貨單品號主檔!$A:$D,4,0),"學習周邊")</f>
        <v>0</v>
      </c>
      <c r="C1218"/>
      <c r="E1218"/>
    </row>
    <row r="1219" spans="1:5">
      <c r="A1219">
        <f>IFERROR(VLOOKUP(B1219,[1]銷貨單品號主檔!$A:$D,4,0),"學習周邊")</f>
        <v>0</v>
      </c>
      <c r="C1219"/>
      <c r="E1219"/>
    </row>
    <row r="1220" spans="1:5">
      <c r="A1220">
        <f>IFERROR(VLOOKUP(B1220,[1]銷貨單品號主檔!$A:$D,4,0),"學習周邊")</f>
        <v>0</v>
      </c>
      <c r="C1220"/>
      <c r="E1220"/>
    </row>
    <row r="1221" spans="1:5">
      <c r="A1221">
        <f>IFERROR(VLOOKUP(B1221,[1]銷貨單品號主檔!$A:$D,4,0),"學習周邊")</f>
        <v>0</v>
      </c>
      <c r="C1221"/>
      <c r="E1221"/>
    </row>
    <row r="1222" spans="1:5">
      <c r="A1222">
        <f>IFERROR(VLOOKUP(B1222,[1]銷貨單品號主檔!$A:$D,4,0),"學習周邊")</f>
        <v>0</v>
      </c>
      <c r="C1222"/>
      <c r="E1222"/>
    </row>
    <row r="1223" spans="1:5">
      <c r="A1223">
        <f>IFERROR(VLOOKUP(B1223,[1]銷貨單品號主檔!$A:$D,4,0),"學習周邊")</f>
        <v>0</v>
      </c>
      <c r="C1223"/>
      <c r="E1223"/>
    </row>
    <row r="1224" spans="1:5">
      <c r="A1224">
        <f>IFERROR(VLOOKUP(B1224,[1]銷貨單品號主檔!$A:$D,4,0),"學習周邊")</f>
        <v>0</v>
      </c>
      <c r="C1224"/>
      <c r="E1224"/>
    </row>
    <row r="1225" spans="1:5">
      <c r="A1225">
        <f>IFERROR(VLOOKUP(B1225,[1]銷貨單品號主檔!$A:$D,4,0),"學習周邊")</f>
        <v>0</v>
      </c>
      <c r="C1225"/>
      <c r="E1225"/>
    </row>
    <row r="1226" spans="1:5">
      <c r="A1226">
        <f>IFERROR(VLOOKUP(B1226,[1]銷貨單品號主檔!$A:$D,4,0),"學習周邊")</f>
        <v>0</v>
      </c>
      <c r="C1226"/>
      <c r="E1226"/>
    </row>
    <row r="1227" spans="1:5">
      <c r="A1227">
        <f>IFERROR(VLOOKUP(B1227,[1]銷貨單品號主檔!$A:$D,4,0),"學習周邊")</f>
        <v>0</v>
      </c>
      <c r="C1227"/>
      <c r="E1227"/>
    </row>
    <row r="1228" spans="1:5">
      <c r="A1228">
        <f>IFERROR(VLOOKUP(B1228,[1]銷貨單品號主檔!$A:$D,4,0),"學習周邊")</f>
        <v>0</v>
      </c>
      <c r="C1228"/>
      <c r="E1228"/>
    </row>
    <row r="1229" spans="1:5">
      <c r="A1229">
        <f>IFERROR(VLOOKUP(B1229,[1]銷貨單品號主檔!$A:$D,4,0),"學習周邊")</f>
        <v>0</v>
      </c>
      <c r="C1229"/>
      <c r="E1229"/>
    </row>
    <row r="1230" spans="1:5">
      <c r="A1230">
        <f>IFERROR(VLOOKUP(B1230,[1]銷貨單品號主檔!$A:$D,4,0),"學習周邊")</f>
        <v>0</v>
      </c>
      <c r="C1230"/>
      <c r="E1230"/>
    </row>
    <row r="1231" spans="1:5">
      <c r="A1231">
        <f>IFERROR(VLOOKUP(B1231,[1]銷貨單品號主檔!$A:$D,4,0),"學習周邊")</f>
        <v>0</v>
      </c>
      <c r="C1231"/>
      <c r="E1231"/>
    </row>
    <row r="1232" spans="1:5">
      <c r="A1232">
        <f>IFERROR(VLOOKUP(B1232,[1]銷貨單品號主檔!$A:$D,4,0),"學習周邊")</f>
        <v>0</v>
      </c>
      <c r="C1232"/>
      <c r="E1232"/>
    </row>
    <row r="1233" spans="1:5">
      <c r="A1233">
        <f>IFERROR(VLOOKUP(B1233,[1]銷貨單品號主檔!$A:$D,4,0),"學習周邊")</f>
        <v>0</v>
      </c>
      <c r="C1233"/>
      <c r="E1233"/>
    </row>
    <row r="1234" spans="1:5">
      <c r="A1234">
        <f>IFERROR(VLOOKUP(B1234,[1]銷貨單品號主檔!$A:$D,4,0),"學習周邊")</f>
        <v>0</v>
      </c>
      <c r="C1234"/>
      <c r="E1234"/>
    </row>
    <row r="1235" spans="1:5">
      <c r="A1235">
        <f>IFERROR(VLOOKUP(B1235,[1]銷貨單品號主檔!$A:$D,4,0),"學習周邊")</f>
        <v>0</v>
      </c>
      <c r="C1235"/>
      <c r="E1235"/>
    </row>
    <row r="1236" spans="1:5">
      <c r="A1236">
        <f>IFERROR(VLOOKUP(B1236,[1]銷貨單品號主檔!$A:$D,4,0),"學習周邊")</f>
        <v>0</v>
      </c>
      <c r="C1236"/>
      <c r="E1236"/>
    </row>
    <row r="1237" spans="1:5">
      <c r="A1237">
        <f>IFERROR(VLOOKUP(B1237,[1]銷貨單品號主檔!$A:$D,4,0),"學習周邊")</f>
        <v>0</v>
      </c>
      <c r="C1237"/>
      <c r="E1237"/>
    </row>
    <row r="1238" spans="1:5">
      <c r="A1238">
        <f>IFERROR(VLOOKUP(B1238,[1]銷貨單品號主檔!$A:$D,4,0),"學習周邊")</f>
        <v>0</v>
      </c>
      <c r="C1238"/>
      <c r="E1238"/>
    </row>
    <row r="1239" spans="1:5">
      <c r="A1239">
        <f>IFERROR(VLOOKUP(B1239,[1]銷貨單品號主檔!$A:$D,4,0),"學習周邊")</f>
        <v>0</v>
      </c>
      <c r="C1239"/>
      <c r="E1239"/>
    </row>
    <row r="1240" spans="1:5">
      <c r="A1240">
        <f>IFERROR(VLOOKUP(B1240,[1]銷貨單品號主檔!$A:$D,4,0),"學習周邊")</f>
        <v>0</v>
      </c>
      <c r="C1240"/>
      <c r="E1240"/>
    </row>
    <row r="1241" spans="1:5">
      <c r="A1241">
        <f>IFERROR(VLOOKUP(B1241,[1]銷貨單品號主檔!$A:$D,4,0),"學習周邊")</f>
        <v>0</v>
      </c>
      <c r="C1241"/>
      <c r="E1241"/>
    </row>
    <row r="1242" spans="1:5">
      <c r="A1242">
        <f>IFERROR(VLOOKUP(B1242,[1]銷貨單品號主檔!$A:$D,4,0),"學習周邊")</f>
        <v>0</v>
      </c>
      <c r="C1242"/>
      <c r="E1242"/>
    </row>
    <row r="1243" spans="1:5">
      <c r="A1243">
        <f>IFERROR(VLOOKUP(B1243,[1]銷貨單品號主檔!$A:$D,4,0),"學習周邊")</f>
        <v>0</v>
      </c>
      <c r="C1243"/>
      <c r="E1243"/>
    </row>
    <row r="1244" spans="1:5">
      <c r="A1244">
        <f>IFERROR(VLOOKUP(B1244,[1]銷貨單品號主檔!$A:$D,4,0),"學習周邊")</f>
        <v>0</v>
      </c>
      <c r="C1244"/>
      <c r="E1244"/>
    </row>
    <row r="1245" spans="1:5">
      <c r="A1245">
        <f>IFERROR(VLOOKUP(B1245,[1]銷貨單品號主檔!$A:$D,4,0),"學習周邊")</f>
        <v>0</v>
      </c>
      <c r="C1245"/>
      <c r="E1245"/>
    </row>
    <row r="1246" spans="1:5">
      <c r="A1246">
        <f>IFERROR(VLOOKUP(B1246,[1]銷貨單品號主檔!$A:$D,4,0),"學習周邊")</f>
        <v>0</v>
      </c>
      <c r="C1246"/>
      <c r="E1246"/>
    </row>
    <row r="1247" spans="1:5">
      <c r="A1247">
        <f>IFERROR(VLOOKUP(B1247,[1]銷貨單品號主檔!$A:$D,4,0),"學習周邊")</f>
        <v>0</v>
      </c>
      <c r="C1247"/>
      <c r="E1247"/>
    </row>
    <row r="1248" spans="1:5">
      <c r="A1248">
        <f>IFERROR(VLOOKUP(B1248,[1]銷貨單品號主檔!$A:$D,4,0),"學習周邊")</f>
        <v>0</v>
      </c>
      <c r="C1248"/>
      <c r="E1248"/>
    </row>
    <row r="1249" spans="1:5">
      <c r="A1249">
        <f>IFERROR(VLOOKUP(B1249,[1]銷貨單品號主檔!$A:$D,4,0),"學習周邊")</f>
        <v>0</v>
      </c>
      <c r="C1249"/>
      <c r="E1249"/>
    </row>
    <row r="1250" spans="1:5">
      <c r="A1250">
        <f>IFERROR(VLOOKUP(B1250,[1]銷貨單品號主檔!$A:$D,4,0),"學習周邊")</f>
        <v>0</v>
      </c>
      <c r="C1250"/>
      <c r="E1250"/>
    </row>
    <row r="1251" spans="1:5">
      <c r="A1251">
        <f>IFERROR(VLOOKUP(B1251,[1]銷貨單品號主檔!$A:$D,4,0),"學習周邊")</f>
        <v>0</v>
      </c>
      <c r="C1251"/>
      <c r="E1251"/>
    </row>
    <row r="1252" spans="1:5">
      <c r="A1252">
        <f>IFERROR(VLOOKUP(B1252,[1]銷貨單品號主檔!$A:$D,4,0),"學習周邊")</f>
        <v>0</v>
      </c>
      <c r="C1252"/>
      <c r="E1252"/>
    </row>
    <row r="1253" spans="1:5">
      <c r="A1253">
        <f>IFERROR(VLOOKUP(B1253,[1]銷貨單品號主檔!$A:$D,4,0),"學習周邊")</f>
        <v>0</v>
      </c>
      <c r="C1253"/>
      <c r="E1253"/>
    </row>
    <row r="1254" spans="1:5">
      <c r="A1254">
        <f>IFERROR(VLOOKUP(B1254,[1]銷貨單品號主檔!$A:$D,4,0),"學習周邊")</f>
        <v>0</v>
      </c>
      <c r="C1254"/>
      <c r="E1254"/>
    </row>
    <row r="1255" spans="1:5">
      <c r="A1255">
        <f>IFERROR(VLOOKUP(B1255,[1]銷貨單品號主檔!$A:$D,4,0),"學習周邊")</f>
        <v>0</v>
      </c>
      <c r="C1255"/>
      <c r="E1255"/>
    </row>
    <row r="1256" spans="1:5">
      <c r="A1256">
        <f>IFERROR(VLOOKUP(B1256,[1]銷貨單品號主檔!$A:$D,4,0),"學習周邊")</f>
        <v>0</v>
      </c>
      <c r="C1256"/>
      <c r="E1256"/>
    </row>
    <row r="1257" spans="1:5">
      <c r="A1257">
        <f>IFERROR(VLOOKUP(B1257,[1]銷貨單品號主檔!$A:$D,4,0),"學習周邊")</f>
        <v>0</v>
      </c>
      <c r="C1257"/>
      <c r="E1257"/>
    </row>
    <row r="1258" spans="1:5">
      <c r="A1258">
        <f>IFERROR(VLOOKUP(B1258,[1]銷貨單品號主檔!$A:$D,4,0),"學習周邊")</f>
        <v>0</v>
      </c>
      <c r="C1258"/>
      <c r="E1258"/>
    </row>
    <row r="1259" spans="1:5">
      <c r="A1259">
        <f>IFERROR(VLOOKUP(B1259,[1]銷貨單品號主檔!$A:$D,4,0),"學習周邊")</f>
        <v>0</v>
      </c>
      <c r="C1259"/>
      <c r="E1259"/>
    </row>
    <row r="1260" spans="1:5">
      <c r="A1260">
        <f>IFERROR(VLOOKUP(B1260,[1]銷貨單品號主檔!$A:$D,4,0),"學習周邊")</f>
        <v>0</v>
      </c>
      <c r="C1260"/>
      <c r="E1260"/>
    </row>
    <row r="1261" spans="1:5">
      <c r="A1261">
        <f>IFERROR(VLOOKUP(B1261,[1]銷貨單品號主檔!$A:$D,4,0),"學習周邊")</f>
        <v>0</v>
      </c>
      <c r="C1261"/>
      <c r="E1261"/>
    </row>
    <row r="1262" spans="1:5">
      <c r="A1262">
        <f>IFERROR(VLOOKUP(B1262,[1]銷貨單品號主檔!$A:$D,4,0),"學習周邊")</f>
        <v>0</v>
      </c>
      <c r="C1262"/>
      <c r="E1262"/>
    </row>
    <row r="1263" spans="1:5">
      <c r="A1263">
        <f>IFERROR(VLOOKUP(B1263,[1]銷貨單品號主檔!$A:$D,4,0),"學習周邊")</f>
        <v>0</v>
      </c>
      <c r="C1263"/>
      <c r="E1263"/>
    </row>
    <row r="1264" spans="1:5">
      <c r="A1264">
        <f>IFERROR(VLOOKUP(B1264,[1]銷貨單品號主檔!$A:$D,4,0),"學習周邊")</f>
        <v>0</v>
      </c>
      <c r="C1264"/>
      <c r="E1264"/>
    </row>
    <row r="1265" spans="1:5">
      <c r="A1265">
        <f>IFERROR(VLOOKUP(B1265,[1]銷貨單品號主檔!$A:$D,4,0),"學習周邊")</f>
        <v>0</v>
      </c>
      <c r="C1265"/>
      <c r="E1265"/>
    </row>
    <row r="1266" spans="1:5">
      <c r="A1266">
        <f>IFERROR(VLOOKUP(B1266,[1]銷貨單品號主檔!$A:$D,4,0),"學習周邊")</f>
        <v>0</v>
      </c>
      <c r="C1266"/>
      <c r="E1266"/>
    </row>
    <row r="1267" spans="1:5">
      <c r="A1267">
        <f>IFERROR(VLOOKUP(B1267,[1]銷貨單品號主檔!$A:$D,4,0),"學習周邊")</f>
        <v>0</v>
      </c>
      <c r="C1267"/>
      <c r="E1267"/>
    </row>
    <row r="1268" spans="1:5">
      <c r="A1268">
        <f>IFERROR(VLOOKUP(B1268,[1]銷貨單品號主檔!$A:$D,4,0),"學習周邊")</f>
        <v>0</v>
      </c>
      <c r="C1268"/>
      <c r="E1268"/>
    </row>
    <row r="1269" spans="1:5">
      <c r="A1269">
        <f>IFERROR(VLOOKUP(B1269,[1]銷貨單品號主檔!$A:$D,4,0),"學習周邊")</f>
        <v>0</v>
      </c>
      <c r="C1269"/>
      <c r="E1269"/>
    </row>
    <row r="1270" spans="1:5">
      <c r="A1270">
        <f>IFERROR(VLOOKUP(B1270,[1]銷貨單品號主檔!$A:$D,4,0),"學習周邊")</f>
        <v>0</v>
      </c>
      <c r="C1270"/>
      <c r="E1270"/>
    </row>
    <row r="1271" spans="1:5">
      <c r="A1271">
        <f>IFERROR(VLOOKUP(B1271,[1]銷貨單品號主檔!$A:$D,4,0),"學習周邊")</f>
        <v>0</v>
      </c>
      <c r="C1271"/>
      <c r="E1271"/>
    </row>
    <row r="1272" spans="1:5">
      <c r="A1272">
        <f>IFERROR(VLOOKUP(B1272,[1]銷貨單品號主檔!$A:$D,4,0),"學習周邊")</f>
        <v>0</v>
      </c>
      <c r="C1272"/>
      <c r="E1272"/>
    </row>
    <row r="1273" spans="1:5">
      <c r="A1273">
        <f>IFERROR(VLOOKUP(B1273,[1]銷貨單品號主檔!$A:$D,4,0),"學習周邊")</f>
        <v>0</v>
      </c>
      <c r="C1273"/>
      <c r="E1273"/>
    </row>
    <row r="1274" spans="1:5">
      <c r="A1274">
        <f>IFERROR(VLOOKUP(B1274,[1]銷貨單品號主檔!$A:$D,4,0),"學習周邊")</f>
        <v>0</v>
      </c>
      <c r="C1274"/>
      <c r="E1274"/>
    </row>
    <row r="1275" spans="1:5">
      <c r="A1275">
        <f>IFERROR(VLOOKUP(B1275,[1]銷貨單品號主檔!$A:$D,4,0),"學習周邊")</f>
        <v>0</v>
      </c>
      <c r="C1275"/>
      <c r="E1275"/>
    </row>
    <row r="1276" spans="1:5">
      <c r="A1276">
        <f>IFERROR(VLOOKUP(B1276,[1]銷貨單品號主檔!$A:$D,4,0),"學習周邊")</f>
        <v>0</v>
      </c>
      <c r="C1276"/>
      <c r="E1276"/>
    </row>
    <row r="1277" spans="1:5">
      <c r="A1277">
        <f>IFERROR(VLOOKUP(B1277,[1]銷貨單品號主檔!$A:$D,4,0),"學習周邊")</f>
        <v>0</v>
      </c>
      <c r="C1277"/>
      <c r="E1277"/>
    </row>
    <row r="1278" spans="1:5">
      <c r="A1278">
        <f>IFERROR(VLOOKUP(B1278,[1]銷貨單品號主檔!$A:$D,4,0),"學習周邊")</f>
        <v>0</v>
      </c>
      <c r="C1278"/>
      <c r="E1278"/>
    </row>
    <row r="1279" spans="1:5">
      <c r="A1279">
        <f>IFERROR(VLOOKUP(B1279,[1]銷貨單品號主檔!$A:$D,4,0),"學習周邊")</f>
        <v>0</v>
      </c>
      <c r="C1279"/>
      <c r="E1279"/>
    </row>
    <row r="1280" spans="1:5">
      <c r="A1280">
        <f>IFERROR(VLOOKUP(B1280,[1]銷貨單品號主檔!$A:$D,4,0),"學習周邊")</f>
        <v>0</v>
      </c>
      <c r="C1280"/>
      <c r="E1280"/>
    </row>
    <row r="1281" spans="1:5">
      <c r="A1281">
        <f>IFERROR(VLOOKUP(B1281,[1]銷貨單品號主檔!$A:$D,4,0),"學習周邊")</f>
        <v>0</v>
      </c>
      <c r="C1281"/>
      <c r="E1281"/>
    </row>
    <row r="1282" spans="1:5">
      <c r="A1282">
        <f>IFERROR(VLOOKUP(B1282,[1]銷貨單品號主檔!$A:$D,4,0),"學習周邊")</f>
        <v>0</v>
      </c>
      <c r="C1282"/>
      <c r="E1282"/>
    </row>
    <row r="1283" spans="1:5">
      <c r="A1283">
        <f>IFERROR(VLOOKUP(B1283,[1]銷貨單品號主檔!$A:$D,4,0),"學習周邊")</f>
        <v>0</v>
      </c>
      <c r="C1283"/>
      <c r="E1283"/>
    </row>
    <row r="1284" spans="1:5">
      <c r="A1284">
        <f>IFERROR(VLOOKUP(B1284,[1]銷貨單品號主檔!$A:$D,4,0),"學習周邊")</f>
        <v>0</v>
      </c>
      <c r="C1284"/>
      <c r="E1284"/>
    </row>
    <row r="1285" spans="1:5">
      <c r="A1285">
        <f>IFERROR(VLOOKUP(B1285,[1]銷貨單品號主檔!$A:$D,4,0),"學習周邊")</f>
        <v>0</v>
      </c>
      <c r="C1285"/>
      <c r="E1285"/>
    </row>
    <row r="1286" spans="1:5">
      <c r="A1286">
        <f>IFERROR(VLOOKUP(B1286,[1]銷貨單品號主檔!$A:$D,4,0),"學習周邊")</f>
        <v>0</v>
      </c>
      <c r="C1286"/>
      <c r="E1286"/>
    </row>
    <row r="1287" spans="1:5">
      <c r="A1287">
        <f>IFERROR(VLOOKUP(B1287,[1]銷貨單品號主檔!$A:$D,4,0),"學習周邊")</f>
        <v>0</v>
      </c>
      <c r="C1287"/>
      <c r="E1287"/>
    </row>
    <row r="1288" spans="1:5">
      <c r="A1288">
        <f>IFERROR(VLOOKUP(B1288,[1]銷貨單品號主檔!$A:$D,4,0),"學習周邊")</f>
        <v>0</v>
      </c>
      <c r="C1288"/>
      <c r="E1288"/>
    </row>
    <row r="1289" spans="1:5">
      <c r="A1289">
        <f>IFERROR(VLOOKUP(B1289,[1]銷貨單品號主檔!$A:$D,4,0),"學習周邊")</f>
        <v>0</v>
      </c>
      <c r="C1289"/>
      <c r="E1289"/>
    </row>
    <row r="1290" spans="1:5">
      <c r="A1290">
        <f>IFERROR(VLOOKUP(B1290,[1]銷貨單品號主檔!$A:$D,4,0),"學習周邊")</f>
        <v>0</v>
      </c>
      <c r="C1290"/>
      <c r="E1290"/>
    </row>
    <row r="1291" spans="1:5">
      <c r="A1291">
        <f>IFERROR(VLOOKUP(B1291,[1]銷貨單品號主檔!$A:$D,4,0),"學習周邊")</f>
        <v>0</v>
      </c>
      <c r="C1291"/>
      <c r="E1291"/>
    </row>
    <row r="1292" spans="1:5">
      <c r="A1292">
        <f>IFERROR(VLOOKUP(B1292,[1]銷貨單品號主檔!$A:$D,4,0),"學習周邊")</f>
        <v>0</v>
      </c>
      <c r="C1292"/>
      <c r="E1292"/>
    </row>
    <row r="1293" spans="1:5">
      <c r="A1293">
        <f>IFERROR(VLOOKUP(B1293,[1]銷貨單品號主檔!$A:$D,4,0),"學習周邊")</f>
        <v>0</v>
      </c>
      <c r="C1293"/>
      <c r="E1293"/>
    </row>
    <row r="1294" spans="1:5">
      <c r="A1294">
        <f>IFERROR(VLOOKUP(B1294,[1]銷貨單品號主檔!$A:$D,4,0),"學習周邊")</f>
        <v>0</v>
      </c>
      <c r="C1294"/>
      <c r="E1294"/>
    </row>
    <row r="1295" spans="1:5">
      <c r="A1295">
        <f>IFERROR(VLOOKUP(B1295,[1]銷貨單品號主檔!$A:$D,4,0),"學習周邊")</f>
        <v>0</v>
      </c>
      <c r="C1295"/>
      <c r="E1295"/>
    </row>
    <row r="1296" spans="1:5">
      <c r="A1296">
        <f>IFERROR(VLOOKUP(B1296,[1]銷貨單品號主檔!$A:$D,4,0),"學習周邊")</f>
        <v>0</v>
      </c>
      <c r="C1296"/>
      <c r="E1296"/>
    </row>
    <row r="1297" spans="1:5">
      <c r="A1297">
        <f>IFERROR(VLOOKUP(B1297,[1]銷貨單品號主檔!$A:$D,4,0),"學習周邊")</f>
        <v>0</v>
      </c>
      <c r="C1297"/>
      <c r="E1297"/>
    </row>
    <row r="1298" spans="1:5">
      <c r="A1298">
        <f>IFERROR(VLOOKUP(B1298,[1]銷貨單品號主檔!$A:$D,4,0),"學習周邊")</f>
        <v>0</v>
      </c>
      <c r="C1298"/>
      <c r="E1298"/>
    </row>
    <row r="1299" spans="1:5">
      <c r="A1299">
        <f>IFERROR(VLOOKUP(B1299,[1]銷貨單品號主檔!$A:$D,4,0),"學習周邊")</f>
        <v>0</v>
      </c>
      <c r="C1299"/>
      <c r="E1299"/>
    </row>
    <row r="1300" spans="1:5">
      <c r="A1300">
        <f>IFERROR(VLOOKUP(B1300,[1]銷貨單品號主檔!$A:$D,4,0),"學習周邊")</f>
        <v>0</v>
      </c>
      <c r="C1300"/>
      <c r="E1300"/>
    </row>
    <row r="1301" spans="1:5">
      <c r="A1301">
        <f>IFERROR(VLOOKUP(B1301,[1]銷貨單品號主檔!$A:$D,4,0),"學習周邊")</f>
        <v>0</v>
      </c>
      <c r="C1301"/>
      <c r="E1301"/>
    </row>
    <row r="1302" spans="1:5">
      <c r="A1302">
        <f>IFERROR(VLOOKUP(B1302,[1]銷貨單品號主檔!$A:$D,4,0),"學習周邊")</f>
        <v>0</v>
      </c>
      <c r="C1302"/>
      <c r="E1302"/>
    </row>
    <row r="1303" spans="1:5">
      <c r="A1303">
        <f>IFERROR(VLOOKUP(B1303,[1]銷貨單品號主檔!$A:$D,4,0),"學習周邊")</f>
        <v>0</v>
      </c>
      <c r="C1303"/>
      <c r="E1303"/>
    </row>
    <row r="1304" spans="1:5">
      <c r="A1304">
        <f>IFERROR(VLOOKUP(B1304,[1]銷貨單品號主檔!$A:$D,4,0),"學習周邊")</f>
        <v>0</v>
      </c>
      <c r="C1304"/>
      <c r="E1304"/>
    </row>
    <row r="1305" spans="1:5">
      <c r="A1305">
        <f>IFERROR(VLOOKUP(B1305,[1]銷貨單品號主檔!$A:$D,4,0),"學習周邊")</f>
        <v>0</v>
      </c>
      <c r="C1305"/>
      <c r="E1305"/>
    </row>
    <row r="1306" spans="1:5">
      <c r="A1306">
        <f>IFERROR(VLOOKUP(B1306,[1]銷貨單品號主檔!$A:$D,4,0),"學習周邊")</f>
        <v>0</v>
      </c>
      <c r="C1306"/>
      <c r="E1306"/>
    </row>
    <row r="1307" spans="1:5">
      <c r="A1307">
        <f>IFERROR(VLOOKUP(B1307,[1]銷貨單品號主檔!$A:$D,4,0),"學習周邊")</f>
        <v>0</v>
      </c>
      <c r="C1307"/>
      <c r="E1307"/>
    </row>
    <row r="1308" spans="1:5">
      <c r="A1308">
        <f>IFERROR(VLOOKUP(B1308,[1]銷貨單品號主檔!$A:$D,4,0),"學習周邊")</f>
        <v>0</v>
      </c>
      <c r="C1308"/>
      <c r="E1308"/>
    </row>
    <row r="1309" spans="1:5">
      <c r="A1309">
        <f>IFERROR(VLOOKUP(B1309,[1]銷貨單品號主檔!$A:$D,4,0),"學習周邊")</f>
        <v>0</v>
      </c>
      <c r="C1309"/>
      <c r="E1309"/>
    </row>
    <row r="1310" spans="1:5">
      <c r="A1310">
        <f>IFERROR(VLOOKUP(B1310,[1]銷貨單品號主檔!$A:$D,4,0),"學習周邊")</f>
        <v>0</v>
      </c>
      <c r="C1310"/>
      <c r="E1310"/>
    </row>
    <row r="1311" spans="1:5">
      <c r="A1311">
        <f>IFERROR(VLOOKUP(B1311,[1]銷貨單品號主檔!$A:$D,4,0),"學習周邊")</f>
        <v>0</v>
      </c>
      <c r="C1311"/>
      <c r="E1311"/>
    </row>
    <row r="1312" spans="1:5">
      <c r="A1312">
        <f>IFERROR(VLOOKUP(B1312,[1]銷貨單品號主檔!$A:$D,4,0),"學習周邊")</f>
        <v>0</v>
      </c>
      <c r="C1312"/>
      <c r="E1312"/>
    </row>
    <row r="1313" spans="1:5">
      <c r="A1313">
        <f>IFERROR(VLOOKUP(B1313,[1]銷貨單品號主檔!$A:$D,4,0),"學習周邊")</f>
        <v>0</v>
      </c>
      <c r="C1313"/>
      <c r="E1313"/>
    </row>
    <row r="1314" spans="1:5">
      <c r="A1314">
        <f>IFERROR(VLOOKUP(B1314,[1]銷貨單品號主檔!$A:$D,4,0),"學習周邊")</f>
        <v>0</v>
      </c>
      <c r="C1314"/>
      <c r="E1314"/>
    </row>
    <row r="1315" spans="1:5">
      <c r="A1315">
        <f>IFERROR(VLOOKUP(B1315,[1]銷貨單品號主檔!$A:$D,4,0),"學習周邊")</f>
        <v>0</v>
      </c>
      <c r="C1315"/>
      <c r="E1315"/>
    </row>
    <row r="1316" spans="1:5">
      <c r="A1316">
        <f>IFERROR(VLOOKUP(B1316,[1]銷貨單品號主檔!$A:$D,4,0),"學習周邊")</f>
        <v>0</v>
      </c>
      <c r="C1316"/>
      <c r="E1316"/>
    </row>
    <row r="1317" spans="1:5">
      <c r="A1317">
        <f>IFERROR(VLOOKUP(B1317,[1]銷貨單品號主檔!$A:$D,4,0),"學習周邊")</f>
        <v>0</v>
      </c>
      <c r="C1317"/>
      <c r="E1317"/>
    </row>
    <row r="1318" spans="1:5">
      <c r="A1318">
        <f>IFERROR(VLOOKUP(B1318,[1]銷貨單品號主檔!$A:$D,4,0),"學習周邊")</f>
        <v>0</v>
      </c>
      <c r="C1318"/>
      <c r="E1318"/>
    </row>
    <row r="1319" spans="1:5">
      <c r="A1319">
        <f>IFERROR(VLOOKUP(B1319,[1]銷貨單品號主檔!$A:$D,4,0),"學習周邊")</f>
        <v>0</v>
      </c>
      <c r="C1319"/>
      <c r="E1319"/>
    </row>
    <row r="1320" spans="1:5">
      <c r="A1320">
        <f>IFERROR(VLOOKUP(B1320,[1]銷貨單品號主檔!$A:$D,4,0),"學習周邊")</f>
        <v>0</v>
      </c>
      <c r="C1320"/>
      <c r="E1320"/>
    </row>
    <row r="1321" spans="1:5">
      <c r="A1321">
        <f>IFERROR(VLOOKUP(B1321,[1]銷貨單品號主檔!$A:$D,4,0),"學習周邊")</f>
        <v>0</v>
      </c>
      <c r="C1321"/>
      <c r="E1321"/>
    </row>
    <row r="1322" spans="1:5">
      <c r="A1322">
        <f>IFERROR(VLOOKUP(B1322,[1]銷貨單品號主檔!$A:$D,4,0),"學習周邊")</f>
        <v>0</v>
      </c>
      <c r="C1322"/>
      <c r="E1322"/>
    </row>
    <row r="1323" spans="1:5">
      <c r="A1323">
        <f>IFERROR(VLOOKUP(B1323,[1]銷貨單品號主檔!$A:$D,4,0),"學習周邊")</f>
        <v>0</v>
      </c>
      <c r="C1323"/>
      <c r="E1323"/>
    </row>
    <row r="1324" spans="1:5">
      <c r="A1324">
        <f>IFERROR(VLOOKUP(B1324,[1]銷貨單品號主檔!$A:$D,4,0),"學習周邊")</f>
        <v>0</v>
      </c>
      <c r="C1324"/>
      <c r="E1324"/>
    </row>
    <row r="1325" spans="1:5">
      <c r="A1325">
        <f>IFERROR(VLOOKUP(B1325,[1]銷貨單品號主檔!$A:$D,4,0),"學習周邊")</f>
        <v>0</v>
      </c>
      <c r="C1325"/>
      <c r="E1325"/>
    </row>
    <row r="1326" spans="1:5">
      <c r="A1326">
        <f>IFERROR(VLOOKUP(B1326,[1]銷貨單品號主檔!$A:$D,4,0),"學習周邊")</f>
        <v>0</v>
      </c>
      <c r="C1326"/>
      <c r="E1326"/>
    </row>
    <row r="1327" spans="1:5">
      <c r="A1327">
        <f>IFERROR(VLOOKUP(B1327,[1]銷貨單品號主檔!$A:$D,4,0),"學習周邊")</f>
        <v>0</v>
      </c>
      <c r="C1327"/>
      <c r="E1327"/>
    </row>
    <row r="1328" spans="1:5">
      <c r="A1328">
        <f>IFERROR(VLOOKUP(B1328,[1]銷貨單品號主檔!$A:$D,4,0),"學習周邊")</f>
        <v>0</v>
      </c>
      <c r="C1328"/>
      <c r="E1328"/>
    </row>
    <row r="1329" spans="1:5">
      <c r="A1329">
        <f>IFERROR(VLOOKUP(B1329,[1]銷貨單品號主檔!$A:$D,4,0),"學習周邊")</f>
        <v>0</v>
      </c>
      <c r="C1329"/>
      <c r="E1329"/>
    </row>
    <row r="1330" spans="1:5">
      <c r="A1330">
        <f>IFERROR(VLOOKUP(B1330,[1]銷貨單品號主檔!$A:$D,4,0),"學習周邊")</f>
        <v>0</v>
      </c>
      <c r="C1330"/>
      <c r="E1330"/>
    </row>
    <row r="1331" spans="1:5">
      <c r="A1331">
        <f>IFERROR(VLOOKUP(B1331,[1]銷貨單品號主檔!$A:$D,4,0),"學習周邊")</f>
        <v>0</v>
      </c>
      <c r="C1331"/>
      <c r="E1331"/>
    </row>
    <row r="1332" spans="1:5">
      <c r="A1332">
        <f>IFERROR(VLOOKUP(B1332,[1]銷貨單品號主檔!$A:$D,4,0),"學習周邊")</f>
        <v>0</v>
      </c>
      <c r="C1332"/>
      <c r="E1332"/>
    </row>
    <row r="1333" spans="1:5">
      <c r="A1333">
        <f>IFERROR(VLOOKUP(B1333,[1]銷貨單品號主檔!$A:$D,4,0),"學習周邊")</f>
        <v>0</v>
      </c>
      <c r="C1333"/>
      <c r="E1333"/>
    </row>
    <row r="1334" spans="1:5">
      <c r="A1334">
        <f>IFERROR(VLOOKUP(B1334,[1]銷貨單品號主檔!$A:$D,4,0),"學習周邊")</f>
        <v>0</v>
      </c>
      <c r="C1334"/>
      <c r="E1334"/>
    </row>
    <row r="1335" spans="1:5">
      <c r="A1335">
        <f>IFERROR(VLOOKUP(B1335,[1]銷貨單品號主檔!$A:$D,4,0),"學習周邊")</f>
        <v>0</v>
      </c>
      <c r="C1335"/>
      <c r="E1335"/>
    </row>
    <row r="1336" spans="1:5">
      <c r="A1336">
        <f>IFERROR(VLOOKUP(B1336,[1]銷貨單品號主檔!$A:$D,4,0),"學習周邊")</f>
        <v>0</v>
      </c>
      <c r="C1336"/>
      <c r="E1336"/>
    </row>
    <row r="1337" spans="1:5">
      <c r="A1337">
        <f>IFERROR(VLOOKUP(B1337,[1]銷貨單品號主檔!$A:$D,4,0),"學習周邊")</f>
        <v>0</v>
      </c>
      <c r="C1337"/>
      <c r="E1337"/>
    </row>
    <row r="1338" spans="1:5">
      <c r="A1338">
        <f>IFERROR(VLOOKUP(B1338,[1]銷貨單品號主檔!$A:$D,4,0),"學習周邊")</f>
        <v>0</v>
      </c>
      <c r="C1338"/>
      <c r="E1338"/>
    </row>
    <row r="1339" spans="1:5">
      <c r="A1339">
        <f>IFERROR(VLOOKUP(B1339,[1]銷貨單品號主檔!$A:$D,4,0),"學習周邊")</f>
        <v>0</v>
      </c>
      <c r="C1339"/>
      <c r="E1339"/>
    </row>
    <row r="1340" spans="1:5">
      <c r="A1340">
        <f>IFERROR(VLOOKUP(B1340,[1]銷貨單品號主檔!$A:$D,4,0),"學習周邊")</f>
        <v>0</v>
      </c>
      <c r="C1340"/>
      <c r="E1340"/>
    </row>
    <row r="1341" spans="1:5">
      <c r="A1341">
        <f>IFERROR(VLOOKUP(B1341,[1]銷貨單品號主檔!$A:$D,4,0),"學習周邊")</f>
        <v>0</v>
      </c>
      <c r="C1341"/>
      <c r="E1341"/>
    </row>
    <row r="1342" spans="1:5">
      <c r="A1342">
        <f>IFERROR(VLOOKUP(B1342,[1]銷貨單品號主檔!$A:$D,4,0),"學習周邊")</f>
        <v>0</v>
      </c>
      <c r="C1342"/>
      <c r="E1342"/>
    </row>
    <row r="1343" spans="1:5">
      <c r="A1343">
        <f>IFERROR(VLOOKUP(B1343,[1]銷貨單品號主檔!$A:$D,4,0),"學習周邊")</f>
        <v>0</v>
      </c>
      <c r="C1343"/>
      <c r="E1343"/>
    </row>
    <row r="1344" spans="1:5">
      <c r="A1344">
        <f>IFERROR(VLOOKUP(B1344,[1]銷貨單品號主檔!$A:$D,4,0),"學習周邊")</f>
        <v>0</v>
      </c>
      <c r="C1344"/>
      <c r="E1344"/>
    </row>
    <row r="1345" spans="1:5">
      <c r="A1345">
        <f>IFERROR(VLOOKUP(B1345,[1]銷貨單品號主檔!$A:$D,4,0),"學習周邊")</f>
        <v>0</v>
      </c>
      <c r="C1345"/>
      <c r="E1345"/>
    </row>
    <row r="1346" spans="1:5">
      <c r="A1346">
        <f>IFERROR(VLOOKUP(B1346,[1]銷貨單品號主檔!$A:$D,4,0),"學習周邊")</f>
        <v>0</v>
      </c>
      <c r="C1346"/>
      <c r="E1346"/>
    </row>
    <row r="1347" spans="1:5">
      <c r="A1347">
        <f>IFERROR(VLOOKUP(B1347,[1]銷貨單品號主檔!$A:$D,4,0),"學習周邊")</f>
        <v>0</v>
      </c>
      <c r="C1347"/>
      <c r="E1347"/>
    </row>
    <row r="1348" spans="1:5">
      <c r="A1348">
        <f>IFERROR(VLOOKUP(B1348,[1]銷貨單品號主檔!$A:$D,4,0),"學習周邊")</f>
        <v>0</v>
      </c>
      <c r="C1348"/>
      <c r="E1348"/>
    </row>
    <row r="1349" spans="1:5">
      <c r="A1349">
        <f>IFERROR(VLOOKUP(B1349,[1]銷貨單品號主檔!$A:$D,4,0),"學習周邊")</f>
        <v>0</v>
      </c>
      <c r="C1349"/>
      <c r="E1349"/>
    </row>
    <row r="1350" spans="1:5">
      <c r="A1350">
        <f>IFERROR(VLOOKUP(B1350,[1]銷貨單品號主檔!$A:$D,4,0),"學習周邊")</f>
        <v>0</v>
      </c>
      <c r="C1350"/>
      <c r="E1350"/>
    </row>
    <row r="1351" spans="1:5">
      <c r="A1351">
        <f>IFERROR(VLOOKUP(B1351,[1]銷貨單品號主檔!$A:$D,4,0),"學習周邊")</f>
        <v>0</v>
      </c>
      <c r="C1351"/>
      <c r="E1351"/>
    </row>
    <row r="1352" spans="1:5">
      <c r="A1352">
        <f>IFERROR(VLOOKUP(B1352,[1]銷貨單品號主檔!$A:$D,4,0),"學習周邊")</f>
        <v>0</v>
      </c>
      <c r="C1352"/>
      <c r="E1352"/>
    </row>
    <row r="1353" spans="1:5">
      <c r="A1353">
        <f>IFERROR(VLOOKUP(B1353,[1]銷貨單品號主檔!$A:$D,4,0),"學習周邊")</f>
        <v>0</v>
      </c>
      <c r="C1353"/>
      <c r="E1353"/>
    </row>
    <row r="1354" spans="1:5">
      <c r="A1354">
        <f>IFERROR(VLOOKUP(B1354,[1]銷貨單品號主檔!$A:$D,4,0),"學習周邊")</f>
        <v>0</v>
      </c>
      <c r="C1354"/>
      <c r="E1354"/>
    </row>
    <row r="1355" spans="1:5">
      <c r="A1355">
        <f>IFERROR(VLOOKUP(B1355,[1]銷貨單品號主檔!$A:$D,4,0),"學習周邊")</f>
        <v>0</v>
      </c>
      <c r="C1355"/>
      <c r="E1355"/>
    </row>
    <row r="1356" spans="1:5">
      <c r="A1356">
        <f>IFERROR(VLOOKUP(B1356,[1]銷貨單品號主檔!$A:$D,4,0),"學習周邊")</f>
        <v>0</v>
      </c>
      <c r="C1356"/>
      <c r="E1356"/>
    </row>
    <row r="1357" spans="1:5">
      <c r="A1357">
        <f>IFERROR(VLOOKUP(B1357,[1]銷貨單品號主檔!$A:$D,4,0),"學習周邊")</f>
        <v>0</v>
      </c>
      <c r="C1357"/>
      <c r="E1357"/>
    </row>
    <row r="1358" spans="1:5">
      <c r="A1358">
        <f>IFERROR(VLOOKUP(B1358,[1]銷貨單品號主檔!$A:$D,4,0),"學習周邊")</f>
        <v>0</v>
      </c>
      <c r="C1358"/>
      <c r="E1358"/>
    </row>
    <row r="1359" spans="1:5">
      <c r="A1359">
        <f>IFERROR(VLOOKUP(B1359,[1]銷貨單品號主檔!$A:$D,4,0),"學習周邊")</f>
        <v>0</v>
      </c>
      <c r="C1359"/>
      <c r="E1359"/>
    </row>
    <row r="1360" spans="1:5">
      <c r="A1360">
        <f>IFERROR(VLOOKUP(B1360,[1]銷貨單品號主檔!$A:$D,4,0),"學習周邊")</f>
        <v>0</v>
      </c>
      <c r="C1360"/>
      <c r="E1360"/>
    </row>
    <row r="1361" spans="1:5">
      <c r="A1361">
        <f>IFERROR(VLOOKUP(B1361,[1]銷貨單品號主檔!$A:$D,4,0),"學習周邊")</f>
        <v>0</v>
      </c>
      <c r="C1361"/>
      <c r="E1361"/>
    </row>
    <row r="1362" spans="1:5">
      <c r="A1362">
        <f>IFERROR(VLOOKUP(B1362,[1]銷貨單品號主檔!$A:$D,4,0),"學習周邊")</f>
        <v>0</v>
      </c>
      <c r="C1362"/>
      <c r="E1362"/>
    </row>
    <row r="1363" spans="1:5">
      <c r="A1363">
        <f>IFERROR(VLOOKUP(B1363,[1]銷貨單品號主檔!$A:$D,4,0),"學習周邊")</f>
        <v>0</v>
      </c>
      <c r="C1363"/>
      <c r="E1363"/>
    </row>
    <row r="1364" spans="1:5">
      <c r="A1364">
        <f>IFERROR(VLOOKUP(B1364,[1]銷貨單品號主檔!$A:$D,4,0),"學習周邊")</f>
        <v>0</v>
      </c>
      <c r="C1364"/>
      <c r="E1364"/>
    </row>
    <row r="1365" spans="1:5">
      <c r="A1365">
        <f>IFERROR(VLOOKUP(B1365,[1]銷貨單品號主檔!$A:$D,4,0),"學習周邊")</f>
        <v>0</v>
      </c>
      <c r="C1365"/>
      <c r="E1365"/>
    </row>
    <row r="1366" spans="1:5">
      <c r="A1366">
        <f>IFERROR(VLOOKUP(B1366,[1]銷貨單品號主檔!$A:$D,4,0),"學習周邊")</f>
        <v>0</v>
      </c>
      <c r="C1366"/>
      <c r="E1366"/>
    </row>
    <row r="1367" spans="1:5">
      <c r="A1367">
        <f>IFERROR(VLOOKUP(B1367,[1]銷貨單品號主檔!$A:$D,4,0),"學習周邊")</f>
        <v>0</v>
      </c>
      <c r="C1367"/>
      <c r="E1367"/>
    </row>
    <row r="1368" spans="1:5">
      <c r="A1368">
        <f>IFERROR(VLOOKUP(B1368,[1]銷貨單品號主檔!$A:$D,4,0),"學習周邊")</f>
        <v>0</v>
      </c>
      <c r="C1368"/>
      <c r="E1368"/>
    </row>
    <row r="1369" spans="1:5">
      <c r="A1369">
        <f>IFERROR(VLOOKUP(B1369,[1]銷貨單品號主檔!$A:$D,4,0),"學習周邊")</f>
        <v>0</v>
      </c>
      <c r="C1369"/>
      <c r="E1369"/>
    </row>
    <row r="1370" spans="1:5">
      <c r="A1370">
        <f>IFERROR(VLOOKUP(B1370,[1]銷貨單品號主檔!$A:$D,4,0),"學習周邊")</f>
        <v>0</v>
      </c>
      <c r="C1370"/>
      <c r="E1370"/>
    </row>
    <row r="1371" spans="1:5">
      <c r="A1371">
        <f>IFERROR(VLOOKUP(B1371,[1]銷貨單品號主檔!$A:$D,4,0),"學習周邊")</f>
        <v>0</v>
      </c>
      <c r="C1371"/>
      <c r="E1371"/>
    </row>
    <row r="1372" spans="1:5">
      <c r="A1372">
        <f>IFERROR(VLOOKUP(B1372,[1]銷貨單品號主檔!$A:$D,4,0),"學習周邊")</f>
        <v>0</v>
      </c>
      <c r="C1372"/>
      <c r="E1372"/>
    </row>
    <row r="1373" spans="1:5">
      <c r="A1373">
        <f>IFERROR(VLOOKUP(B1373,[1]銷貨單品號主檔!$A:$D,4,0),"學習周邊")</f>
        <v>0</v>
      </c>
      <c r="C1373"/>
      <c r="E1373"/>
    </row>
    <row r="1374" spans="1:5">
      <c r="A1374">
        <f>IFERROR(VLOOKUP(B1374,[1]銷貨單品號主檔!$A:$D,4,0),"學習周邊")</f>
        <v>0</v>
      </c>
      <c r="C1374"/>
      <c r="E1374"/>
    </row>
    <row r="1375" spans="1:5">
      <c r="A1375">
        <f>IFERROR(VLOOKUP(B1375,[1]銷貨單品號主檔!$A:$D,4,0),"學習周邊")</f>
        <v>0</v>
      </c>
      <c r="C1375"/>
      <c r="E1375"/>
    </row>
    <row r="1376" spans="1:5">
      <c r="A1376">
        <f>IFERROR(VLOOKUP(B1376,[1]銷貨單品號主檔!$A:$D,4,0),"學習周邊")</f>
        <v>0</v>
      </c>
      <c r="C1376"/>
      <c r="E1376"/>
    </row>
    <row r="1377" spans="1:5">
      <c r="A1377">
        <f>IFERROR(VLOOKUP(B1377,[1]銷貨單品號主檔!$A:$D,4,0),"學習周邊")</f>
        <v>0</v>
      </c>
      <c r="C1377"/>
      <c r="E1377"/>
    </row>
    <row r="1378" spans="1:5">
      <c r="A1378">
        <f>IFERROR(VLOOKUP(B1378,[1]銷貨單品號主檔!$A:$D,4,0),"學習周邊")</f>
        <v>0</v>
      </c>
      <c r="C1378"/>
      <c r="E1378"/>
    </row>
    <row r="1379" spans="1:5">
      <c r="A1379">
        <f>IFERROR(VLOOKUP(B1379,[1]銷貨單品號主檔!$A:$D,4,0),"學習周邊")</f>
        <v>0</v>
      </c>
      <c r="C1379"/>
      <c r="E1379"/>
    </row>
    <row r="1380" spans="1:5">
      <c r="A1380">
        <f>IFERROR(VLOOKUP(B1380,[1]銷貨單品號主檔!$A:$D,4,0),"學習周邊")</f>
        <v>0</v>
      </c>
      <c r="C1380"/>
      <c r="E1380"/>
    </row>
    <row r="1381" spans="1:5">
      <c r="A1381">
        <f>IFERROR(VLOOKUP(B1381,[1]銷貨單品號主檔!$A:$D,4,0),"學習周邊")</f>
        <v>0</v>
      </c>
      <c r="C1381"/>
      <c r="E1381"/>
    </row>
    <row r="1382" spans="1:5">
      <c r="A1382">
        <f>IFERROR(VLOOKUP(B1382,[1]銷貨單品號主檔!$A:$D,4,0),"學習周邊")</f>
        <v>0</v>
      </c>
      <c r="C1382"/>
      <c r="E1382"/>
    </row>
    <row r="1383" spans="1:5">
      <c r="A1383">
        <f>IFERROR(VLOOKUP(B1383,[1]銷貨單品號主檔!$A:$D,4,0),"學習周邊")</f>
        <v>0</v>
      </c>
      <c r="C1383"/>
      <c r="E1383"/>
    </row>
    <row r="1384" spans="1:5">
      <c r="A1384">
        <f>IFERROR(VLOOKUP(B1384,[1]銷貨單品號主檔!$A:$D,4,0),"學習周邊")</f>
        <v>0</v>
      </c>
      <c r="C1384"/>
      <c r="E1384"/>
    </row>
    <row r="1385" spans="1:5">
      <c r="A1385">
        <f>IFERROR(VLOOKUP(B1385,[1]銷貨單品號主檔!$A:$D,4,0),"學習周邊")</f>
        <v>0</v>
      </c>
      <c r="C1385"/>
      <c r="E1385"/>
    </row>
    <row r="1386" spans="1:5">
      <c r="A1386">
        <f>IFERROR(VLOOKUP(B1386,[1]銷貨單品號主檔!$A:$D,4,0),"學習周邊")</f>
        <v>0</v>
      </c>
      <c r="C1386"/>
      <c r="E1386"/>
    </row>
    <row r="1387" spans="1:5">
      <c r="A1387">
        <f>IFERROR(VLOOKUP(B1387,[1]銷貨單品號主檔!$A:$D,4,0),"學習周邊")</f>
        <v>0</v>
      </c>
      <c r="C1387"/>
      <c r="E1387"/>
    </row>
    <row r="1388" spans="1:5">
      <c r="A1388">
        <f>IFERROR(VLOOKUP(B1388,[1]銷貨單品號主檔!$A:$D,4,0),"學習周邊")</f>
        <v>0</v>
      </c>
      <c r="C1388"/>
      <c r="E1388"/>
    </row>
    <row r="1389" spans="1:5">
      <c r="A1389">
        <f>IFERROR(VLOOKUP(B1389,[1]銷貨單品號主檔!$A:$D,4,0),"學習周邊")</f>
        <v>0</v>
      </c>
      <c r="C1389"/>
      <c r="E1389"/>
    </row>
    <row r="1390" spans="1:5">
      <c r="A1390">
        <f>IFERROR(VLOOKUP(B1390,[1]銷貨單品號主檔!$A:$D,4,0),"學習周邊")</f>
        <v>0</v>
      </c>
      <c r="C1390"/>
      <c r="E1390"/>
    </row>
    <row r="1391" spans="1:5">
      <c r="A1391">
        <f>IFERROR(VLOOKUP(B1391,[1]銷貨單品號主檔!$A:$D,4,0),"學習周邊")</f>
        <v>0</v>
      </c>
      <c r="C1391"/>
      <c r="E1391"/>
    </row>
    <row r="1392" spans="1:5">
      <c r="A1392">
        <f>IFERROR(VLOOKUP(B1392,[1]銷貨單品號主檔!$A:$D,4,0),"學習周邊")</f>
        <v>0</v>
      </c>
      <c r="C1392"/>
      <c r="E1392"/>
    </row>
    <row r="1393" spans="1:5">
      <c r="A1393">
        <f>IFERROR(VLOOKUP(B1393,[1]銷貨單品號主檔!$A:$D,4,0),"學習周邊")</f>
        <v>0</v>
      </c>
      <c r="C1393"/>
      <c r="E1393"/>
    </row>
    <row r="1394" spans="1:5">
      <c r="A1394">
        <f>IFERROR(VLOOKUP(B1394,[1]銷貨單品號主檔!$A:$D,4,0),"學習周邊")</f>
        <v>0</v>
      </c>
      <c r="C1394"/>
      <c r="E1394"/>
    </row>
    <row r="1395" spans="1:5">
      <c r="A1395">
        <f>IFERROR(VLOOKUP(B1395,[1]銷貨單品號主檔!$A:$D,4,0),"學習周邊")</f>
        <v>0</v>
      </c>
      <c r="C1395"/>
      <c r="E1395"/>
    </row>
    <row r="1396" spans="1:5">
      <c r="A1396">
        <f>IFERROR(VLOOKUP(B1396,[1]銷貨單品號主檔!$A:$D,4,0),"學習周邊")</f>
        <v>0</v>
      </c>
      <c r="C1396"/>
      <c r="E1396"/>
    </row>
    <row r="1397" spans="1:5">
      <c r="A1397">
        <f>IFERROR(VLOOKUP(B1397,[1]銷貨單品號主檔!$A:$D,4,0),"學習周邊")</f>
        <v>0</v>
      </c>
      <c r="C1397"/>
      <c r="E1397"/>
    </row>
    <row r="1398" spans="1:5">
      <c r="A1398">
        <f>IFERROR(VLOOKUP(B1398,[1]銷貨單品號主檔!$A:$D,4,0),"學習周邊")</f>
        <v>0</v>
      </c>
      <c r="C1398"/>
      <c r="E1398"/>
    </row>
    <row r="1399" spans="1:5">
      <c r="A1399">
        <f>IFERROR(VLOOKUP(B1399,[1]銷貨單品號主檔!$A:$D,4,0),"學習周邊")</f>
        <v>0</v>
      </c>
      <c r="C1399"/>
      <c r="E1399"/>
    </row>
    <row r="1400" spans="1:5">
      <c r="A1400">
        <f>IFERROR(VLOOKUP(B1400,[1]銷貨單品號主檔!$A:$D,4,0),"學習周邊")</f>
        <v>0</v>
      </c>
      <c r="C1400"/>
      <c r="E1400"/>
    </row>
    <row r="1401" spans="1:5">
      <c r="A1401">
        <f>IFERROR(VLOOKUP(B1401,[1]銷貨單品號主檔!$A:$D,4,0),"學習周邊")</f>
        <v>0</v>
      </c>
      <c r="C1401"/>
      <c r="E1401"/>
    </row>
    <row r="1402" spans="1:5">
      <c r="A1402">
        <f>IFERROR(VLOOKUP(B1402,[1]銷貨單品號主檔!$A:$D,4,0),"學習周邊")</f>
        <v>0</v>
      </c>
      <c r="C1402"/>
      <c r="E1402"/>
    </row>
    <row r="1403" spans="1:5">
      <c r="A1403">
        <f>IFERROR(VLOOKUP(B1403,[1]銷貨單品號主檔!$A:$D,4,0),"學習周邊")</f>
        <v>0</v>
      </c>
      <c r="C1403"/>
      <c r="E1403"/>
    </row>
    <row r="1404" spans="1:5">
      <c r="A1404">
        <f>IFERROR(VLOOKUP(B1404,[1]銷貨單品號主檔!$A:$D,4,0),"學習周邊")</f>
        <v>0</v>
      </c>
      <c r="C1404"/>
      <c r="E1404"/>
    </row>
    <row r="1405" spans="1:5">
      <c r="A1405">
        <f>IFERROR(VLOOKUP(B1405,[1]銷貨單品號主檔!$A:$D,4,0),"學習周邊")</f>
        <v>0</v>
      </c>
      <c r="C1405"/>
      <c r="E1405"/>
    </row>
    <row r="1406" spans="1:5">
      <c r="A1406">
        <f>IFERROR(VLOOKUP(B1406,[1]銷貨單品號主檔!$A:$D,4,0),"學習周邊")</f>
        <v>0</v>
      </c>
      <c r="C1406"/>
      <c r="E1406"/>
    </row>
    <row r="1407" spans="1:5">
      <c r="A1407">
        <f>IFERROR(VLOOKUP(B1407,[1]銷貨單品號主檔!$A:$D,4,0),"學習周邊")</f>
        <v>0</v>
      </c>
      <c r="C1407"/>
      <c r="E1407"/>
    </row>
    <row r="1408" spans="1:5">
      <c r="A1408">
        <f>IFERROR(VLOOKUP(B1408,[1]銷貨單品號主檔!$A:$D,4,0),"學習周邊")</f>
        <v>0</v>
      </c>
      <c r="C1408"/>
      <c r="E1408"/>
    </row>
    <row r="1409" spans="1:5">
      <c r="A1409">
        <f>IFERROR(VLOOKUP(B1409,[1]銷貨單品號主檔!$A:$D,4,0),"學習周邊")</f>
        <v>0</v>
      </c>
      <c r="C1409"/>
      <c r="E1409"/>
    </row>
    <row r="1410" spans="1:5">
      <c r="A1410">
        <f>IFERROR(VLOOKUP(B1410,[1]銷貨單品號主檔!$A:$D,4,0),"學習周邊")</f>
        <v>0</v>
      </c>
      <c r="C1410"/>
      <c r="E1410"/>
    </row>
    <row r="1411" spans="1:5">
      <c r="A1411">
        <f>IFERROR(VLOOKUP(B1411,[1]銷貨單品號主檔!$A:$D,4,0),"學習周邊")</f>
        <v>0</v>
      </c>
      <c r="C1411"/>
      <c r="E1411"/>
    </row>
    <row r="1412" spans="1:5">
      <c r="A1412">
        <f>IFERROR(VLOOKUP(B1412,[1]銷貨單品號主檔!$A:$D,4,0),"學習周邊")</f>
        <v>0</v>
      </c>
      <c r="C1412"/>
      <c r="E1412"/>
    </row>
    <row r="1413" spans="1:5">
      <c r="A1413">
        <f>IFERROR(VLOOKUP(B1413,[1]銷貨單品號主檔!$A:$D,4,0),"學習周邊")</f>
        <v>0</v>
      </c>
      <c r="C1413"/>
      <c r="E1413"/>
    </row>
    <row r="1414" spans="1:5">
      <c r="A1414">
        <f>IFERROR(VLOOKUP(B1414,[1]銷貨單品號主檔!$A:$D,4,0),"學習周邊")</f>
        <v>0</v>
      </c>
      <c r="C1414"/>
      <c r="E1414"/>
    </row>
    <row r="1415" spans="1:5">
      <c r="A1415">
        <f>IFERROR(VLOOKUP(B1415,[1]銷貨單品號主檔!$A:$D,4,0),"學習周邊")</f>
        <v>0</v>
      </c>
      <c r="C1415"/>
      <c r="E1415"/>
    </row>
    <row r="1416" spans="1:5">
      <c r="A1416">
        <f>IFERROR(VLOOKUP(B1416,[1]銷貨單品號主檔!$A:$D,4,0),"學習周邊")</f>
        <v>0</v>
      </c>
      <c r="C1416"/>
      <c r="E1416"/>
    </row>
    <row r="1417" spans="1:5">
      <c r="A1417">
        <f>IFERROR(VLOOKUP(B1417,[1]銷貨單品號主檔!$A:$D,4,0),"學習周邊")</f>
        <v>0</v>
      </c>
      <c r="C1417"/>
      <c r="E1417"/>
    </row>
    <row r="1418" spans="1:5">
      <c r="A1418">
        <f>IFERROR(VLOOKUP(B1418,[1]銷貨單品號主檔!$A:$D,4,0),"學習周邊")</f>
        <v>0</v>
      </c>
      <c r="C1418"/>
      <c r="E1418"/>
    </row>
    <row r="1419" spans="1:5">
      <c r="A1419">
        <f>IFERROR(VLOOKUP(B1419,[1]銷貨單品號主檔!$A:$D,4,0),"學習周邊")</f>
        <v>0</v>
      </c>
      <c r="C1419"/>
      <c r="E1419"/>
    </row>
    <row r="1420" spans="1:5">
      <c r="A1420">
        <f>IFERROR(VLOOKUP(B1420,[1]銷貨單品號主檔!$A:$D,4,0),"學習周邊")</f>
        <v>0</v>
      </c>
      <c r="C1420"/>
      <c r="E1420"/>
    </row>
    <row r="1421" spans="1:5">
      <c r="A1421">
        <f>IFERROR(VLOOKUP(B1421,[1]銷貨單品號主檔!$A:$D,4,0),"學習周邊")</f>
        <v>0</v>
      </c>
      <c r="C1421"/>
      <c r="E1421"/>
    </row>
    <row r="1422" spans="1:5">
      <c r="A1422">
        <f>IFERROR(VLOOKUP(B1422,[1]銷貨單品號主檔!$A:$D,4,0),"學習周邊")</f>
        <v>0</v>
      </c>
      <c r="C1422"/>
      <c r="E1422"/>
    </row>
    <row r="1423" spans="1:5">
      <c r="A1423">
        <f>IFERROR(VLOOKUP(B1423,[1]銷貨單品號主檔!$A:$D,4,0),"學習周邊")</f>
        <v>0</v>
      </c>
      <c r="C1423"/>
      <c r="E1423"/>
    </row>
    <row r="1424" spans="1:5">
      <c r="A1424">
        <f>IFERROR(VLOOKUP(B1424,[1]銷貨單品號主檔!$A:$D,4,0),"學習周邊")</f>
        <v>0</v>
      </c>
      <c r="C1424"/>
      <c r="E1424"/>
    </row>
    <row r="1425" spans="1:5">
      <c r="A1425">
        <f>IFERROR(VLOOKUP(B1425,[1]銷貨單品號主檔!$A:$D,4,0),"學習周邊")</f>
        <v>0</v>
      </c>
      <c r="C1425"/>
      <c r="E1425"/>
    </row>
    <row r="1426" spans="1:5">
      <c r="A1426">
        <f>IFERROR(VLOOKUP(B1426,[1]銷貨單品號主檔!$A:$D,4,0),"學習周邊")</f>
        <v>0</v>
      </c>
      <c r="C1426"/>
      <c r="E1426"/>
    </row>
    <row r="1427" spans="1:5">
      <c r="A1427">
        <f>IFERROR(VLOOKUP(B1427,[1]銷貨單品號主檔!$A:$D,4,0),"學習周邊")</f>
        <v>0</v>
      </c>
      <c r="C1427"/>
      <c r="E1427"/>
    </row>
    <row r="1428" spans="1:5">
      <c r="A1428">
        <f>IFERROR(VLOOKUP(B1428,[1]銷貨單品號主檔!$A:$D,4,0),"學習周邊")</f>
        <v>0</v>
      </c>
      <c r="C1428"/>
      <c r="E1428"/>
    </row>
    <row r="1429" spans="1:5">
      <c r="A1429">
        <f>IFERROR(VLOOKUP(B1429,[1]銷貨單品號主檔!$A:$D,4,0),"學習周邊")</f>
        <v>0</v>
      </c>
      <c r="C1429"/>
      <c r="E1429"/>
    </row>
    <row r="1430" spans="1:5">
      <c r="A1430">
        <f>IFERROR(VLOOKUP(B1430,[1]銷貨單品號主檔!$A:$D,4,0),"學習周邊")</f>
        <v>0</v>
      </c>
      <c r="C1430"/>
      <c r="E1430"/>
    </row>
    <row r="1431" spans="1:5">
      <c r="A1431">
        <f>IFERROR(VLOOKUP(B1431,[1]銷貨單品號主檔!$A:$D,4,0),"學習周邊")</f>
        <v>0</v>
      </c>
      <c r="C1431"/>
      <c r="E1431"/>
    </row>
    <row r="1432" spans="1:5">
      <c r="A1432">
        <f>IFERROR(VLOOKUP(B1432,[1]銷貨單品號主檔!$A:$D,4,0),"學習周邊")</f>
        <v>0</v>
      </c>
      <c r="C1432"/>
      <c r="E1432"/>
    </row>
    <row r="1433" spans="1:5">
      <c r="A1433">
        <f>IFERROR(VLOOKUP(B1433,[1]銷貨單品號主檔!$A:$D,4,0),"學習周邊")</f>
        <v>0</v>
      </c>
      <c r="C1433"/>
      <c r="E1433"/>
    </row>
    <row r="1434" spans="1:5">
      <c r="A1434">
        <f>IFERROR(VLOOKUP(B1434,[1]銷貨單品號主檔!$A:$D,4,0),"學習周邊")</f>
        <v>0</v>
      </c>
      <c r="C1434"/>
      <c r="E1434"/>
    </row>
    <row r="1435" spans="1:5">
      <c r="A1435">
        <f>IFERROR(VLOOKUP(B1435,[1]銷貨單品號主檔!$A:$D,4,0),"學習周邊")</f>
        <v>0</v>
      </c>
      <c r="C1435"/>
      <c r="E1435"/>
    </row>
    <row r="1436" spans="1:5">
      <c r="A1436">
        <f>IFERROR(VLOOKUP(B1436,[1]銷貨單品號主檔!$A:$D,4,0),"學習周邊")</f>
        <v>0</v>
      </c>
      <c r="C1436"/>
      <c r="E1436"/>
    </row>
    <row r="1437" spans="1:5">
      <c r="A1437">
        <f>IFERROR(VLOOKUP(B1437,[1]銷貨單品號主檔!$A:$D,4,0),"學習周邊")</f>
        <v>0</v>
      </c>
      <c r="C1437"/>
      <c r="E1437"/>
    </row>
    <row r="1438" spans="1:5">
      <c r="A1438">
        <f>IFERROR(VLOOKUP(B1438,[1]銷貨單品號主檔!$A:$D,4,0),"學習周邊")</f>
        <v>0</v>
      </c>
      <c r="C1438"/>
      <c r="E1438"/>
    </row>
    <row r="1439" spans="1:5">
      <c r="A1439">
        <f>IFERROR(VLOOKUP(B1439,[1]銷貨單品號主檔!$A:$D,4,0),"學習周邊")</f>
        <v>0</v>
      </c>
      <c r="C1439"/>
      <c r="E1439"/>
    </row>
    <row r="1440" spans="1:5">
      <c r="A1440">
        <f>IFERROR(VLOOKUP(B1440,[1]銷貨單品號主檔!$A:$D,4,0),"學習周邊")</f>
        <v>0</v>
      </c>
      <c r="C1440"/>
      <c r="E1440"/>
    </row>
    <row r="1441" spans="1:5">
      <c r="A1441">
        <f>IFERROR(VLOOKUP(B1441,[1]銷貨單品號主檔!$A:$D,4,0),"學習周邊")</f>
        <v>0</v>
      </c>
      <c r="C1441"/>
      <c r="E1441"/>
    </row>
    <row r="1442" spans="1:5">
      <c r="A1442">
        <f>IFERROR(VLOOKUP(B1442,[1]銷貨單品號主檔!$A:$D,4,0),"學習周邊")</f>
        <v>0</v>
      </c>
      <c r="C1442"/>
      <c r="E1442"/>
    </row>
    <row r="1443" spans="1:5">
      <c r="A1443">
        <f>IFERROR(VLOOKUP(B1443,[1]銷貨單品號主檔!$A:$D,4,0),"學習周邊")</f>
        <v>0</v>
      </c>
      <c r="C1443"/>
      <c r="E1443"/>
    </row>
    <row r="1444" spans="1:5">
      <c r="A1444">
        <f>IFERROR(VLOOKUP(B1444,[1]銷貨單品號主檔!$A:$D,4,0),"學習周邊")</f>
        <v>0</v>
      </c>
      <c r="C1444"/>
      <c r="E1444"/>
    </row>
    <row r="1445" spans="1:5">
      <c r="A1445">
        <f>IFERROR(VLOOKUP(B1445,[1]銷貨單品號主檔!$A:$D,4,0),"學習周邊")</f>
        <v>0</v>
      </c>
      <c r="C1445"/>
      <c r="E1445"/>
    </row>
    <row r="1446" spans="1:5">
      <c r="A1446">
        <f>IFERROR(VLOOKUP(B1446,[1]銷貨單品號主檔!$A:$D,4,0),"學習周邊")</f>
        <v>0</v>
      </c>
      <c r="C1446"/>
      <c r="E1446"/>
    </row>
    <row r="1447" spans="1:5">
      <c r="A1447">
        <f>IFERROR(VLOOKUP(B1447,[1]銷貨單品號主檔!$A:$D,4,0),"學習周邊")</f>
        <v>0</v>
      </c>
      <c r="C1447"/>
      <c r="E1447"/>
    </row>
    <row r="1448" spans="1:5">
      <c r="A1448">
        <f>IFERROR(VLOOKUP(B1448,[1]銷貨單品號主檔!$A:$D,4,0),"學習周邊")</f>
        <v>0</v>
      </c>
      <c r="C1448"/>
      <c r="E1448"/>
    </row>
    <row r="1449" spans="1:5">
      <c r="A1449">
        <f>IFERROR(VLOOKUP(B1449,[1]銷貨單品號主檔!$A:$D,4,0),"學習周邊")</f>
        <v>0</v>
      </c>
      <c r="C1449"/>
      <c r="E1449"/>
    </row>
    <row r="1450" spans="1:5">
      <c r="A1450">
        <f>IFERROR(VLOOKUP(B1450,[1]銷貨單品號主檔!$A:$D,4,0),"學習周邊")</f>
        <v>0</v>
      </c>
      <c r="C1450"/>
      <c r="E1450"/>
    </row>
    <row r="1451" spans="1:5">
      <c r="A1451">
        <f>IFERROR(VLOOKUP(B1451,[1]銷貨單品號主檔!$A:$D,4,0),"學習周邊")</f>
        <v>0</v>
      </c>
      <c r="C1451"/>
      <c r="E1451"/>
    </row>
    <row r="1452" spans="1:5">
      <c r="A1452">
        <f>IFERROR(VLOOKUP(B1452,[1]銷貨單品號主檔!$A:$D,4,0),"學習周邊")</f>
        <v>0</v>
      </c>
      <c r="C1452"/>
      <c r="E1452"/>
    </row>
    <row r="1453" spans="1:5">
      <c r="A1453">
        <f>IFERROR(VLOOKUP(B1453,[1]銷貨單品號主檔!$A:$D,4,0),"學習周邊")</f>
        <v>0</v>
      </c>
      <c r="C1453"/>
      <c r="E1453"/>
    </row>
    <row r="1454" spans="1:5">
      <c r="A1454">
        <f>IFERROR(VLOOKUP(B1454,[1]銷貨單品號主檔!$A:$D,4,0),"學習周邊")</f>
        <v>0</v>
      </c>
      <c r="C1454"/>
      <c r="E1454"/>
    </row>
    <row r="1455" spans="1:5">
      <c r="A1455">
        <f>IFERROR(VLOOKUP(B1455,[1]銷貨單品號主檔!$A:$D,4,0),"學習周邊")</f>
        <v>0</v>
      </c>
      <c r="C1455"/>
      <c r="E1455"/>
    </row>
    <row r="1456" spans="1:5">
      <c r="A1456">
        <f>IFERROR(VLOOKUP(B1456,[1]銷貨單品號主檔!$A:$D,4,0),"學習周邊")</f>
        <v>0</v>
      </c>
      <c r="C1456"/>
      <c r="E1456"/>
    </row>
    <row r="1457" spans="1:5">
      <c r="A1457">
        <f>IFERROR(VLOOKUP(B1457,[1]銷貨單品號主檔!$A:$D,4,0),"學習周邊")</f>
        <v>0</v>
      </c>
      <c r="C1457"/>
      <c r="E1457"/>
    </row>
    <row r="1458" spans="1:5">
      <c r="A1458">
        <f>IFERROR(VLOOKUP(B1458,[1]銷貨單品號主檔!$A:$D,4,0),"學習周邊")</f>
        <v>0</v>
      </c>
      <c r="C1458"/>
      <c r="E1458"/>
    </row>
    <row r="1459" spans="1:5">
      <c r="A1459">
        <f>IFERROR(VLOOKUP(B1459,[1]銷貨單品號主檔!$A:$D,4,0),"學習周邊")</f>
        <v>0</v>
      </c>
      <c r="C1459"/>
      <c r="E1459"/>
    </row>
    <row r="1460" spans="1:5">
      <c r="A1460">
        <f>IFERROR(VLOOKUP(B1460,[1]銷貨單品號主檔!$A:$D,4,0),"學習周邊")</f>
        <v>0</v>
      </c>
      <c r="C1460"/>
      <c r="E1460"/>
    </row>
    <row r="1461" spans="1:5">
      <c r="A1461">
        <f>IFERROR(VLOOKUP(B1461,[1]銷貨單品號主檔!$A:$D,4,0),"學習周邊")</f>
        <v>0</v>
      </c>
      <c r="C1461"/>
      <c r="E1461"/>
    </row>
    <row r="1462" spans="1:5">
      <c r="A1462">
        <f>IFERROR(VLOOKUP(B1462,[1]銷貨單品號主檔!$A:$D,4,0),"學習周邊")</f>
        <v>0</v>
      </c>
      <c r="C1462"/>
      <c r="E1462"/>
    </row>
    <row r="1463" spans="1:5">
      <c r="A1463">
        <f>IFERROR(VLOOKUP(B1463,[1]銷貨單品號主檔!$A:$D,4,0),"學習周邊")</f>
        <v>0</v>
      </c>
      <c r="C1463"/>
      <c r="E1463"/>
    </row>
    <row r="1464" spans="1:5">
      <c r="A1464">
        <f>IFERROR(VLOOKUP(B1464,[1]銷貨單品號主檔!$A:$D,4,0),"學習周邊")</f>
        <v>0</v>
      </c>
      <c r="C1464"/>
      <c r="E1464"/>
    </row>
    <row r="1465" spans="1:5">
      <c r="A1465">
        <f>IFERROR(VLOOKUP(B1465,[1]銷貨單品號主檔!$A:$D,4,0),"學習周邊")</f>
        <v>0</v>
      </c>
      <c r="C1465"/>
      <c r="E1465"/>
    </row>
    <row r="1466" spans="1:5">
      <c r="A1466">
        <f>IFERROR(VLOOKUP(B1466,[1]銷貨單品號主檔!$A:$D,4,0),"學習周邊")</f>
        <v>0</v>
      </c>
      <c r="C1466"/>
      <c r="E1466"/>
    </row>
    <row r="1467" spans="1:5">
      <c r="A1467">
        <f>IFERROR(VLOOKUP(B1467,[1]銷貨單品號主檔!$A:$D,4,0),"學習周邊")</f>
        <v>0</v>
      </c>
      <c r="C1467"/>
      <c r="E1467"/>
    </row>
    <row r="1468" spans="1:5">
      <c r="A1468">
        <f>IFERROR(VLOOKUP(B1468,[1]銷貨單品號主檔!$A:$D,4,0),"學習周邊")</f>
        <v>0</v>
      </c>
      <c r="C1468"/>
      <c r="E1468"/>
    </row>
    <row r="1469" spans="1:5">
      <c r="A1469">
        <f>IFERROR(VLOOKUP(B1469,[1]銷貨單品號主檔!$A:$D,4,0),"學習周邊")</f>
        <v>0</v>
      </c>
      <c r="C1469"/>
      <c r="E1469"/>
    </row>
    <row r="1470" spans="1:5">
      <c r="A1470">
        <f>IFERROR(VLOOKUP(B1470,[1]銷貨單品號主檔!$A:$D,4,0),"學習周邊")</f>
        <v>0</v>
      </c>
      <c r="C1470"/>
      <c r="E1470"/>
    </row>
    <row r="1471" spans="1:5">
      <c r="A1471">
        <f>IFERROR(VLOOKUP(B1471,[1]銷貨單品號主檔!$A:$D,4,0),"學習周邊")</f>
        <v>0</v>
      </c>
      <c r="C1471"/>
      <c r="E1471"/>
    </row>
    <row r="1472" spans="1:5">
      <c r="A1472">
        <f>IFERROR(VLOOKUP(B1472,[1]銷貨單品號主檔!$A:$D,4,0),"學習周邊")</f>
        <v>0</v>
      </c>
      <c r="C1472"/>
      <c r="E1472"/>
    </row>
    <row r="1473" spans="1:5">
      <c r="A1473">
        <f>IFERROR(VLOOKUP(B1473,[1]銷貨單品號主檔!$A:$D,4,0),"學習周邊")</f>
        <v>0</v>
      </c>
      <c r="C1473"/>
      <c r="E1473"/>
    </row>
    <row r="1474" spans="1:5">
      <c r="A1474">
        <f>IFERROR(VLOOKUP(B1474,[1]銷貨單品號主檔!$A:$D,4,0),"學習周邊")</f>
        <v>0</v>
      </c>
      <c r="C1474"/>
      <c r="E1474"/>
    </row>
    <row r="1475" spans="1:5">
      <c r="A1475">
        <f>IFERROR(VLOOKUP(B1475,[1]銷貨單品號主檔!$A:$D,4,0),"學習周邊")</f>
        <v>0</v>
      </c>
      <c r="C1475"/>
      <c r="E1475"/>
    </row>
    <row r="1476" spans="1:5">
      <c r="A1476">
        <f>IFERROR(VLOOKUP(B1476,[1]銷貨單品號主檔!$A:$D,4,0),"學習周邊")</f>
        <v>0</v>
      </c>
      <c r="C1476"/>
      <c r="E1476"/>
    </row>
    <row r="1477" spans="1:5">
      <c r="A1477">
        <f>IFERROR(VLOOKUP(B1477,[1]銷貨單品號主檔!$A:$D,4,0),"學習周邊")</f>
        <v>0</v>
      </c>
      <c r="C1477"/>
      <c r="E1477"/>
    </row>
    <row r="1478" spans="1:5">
      <c r="A1478">
        <f>IFERROR(VLOOKUP(B1478,[1]銷貨單品號主檔!$A:$D,4,0),"學習周邊")</f>
        <v>0</v>
      </c>
      <c r="C1478"/>
      <c r="E1478"/>
    </row>
    <row r="1479" spans="1:5">
      <c r="A1479">
        <f>IFERROR(VLOOKUP(B1479,[1]銷貨單品號主檔!$A:$D,4,0),"學習周邊")</f>
        <v>0</v>
      </c>
      <c r="C1479"/>
      <c r="E1479"/>
    </row>
    <row r="1480" spans="1:5">
      <c r="A1480">
        <f>IFERROR(VLOOKUP(B1480,[1]銷貨單品號主檔!$A:$D,4,0),"學習周邊")</f>
        <v>0</v>
      </c>
    </row>
    <row r="1481" spans="1:5">
      <c r="A1481">
        <f>IFERROR(VLOOKUP(B1481,[1]銷貨單品號主檔!$A:$D,4,0),"學習周邊")</f>
        <v>0</v>
      </c>
    </row>
    <row r="1482" spans="1:5">
      <c r="A1482">
        <f>IFERROR(VLOOKUP(B1482,[1]銷貨單品號主檔!$A:$D,4,0),"學習周邊")</f>
        <v>0</v>
      </c>
    </row>
    <row r="1483" spans="1:5">
      <c r="A1483">
        <f>IFERROR(VLOOKUP(B1483,[1]銷貨單品號主檔!$A:$D,4,0),"學習周邊")</f>
        <v>0</v>
      </c>
    </row>
    <row r="1484" spans="1:5">
      <c r="A1484">
        <f>IFERROR(VLOOKUP(B1484,[1]銷貨單品號主檔!$A:$D,4,0),"學習周邊")</f>
        <v>0</v>
      </c>
    </row>
    <row r="1485" spans="1:5">
      <c r="A1485">
        <f>IFERROR(VLOOKUP(B1485,[1]銷貨單品號主檔!$A:$D,4,0),"學習周邊")</f>
        <v>0</v>
      </c>
    </row>
    <row r="1486" spans="1:5">
      <c r="A1486">
        <f>IFERROR(VLOOKUP(B1486,[1]銷貨單品號主檔!$A:$D,4,0),"學習周邊")</f>
        <v>0</v>
      </c>
    </row>
    <row r="1487" spans="1:5">
      <c r="A1487">
        <f>IFERROR(VLOOKUP(B1487,[1]銷貨單品號主檔!$A:$D,4,0),"學習周邊")</f>
        <v>0</v>
      </c>
    </row>
    <row r="1488" spans="1:5">
      <c r="A1488">
        <f>IFERROR(VLOOKUP(B1488,[1]銷貨單品號主檔!$A:$D,4,0),"學習周邊")</f>
        <v>0</v>
      </c>
    </row>
    <row r="1489" spans="1:1">
      <c r="A1489">
        <f>IFERROR(VLOOKUP(B1489,[1]銷貨單品號主檔!$A:$D,4,0),"學習周邊")</f>
        <v>0</v>
      </c>
    </row>
    <row r="1490" spans="1:1">
      <c r="A1490">
        <f>IFERROR(VLOOKUP(B1490,[1]銷貨單品號主檔!$A:$D,4,0),"學習周邊")</f>
        <v>0</v>
      </c>
    </row>
    <row r="1491" spans="1:1">
      <c r="A1491">
        <f>IFERROR(VLOOKUP(B1491,[1]銷貨單品號主檔!$A:$D,4,0),"學習周邊")</f>
        <v>0</v>
      </c>
    </row>
    <row r="1492" spans="1:1">
      <c r="A1492">
        <f>IFERROR(VLOOKUP(B1492,[1]銷貨單品號主檔!$A:$D,4,0),"學習周邊")</f>
        <v>0</v>
      </c>
    </row>
    <row r="1493" spans="1:1">
      <c r="A1493">
        <f>IFERROR(VLOOKUP(B1493,[1]銷貨單品號主檔!$A:$D,4,0),"學習周邊")</f>
        <v>0</v>
      </c>
    </row>
    <row r="1494" spans="1:1">
      <c r="A1494">
        <f>IFERROR(VLOOKUP(B1494,[1]銷貨單品號主檔!$A:$D,4,0),"學習周邊")</f>
        <v>0</v>
      </c>
    </row>
    <row r="1495" spans="1:1">
      <c r="A1495">
        <f>IFERROR(VLOOKUP(B1495,[1]銷貨單品號主檔!$A:$D,4,0),"學習周邊")</f>
        <v>0</v>
      </c>
    </row>
    <row r="1496" spans="1:1">
      <c r="A1496">
        <f>IFERROR(VLOOKUP(B1496,[1]銷貨單品號主檔!$A:$D,4,0),"學習周邊")</f>
        <v>0</v>
      </c>
    </row>
    <row r="1497" spans="1:1">
      <c r="A1497">
        <f>IFERROR(VLOOKUP(B1497,[1]銷貨單品號主檔!$A:$D,4,0),"學習周邊")</f>
        <v>0</v>
      </c>
    </row>
    <row r="1498" spans="1:1">
      <c r="A1498">
        <f>IFERROR(VLOOKUP(B1498,[1]銷貨單品號主檔!$A:$D,4,0),"學習周邊")</f>
        <v>0</v>
      </c>
    </row>
    <row r="1499" spans="1:1">
      <c r="A1499">
        <f>IFERROR(VLOOKUP(B1499,[1]銷貨單品號主檔!$A:$D,4,0),"學習周邊")</f>
        <v>0</v>
      </c>
    </row>
    <row r="1500" spans="1:1">
      <c r="A1500">
        <f>IFERROR(VLOOKUP(B1500,[1]銷貨單品號主檔!$A:$D,4,0),"學習周邊")</f>
        <v>0</v>
      </c>
    </row>
    <row r="1501" spans="1:1">
      <c r="A1501">
        <f>IFERROR(VLOOKUP(B1501,[1]銷貨單品號主檔!$A:$D,4,0),"學習周邊")</f>
        <v>0</v>
      </c>
    </row>
    <row r="1502" spans="1:1">
      <c r="A1502">
        <f>IFERROR(VLOOKUP(B1502,[1]銷貨單品號主檔!$A:$D,4,0),"學習周邊")</f>
        <v>0</v>
      </c>
    </row>
    <row r="1503" spans="1:1">
      <c r="A1503">
        <f>IFERROR(VLOOKUP(B1503,[1]銷貨單品號主檔!$A:$D,4,0),"學習周邊")</f>
        <v>0</v>
      </c>
    </row>
    <row r="1504" spans="1:1">
      <c r="A1504">
        <f>IFERROR(VLOOKUP(B1504,[1]銷貨單品號主檔!$A:$D,4,0),"學習周邊")</f>
        <v>0</v>
      </c>
    </row>
    <row r="1505" spans="1:1">
      <c r="A1505">
        <f>IFERROR(VLOOKUP(B1505,[1]銷貨單品號主檔!$A:$D,4,0),"學習周邊")</f>
        <v>0</v>
      </c>
    </row>
    <row r="1506" spans="1:1">
      <c r="A1506">
        <f>IFERROR(VLOOKUP(B1506,[1]銷貨單品號主檔!$A:$D,4,0),"學習周邊")</f>
        <v>0</v>
      </c>
    </row>
    <row r="1507" spans="1:1">
      <c r="A1507">
        <f>IFERROR(VLOOKUP(B1507,[1]銷貨單品號主檔!$A:$D,4,0),"學習周邊")</f>
        <v>0</v>
      </c>
    </row>
    <row r="1508" spans="1:1">
      <c r="A1508">
        <f>IFERROR(VLOOKUP(B1508,[1]銷貨單品號主檔!$A:$D,4,0),"學習周邊")</f>
        <v>0</v>
      </c>
    </row>
    <row r="1509" spans="1:1">
      <c r="A1509">
        <f>IFERROR(VLOOKUP(B1509,[1]銷貨單品號主檔!$A:$D,4,0),"學習周邊")</f>
        <v>0</v>
      </c>
    </row>
    <row r="1510" spans="1:1">
      <c r="A1510">
        <f>IFERROR(VLOOKUP(B1510,[1]銷貨單品號主檔!$A:$D,4,0),"學習周邊")</f>
        <v>0</v>
      </c>
    </row>
    <row r="1511" spans="1:1">
      <c r="A1511">
        <f>IFERROR(VLOOKUP(B1511,[1]銷貨單品號主檔!$A:$D,4,0),"學習周邊")</f>
        <v>0</v>
      </c>
    </row>
    <row r="1512" spans="1:1">
      <c r="A1512">
        <f>IFERROR(VLOOKUP(B1512,[1]銷貨單品號主檔!$A:$D,4,0),"學習周邊")</f>
        <v>0</v>
      </c>
    </row>
    <row r="1513" spans="1:1">
      <c r="A1513">
        <f>IFERROR(VLOOKUP(B1513,[1]銷貨單品號主檔!$A:$D,4,0),"學習周邊")</f>
        <v>0</v>
      </c>
    </row>
    <row r="1514" spans="1:1">
      <c r="A1514">
        <f>IFERROR(VLOOKUP(B1514,[1]銷貨單品號主檔!$A:$D,4,0),"學習周邊")</f>
        <v>0</v>
      </c>
    </row>
    <row r="1515" spans="1:1">
      <c r="A1515">
        <f>IFERROR(VLOOKUP(B1515,[1]銷貨單品號主檔!$A:$D,4,0),"學習周邊")</f>
        <v>0</v>
      </c>
    </row>
    <row r="1516" spans="1:1">
      <c r="A1516">
        <f>IFERROR(VLOOKUP(B1516,[1]銷貨單品號主檔!$A:$D,4,0),"學習周邊")</f>
        <v>0</v>
      </c>
    </row>
    <row r="1517" spans="1:1">
      <c r="A1517">
        <f>IFERROR(VLOOKUP(B1517,[1]銷貨單品號主檔!$A:$D,4,0),"學習周邊")</f>
        <v>0</v>
      </c>
    </row>
    <row r="1518" spans="1:1">
      <c r="A1518">
        <f>IFERROR(VLOOKUP(B1518,[1]銷貨單品號主檔!$A:$D,4,0),"學習周邊")</f>
        <v>0</v>
      </c>
    </row>
    <row r="1519" spans="1:1">
      <c r="A1519">
        <f>IFERROR(VLOOKUP(B1519,[1]銷貨單品號主檔!$A:$D,4,0),"學習周邊")</f>
        <v>0</v>
      </c>
    </row>
    <row r="1520" spans="1:1">
      <c r="A1520">
        <f>IFERROR(VLOOKUP(B1520,[1]銷貨單品號主檔!$A:$D,4,0),"學習周邊")</f>
        <v>0</v>
      </c>
    </row>
    <row r="1521" spans="1:1">
      <c r="A1521">
        <f>IFERROR(VLOOKUP(B1521,[1]銷貨單品號主檔!$A:$D,4,0),"學習周邊")</f>
        <v>0</v>
      </c>
    </row>
    <row r="1522" spans="1:1">
      <c r="A1522">
        <f>IFERROR(VLOOKUP(B1522,[1]銷貨單品號主檔!$A:$D,4,0),"學習周邊")</f>
        <v>0</v>
      </c>
    </row>
    <row r="1523" spans="1:1">
      <c r="A1523">
        <f>IFERROR(VLOOKUP(B1523,[1]銷貨單品號主檔!$A:$D,4,0),"學習周邊")</f>
        <v>0</v>
      </c>
    </row>
    <row r="1524" spans="1:1">
      <c r="A1524">
        <f>IFERROR(VLOOKUP(B1524,[1]銷貨單品號主檔!$A:$D,4,0),"學習周邊")</f>
        <v>0</v>
      </c>
    </row>
    <row r="1525" spans="1:1">
      <c r="A1525">
        <f>IFERROR(VLOOKUP(B1525,[1]銷貨單品號主檔!$A:$D,4,0),"學習周邊")</f>
        <v>0</v>
      </c>
    </row>
    <row r="1526" spans="1:1">
      <c r="A1526">
        <f>IFERROR(VLOOKUP(B1526,[1]銷貨單品號主檔!$A:$D,4,0),"學習周邊")</f>
        <v>0</v>
      </c>
    </row>
    <row r="1527" spans="1:1">
      <c r="A1527">
        <f>IFERROR(VLOOKUP(B1527,[1]銷貨單品號主檔!$A:$D,4,0),"學習周邊")</f>
        <v>0</v>
      </c>
    </row>
    <row r="1528" spans="1:1">
      <c r="A1528">
        <f>IFERROR(VLOOKUP(B1528,[1]銷貨單品號主檔!$A:$D,4,0),"學習周邊")</f>
        <v>0</v>
      </c>
    </row>
    <row r="1529" spans="1:1">
      <c r="A1529">
        <f>IFERROR(VLOOKUP(B1529,[1]銷貨單品號主檔!$A:$D,4,0),"學習周邊")</f>
        <v>0</v>
      </c>
    </row>
    <row r="1530" spans="1:1">
      <c r="A1530">
        <f>IFERROR(VLOOKUP(B1530,[1]銷貨單品號主檔!$A:$D,4,0),"學習周邊")</f>
        <v>0</v>
      </c>
    </row>
    <row r="1531" spans="1:1">
      <c r="A1531">
        <f>IFERROR(VLOOKUP(B1531,[1]銷貨單品號主檔!$A:$D,4,0),"學習周邊")</f>
        <v>0</v>
      </c>
    </row>
    <row r="1532" spans="1:1">
      <c r="A1532">
        <f>IFERROR(VLOOKUP(B1532,[1]銷貨單品號主檔!$A:$D,4,0),"學習周邊")</f>
        <v>0</v>
      </c>
    </row>
    <row r="1533" spans="1:1">
      <c r="A1533">
        <f>IFERROR(VLOOKUP(B1533,[1]銷貨單品號主檔!$A:$D,4,0),"學習周邊")</f>
        <v>0</v>
      </c>
    </row>
    <row r="1534" spans="1:1">
      <c r="A1534">
        <f>IFERROR(VLOOKUP(B1534,[1]銷貨單品號主檔!$A:$D,4,0),"學習周邊")</f>
        <v>0</v>
      </c>
    </row>
    <row r="1535" spans="1:1">
      <c r="A1535">
        <f>IFERROR(VLOOKUP(B1535,[1]銷貨單品號主檔!$A:$D,4,0),"學習周邊")</f>
        <v>0</v>
      </c>
    </row>
    <row r="1536" spans="1:1">
      <c r="A1536">
        <f>IFERROR(VLOOKUP(B1536,[1]銷貨單品號主檔!$A:$D,4,0),"學習周邊")</f>
        <v>0</v>
      </c>
    </row>
    <row r="1537" spans="1:1">
      <c r="A1537">
        <f>IFERROR(VLOOKUP(B1537,[1]銷貨單品號主檔!$A:$D,4,0),"學習周邊")</f>
        <v>0</v>
      </c>
    </row>
    <row r="1538" spans="1:1">
      <c r="A1538">
        <f>IFERROR(VLOOKUP(B1538,[1]銷貨單品號主檔!$A:$D,4,0),"學習周邊")</f>
        <v>0</v>
      </c>
    </row>
    <row r="1539" spans="1:1">
      <c r="A1539">
        <f>IFERROR(VLOOKUP(B1539,[1]銷貨單品號主檔!$A:$D,4,0),"學習周邊")</f>
        <v>0</v>
      </c>
    </row>
    <row r="1540" spans="1:1">
      <c r="A1540">
        <f>IFERROR(VLOOKUP(B1540,[1]銷貨單品號主檔!$A:$D,4,0),"學習周邊")</f>
        <v>0</v>
      </c>
    </row>
    <row r="1541" spans="1:1">
      <c r="A1541">
        <f>IFERROR(VLOOKUP(B1541,[1]銷貨單品號主檔!$A:$D,4,0),"學習周邊")</f>
        <v>0</v>
      </c>
    </row>
    <row r="1542" spans="1:1">
      <c r="A1542">
        <f>IFERROR(VLOOKUP(B1542,[1]銷貨單品號主檔!$A:$D,4,0),"學習周邊")</f>
        <v>0</v>
      </c>
    </row>
    <row r="1543" spans="1:1">
      <c r="A1543">
        <f>IFERROR(VLOOKUP(B1543,[1]銷貨單品號主檔!$A:$D,4,0),"學習周邊")</f>
        <v>0</v>
      </c>
    </row>
    <row r="1544" spans="1:1">
      <c r="A1544">
        <f>IFERROR(VLOOKUP(B1544,[1]銷貨單品號主檔!$A:$D,4,0),"學習周邊")</f>
        <v>0</v>
      </c>
    </row>
    <row r="1545" spans="1:1">
      <c r="A1545">
        <f>IFERROR(VLOOKUP(B1545,[1]銷貨單品號主檔!$A:$D,4,0),"學習周邊")</f>
        <v>0</v>
      </c>
    </row>
    <row r="1546" spans="1:1">
      <c r="A1546">
        <f>IFERROR(VLOOKUP(B1546,[1]銷貨單品號主檔!$A:$D,4,0),"學習周邊")</f>
        <v>0</v>
      </c>
    </row>
    <row r="1547" spans="1:1">
      <c r="A1547">
        <f>IFERROR(VLOOKUP(B1547,[1]銷貨單品號主檔!$A:$D,4,0),"學習周邊")</f>
        <v>0</v>
      </c>
    </row>
    <row r="1548" spans="1:1">
      <c r="A1548">
        <f>IFERROR(VLOOKUP(B1548,[1]銷貨單品號主檔!$A:$D,4,0),"學習周邊")</f>
        <v>0</v>
      </c>
    </row>
    <row r="1549" spans="1:1">
      <c r="A1549">
        <f>IFERROR(VLOOKUP(B1549,[1]銷貨單品號主檔!$A:$D,4,0),"學習周邊")</f>
        <v>0</v>
      </c>
    </row>
    <row r="1550" spans="1:1">
      <c r="A1550">
        <f>IFERROR(VLOOKUP(B1550,[1]銷貨單品號主檔!$A:$D,4,0),"學習周邊")</f>
        <v>0</v>
      </c>
    </row>
    <row r="1551" spans="1:1">
      <c r="A1551">
        <f>IFERROR(VLOOKUP(B1551,[1]銷貨單品號主檔!$A:$D,4,0),"學習周邊")</f>
        <v>0</v>
      </c>
    </row>
    <row r="1552" spans="1:1">
      <c r="A1552">
        <f>IFERROR(VLOOKUP(B1552,[1]銷貨單品號主檔!$A:$D,4,0),"學習周邊")</f>
        <v>0</v>
      </c>
    </row>
    <row r="1553" spans="1:1">
      <c r="A1553">
        <f>IFERROR(VLOOKUP(B1553,[1]銷貨單品號主檔!$A:$D,4,0),"學習周邊")</f>
        <v>0</v>
      </c>
    </row>
    <row r="1554" spans="1:1">
      <c r="A1554">
        <f>IFERROR(VLOOKUP(B1554,[1]銷貨單品號主檔!$A:$D,4,0),"學習周邊")</f>
        <v>0</v>
      </c>
    </row>
    <row r="1555" spans="1:1">
      <c r="A1555">
        <f>IFERROR(VLOOKUP(B1555,[1]銷貨單品號主檔!$A:$D,4,0),"學習周邊")</f>
        <v>0</v>
      </c>
    </row>
    <row r="1556" spans="1:1">
      <c r="A1556">
        <f>IFERROR(VLOOKUP(B1556,[1]銷貨單品號主檔!$A:$D,4,0),"學習周邊")</f>
        <v>0</v>
      </c>
    </row>
    <row r="1557" spans="1:1">
      <c r="A1557">
        <f>IFERROR(VLOOKUP(B1557,[1]銷貨單品號主檔!$A:$D,4,0),"學習周邊")</f>
        <v>0</v>
      </c>
    </row>
    <row r="1558" spans="1:1">
      <c r="A1558">
        <f>IFERROR(VLOOKUP(B1558,[1]銷貨單品號主檔!$A:$D,4,0),"學習周邊")</f>
        <v>0</v>
      </c>
    </row>
    <row r="1559" spans="1:1">
      <c r="A1559">
        <f>IFERROR(VLOOKUP(B1559,[1]銷貨單品號主檔!$A:$D,4,0),"學習周邊")</f>
        <v>0</v>
      </c>
    </row>
    <row r="1560" spans="1:1">
      <c r="A1560">
        <f>IFERROR(VLOOKUP(B1560,[1]銷貨單品號主檔!$A:$D,4,0),"學習周邊")</f>
        <v>0</v>
      </c>
    </row>
    <row r="1561" spans="1:1">
      <c r="A1561">
        <f>IFERROR(VLOOKUP(B1561,[1]銷貨單品號主檔!$A:$D,4,0),"學習周邊")</f>
        <v>0</v>
      </c>
    </row>
    <row r="1562" spans="1:1">
      <c r="A1562">
        <f>IFERROR(VLOOKUP(B1562,[1]銷貨單品號主檔!$A:$D,4,0),"學習周邊")</f>
        <v>0</v>
      </c>
    </row>
    <row r="1563" spans="1:1">
      <c r="A1563">
        <f>IFERROR(VLOOKUP(B1563,[1]銷貨單品號主檔!$A:$D,4,0),"學習周邊")</f>
        <v>0</v>
      </c>
    </row>
    <row r="1564" spans="1:1">
      <c r="A1564">
        <f>IFERROR(VLOOKUP(B1564,[1]銷貨單品號主檔!$A:$D,4,0),"學習周邊")</f>
        <v>0</v>
      </c>
    </row>
    <row r="1565" spans="1:1">
      <c r="A1565">
        <f>IFERROR(VLOOKUP(B1565,[1]銷貨單品號主檔!$A:$D,4,0),"學習周邊")</f>
        <v>0</v>
      </c>
    </row>
    <row r="1566" spans="1:1">
      <c r="A1566">
        <f>IFERROR(VLOOKUP(B1566,[1]銷貨單品號主檔!$A:$D,4,0),"學習周邊")</f>
        <v>0</v>
      </c>
    </row>
    <row r="1567" spans="1:1">
      <c r="A1567">
        <f>IFERROR(VLOOKUP(B1567,[1]銷貨單品號主檔!$A:$D,4,0),"學習周邊")</f>
        <v>0</v>
      </c>
    </row>
    <row r="1568" spans="1:1">
      <c r="A1568">
        <f>IFERROR(VLOOKUP(B1568,[1]銷貨單品號主檔!$A:$D,4,0),"學習周邊")</f>
        <v>0</v>
      </c>
    </row>
    <row r="1569" spans="1:1">
      <c r="A1569">
        <f>IFERROR(VLOOKUP(B1569,[1]銷貨單品號主檔!$A:$D,4,0),"學習周邊")</f>
        <v>0</v>
      </c>
    </row>
    <row r="1570" spans="1:1">
      <c r="A1570">
        <f>IFERROR(VLOOKUP(B1570,[1]銷貨單品號主檔!$A:$D,4,0),"學習周邊")</f>
        <v>0</v>
      </c>
    </row>
    <row r="1571" spans="1:1">
      <c r="A1571">
        <f>IFERROR(VLOOKUP(B1571,[1]銷貨單品號主檔!$A:$D,4,0),"學習周邊")</f>
        <v>0</v>
      </c>
    </row>
    <row r="1572" spans="1:1">
      <c r="A1572">
        <f>IFERROR(VLOOKUP(B1572,[1]銷貨單品號主檔!$A:$D,4,0),"學習周邊")</f>
        <v>0</v>
      </c>
    </row>
    <row r="1573" spans="1:1">
      <c r="A1573">
        <f>IFERROR(VLOOKUP(B1573,[1]銷貨單品號主檔!$A:$D,4,0),"學習周邊")</f>
        <v>0</v>
      </c>
    </row>
    <row r="1574" spans="1:1">
      <c r="A1574">
        <f>IFERROR(VLOOKUP(B1574,[1]銷貨單品號主檔!$A:$D,4,0),"學習周邊")</f>
        <v>0</v>
      </c>
    </row>
    <row r="1575" spans="1:1">
      <c r="A1575">
        <f>IFERROR(VLOOKUP(B1575,[1]銷貨單品號主檔!$A:$D,4,0),"學習周邊")</f>
        <v>0</v>
      </c>
    </row>
    <row r="1576" spans="1:1">
      <c r="A1576">
        <f>IFERROR(VLOOKUP(B1576,[1]銷貨單品號主檔!$A:$D,4,0),"學習周邊")</f>
        <v>0</v>
      </c>
    </row>
    <row r="1577" spans="1:1">
      <c r="A1577">
        <f>IFERROR(VLOOKUP(B1577,[1]銷貨單品號主檔!$A:$D,4,0),"學習周邊")</f>
        <v>0</v>
      </c>
    </row>
    <row r="1578" spans="1:1">
      <c r="A1578">
        <f>IFERROR(VLOOKUP(B1578,[1]銷貨單品號主檔!$A:$D,4,0),"學習周邊")</f>
        <v>0</v>
      </c>
    </row>
    <row r="1579" spans="1:1">
      <c r="A1579">
        <f>IFERROR(VLOOKUP(B1579,[1]銷貨單品號主檔!$A:$D,4,0),"學習周邊")</f>
        <v>0</v>
      </c>
    </row>
    <row r="1580" spans="1:1">
      <c r="A1580">
        <f>IFERROR(VLOOKUP(B1580,[1]銷貨單品號主檔!$A:$D,4,0),"學習周邊")</f>
        <v>0</v>
      </c>
    </row>
    <row r="1581" spans="1:1">
      <c r="A1581">
        <f>IFERROR(VLOOKUP(B1581,[1]銷貨單品號主檔!$A:$D,4,0),"學習周邊")</f>
        <v>0</v>
      </c>
    </row>
    <row r="1582" spans="1:1">
      <c r="A1582">
        <f>IFERROR(VLOOKUP(B1582,[1]銷貨單品號主檔!$A:$D,4,0),"學習周邊")</f>
        <v>0</v>
      </c>
    </row>
    <row r="1583" spans="1:1">
      <c r="A1583">
        <f>IFERROR(VLOOKUP(B1583,[1]銷貨單品號主檔!$A:$D,4,0),"學習周邊")</f>
        <v>0</v>
      </c>
    </row>
    <row r="1584" spans="1:1">
      <c r="A1584">
        <f>IFERROR(VLOOKUP(B1584,[1]銷貨單品號主檔!$A:$D,4,0),"學習周邊")</f>
        <v>0</v>
      </c>
    </row>
    <row r="1585" spans="1:1">
      <c r="A1585">
        <f>IFERROR(VLOOKUP(B1585,[1]銷貨單品號主檔!$A:$D,4,0),"學習周邊")</f>
        <v>0</v>
      </c>
    </row>
    <row r="1586" spans="1:1">
      <c r="A1586">
        <f>IFERROR(VLOOKUP(B1586,[1]銷貨單品號主檔!$A:$D,4,0),"學習周邊")</f>
        <v>0</v>
      </c>
    </row>
    <row r="1587" spans="1:1">
      <c r="A1587">
        <f>IFERROR(VLOOKUP(B1587,[1]銷貨單品號主檔!$A:$D,4,0),"學習周邊")</f>
        <v>0</v>
      </c>
    </row>
    <row r="1588" spans="1:1">
      <c r="A1588">
        <f>IFERROR(VLOOKUP(B1588,[1]銷貨單品號主檔!$A:$D,4,0),"學習周邊")</f>
        <v>0</v>
      </c>
    </row>
    <row r="1589" spans="1:1">
      <c r="A1589">
        <f>IFERROR(VLOOKUP(B1589,[1]銷貨單品號主檔!$A:$D,4,0),"學習周邊")</f>
        <v>0</v>
      </c>
    </row>
    <row r="1590" spans="1:1">
      <c r="A1590">
        <f>IFERROR(VLOOKUP(B1590,[1]銷貨單品號主檔!$A:$D,4,0),"學習周邊")</f>
        <v>0</v>
      </c>
    </row>
    <row r="1591" spans="1:1">
      <c r="A1591">
        <f>IFERROR(VLOOKUP(B1591,[1]銷貨單品號主檔!$A:$D,4,0),"學習周邊")</f>
        <v>0</v>
      </c>
    </row>
    <row r="1592" spans="1:1">
      <c r="A1592">
        <f>IFERROR(VLOOKUP(B1592,[1]銷貨單品號主檔!$A:$D,4,0),"學習周邊")</f>
        <v>0</v>
      </c>
    </row>
    <row r="1593" spans="1:1">
      <c r="A1593">
        <f>IFERROR(VLOOKUP(B1593,[1]銷貨單品號主檔!$A:$D,4,0),"學習周邊")</f>
        <v>0</v>
      </c>
    </row>
    <row r="1594" spans="1:1">
      <c r="A1594">
        <f>IFERROR(VLOOKUP(B1594,[1]銷貨單品號主檔!$A:$D,4,0),"學習周邊")</f>
        <v>0</v>
      </c>
    </row>
    <row r="1595" spans="1:1">
      <c r="A1595">
        <f>IFERROR(VLOOKUP(B1595,[1]銷貨單品號主檔!$A:$D,4,0),"學習周邊")</f>
        <v>0</v>
      </c>
    </row>
    <row r="1596" spans="1:1">
      <c r="A1596">
        <f>IFERROR(VLOOKUP(B1596,[1]銷貨單品號主檔!$A:$D,4,0),"學習周邊")</f>
        <v>0</v>
      </c>
    </row>
    <row r="1597" spans="1:1">
      <c r="A1597">
        <f>IFERROR(VLOOKUP(B1597,[1]銷貨單品號主檔!$A:$D,4,0),"學習周邊")</f>
        <v>0</v>
      </c>
    </row>
    <row r="1598" spans="1:1">
      <c r="A1598">
        <f>IFERROR(VLOOKUP(B1598,[1]銷貨單品號主檔!$A:$D,4,0),"學習周邊")</f>
        <v>0</v>
      </c>
    </row>
    <row r="1599" spans="1:1">
      <c r="A1599">
        <f>IFERROR(VLOOKUP(B1599,[1]銷貨單品號主檔!$A:$D,4,0),"學習周邊")</f>
        <v>0</v>
      </c>
    </row>
    <row r="1600" spans="1:1">
      <c r="A1600">
        <f>IFERROR(VLOOKUP(B1600,[1]銷貨單品號主檔!$A:$D,4,0),"學習周邊")</f>
        <v>0</v>
      </c>
    </row>
    <row r="1601" spans="1:1">
      <c r="A1601">
        <f>IFERROR(VLOOKUP(B1601,[1]銷貨單品號主檔!$A:$D,4,0),"學習周邊")</f>
        <v>0</v>
      </c>
    </row>
    <row r="1602" spans="1:1">
      <c r="A1602">
        <f>IFERROR(VLOOKUP(B1602,[1]銷貨單品號主檔!$A:$D,4,0),"學習周邊")</f>
        <v>0</v>
      </c>
    </row>
    <row r="1603" spans="1:1">
      <c r="A1603">
        <f>IFERROR(VLOOKUP(B1603,[1]銷貨單品號主檔!$A:$D,4,0),"學習周邊")</f>
        <v>0</v>
      </c>
    </row>
    <row r="1604" spans="1:1">
      <c r="A1604">
        <f>IFERROR(VLOOKUP(B1604,[1]銷貨單品號主檔!$A:$D,4,0),"學習周邊")</f>
        <v>0</v>
      </c>
    </row>
    <row r="1605" spans="1:1">
      <c r="A1605">
        <f>IFERROR(VLOOKUP(B1605,[1]銷貨單品號主檔!$A:$D,4,0),"學習周邊")</f>
        <v>0</v>
      </c>
    </row>
    <row r="1606" spans="1:1">
      <c r="A1606">
        <f>IFERROR(VLOOKUP(B1606,[1]銷貨單品號主檔!$A:$D,4,0),"學習周邊")</f>
        <v>0</v>
      </c>
    </row>
    <row r="1607" spans="1:1">
      <c r="A1607">
        <f>IFERROR(VLOOKUP(B1607,[1]銷貨單品號主檔!$A:$D,4,0),"學習周邊")</f>
        <v>0</v>
      </c>
    </row>
    <row r="1608" spans="1:1">
      <c r="A1608">
        <f>IFERROR(VLOOKUP(B1608,[1]銷貨單品號主檔!$A:$D,4,0),"學習周邊")</f>
        <v>0</v>
      </c>
    </row>
    <row r="1609" spans="1:1">
      <c r="A1609">
        <f>IFERROR(VLOOKUP(B1609,[1]銷貨單品號主檔!$A:$D,4,0),"學習周邊")</f>
        <v>0</v>
      </c>
    </row>
    <row r="1610" spans="1:1">
      <c r="A1610">
        <f>IFERROR(VLOOKUP(B1610,[1]銷貨單品號主檔!$A:$D,4,0),"學習周邊")</f>
        <v>0</v>
      </c>
    </row>
    <row r="1611" spans="1:1">
      <c r="A1611">
        <f>IFERROR(VLOOKUP(B1611,[1]銷貨單品號主檔!$A:$D,4,0),"學習周邊")</f>
        <v>0</v>
      </c>
    </row>
    <row r="1612" spans="1:1">
      <c r="A1612">
        <f>IFERROR(VLOOKUP(B1612,[1]銷貨單品號主檔!$A:$D,4,0),"學習周邊")</f>
        <v>0</v>
      </c>
    </row>
    <row r="1613" spans="1:1">
      <c r="A1613">
        <f>IFERROR(VLOOKUP(B1613,[1]銷貨單品號主檔!$A:$D,4,0),"學習周邊")</f>
        <v>0</v>
      </c>
    </row>
    <row r="1614" spans="1:1">
      <c r="A1614">
        <f>IFERROR(VLOOKUP(B1614,[1]銷貨單品號主檔!$A:$D,4,0),"學習周邊")</f>
        <v>0</v>
      </c>
    </row>
    <row r="1615" spans="1:1">
      <c r="A1615">
        <f>IFERROR(VLOOKUP(B1615,[1]銷貨單品號主檔!$A:$D,4,0),"學習周邊")</f>
        <v>0</v>
      </c>
    </row>
    <row r="1616" spans="1:1">
      <c r="A1616">
        <f>IFERROR(VLOOKUP(B1616,[1]銷貨單品號主檔!$A:$D,4,0),"學習周邊")</f>
        <v>0</v>
      </c>
    </row>
    <row r="1617" spans="1:1">
      <c r="A1617">
        <f>IFERROR(VLOOKUP(B1617,[1]銷貨單品號主檔!$A:$D,4,0),"學習周邊")</f>
        <v>0</v>
      </c>
    </row>
    <row r="1618" spans="1:1">
      <c r="A1618">
        <f>IFERROR(VLOOKUP(B1618,[1]銷貨單品號主檔!$A:$D,4,0),"學習周邊")</f>
        <v>0</v>
      </c>
    </row>
    <row r="1619" spans="1:1">
      <c r="A1619">
        <f>IFERROR(VLOOKUP(B1619,[1]銷貨單品號主檔!$A:$D,4,0),"學習周邊")</f>
        <v>0</v>
      </c>
    </row>
    <row r="1620" spans="1:1">
      <c r="A1620">
        <f>IFERROR(VLOOKUP(B1620,[1]銷貨單品號主檔!$A:$D,4,0),"學習周邊")</f>
        <v>0</v>
      </c>
    </row>
    <row r="1621" spans="1:1">
      <c r="A1621">
        <f>IFERROR(VLOOKUP(B1621,[1]銷貨單品號主檔!$A:$D,4,0),"學習周邊")</f>
        <v>0</v>
      </c>
    </row>
    <row r="1622" spans="1:1">
      <c r="A1622">
        <f>IFERROR(VLOOKUP(B1622,[1]銷貨單品號主檔!$A:$D,4,0),"學習周邊")</f>
        <v>0</v>
      </c>
    </row>
    <row r="1623" spans="1:1">
      <c r="A1623">
        <f>IFERROR(VLOOKUP(B1623,[1]銷貨單品號主檔!$A:$D,4,0),"學習周邊")</f>
        <v>0</v>
      </c>
    </row>
    <row r="1624" spans="1:1">
      <c r="A1624">
        <f>IFERROR(VLOOKUP(B1624,[1]銷貨單品號主檔!$A:$D,4,0),"學習周邊")</f>
        <v>0</v>
      </c>
    </row>
    <row r="1625" spans="1:1">
      <c r="A1625">
        <f>IFERROR(VLOOKUP(B1625,[1]銷貨單品號主檔!$A:$D,4,0),"學習周邊")</f>
        <v>0</v>
      </c>
    </row>
    <row r="1626" spans="1:1">
      <c r="A1626">
        <f>IFERROR(VLOOKUP(B1626,[1]銷貨單品號主檔!$A:$D,4,0),"學習周邊")</f>
        <v>0</v>
      </c>
    </row>
    <row r="1627" spans="1:1">
      <c r="A1627">
        <f>IFERROR(VLOOKUP(B1627,[1]銷貨單品號主檔!$A:$D,4,0),"學習周邊")</f>
        <v>0</v>
      </c>
    </row>
    <row r="1628" spans="1:1">
      <c r="A1628">
        <f>IFERROR(VLOOKUP(B1628,[1]銷貨單品號主檔!$A:$D,4,0),"學習周邊")</f>
        <v>0</v>
      </c>
    </row>
    <row r="1629" spans="1:1">
      <c r="A1629">
        <f>IFERROR(VLOOKUP(B1629,[1]銷貨單品號主檔!$A:$D,4,0),"學習周邊")</f>
        <v>0</v>
      </c>
    </row>
    <row r="1630" spans="1:1">
      <c r="A1630">
        <f>IFERROR(VLOOKUP(B1630,[1]銷貨單品號主檔!$A:$D,4,0),"學習周邊")</f>
        <v>0</v>
      </c>
    </row>
    <row r="1631" spans="1:1">
      <c r="A1631">
        <f>IFERROR(VLOOKUP(B1631,[1]銷貨單品號主檔!$A:$D,4,0),"學習周邊")</f>
        <v>0</v>
      </c>
    </row>
    <row r="1632" spans="1:1">
      <c r="A1632">
        <f>IFERROR(VLOOKUP(B1632,[1]銷貨單品號主檔!$A:$D,4,0),"學習周邊")</f>
        <v>0</v>
      </c>
    </row>
    <row r="1633" spans="1:1">
      <c r="A1633">
        <f>IFERROR(VLOOKUP(B1633,[1]銷貨單品號主檔!$A:$D,4,0),"學習周邊")</f>
        <v>0</v>
      </c>
    </row>
    <row r="1634" spans="1:1">
      <c r="A1634">
        <f>IFERROR(VLOOKUP(B1634,[1]銷貨單品號主檔!$A:$D,4,0),"學習周邊")</f>
        <v>0</v>
      </c>
    </row>
    <row r="1635" spans="1:1">
      <c r="A1635">
        <f>IFERROR(VLOOKUP(B1635,[1]銷貨單品號主檔!$A:$D,4,0),"學習周邊")</f>
        <v>0</v>
      </c>
    </row>
    <row r="1636" spans="1:1">
      <c r="A1636">
        <f>IFERROR(VLOOKUP(B1636,[1]銷貨單品號主檔!$A:$D,4,0),"學習周邊")</f>
        <v>0</v>
      </c>
    </row>
    <row r="1637" spans="1:1">
      <c r="A1637">
        <f>IFERROR(VLOOKUP(B1637,[1]銷貨單品號主檔!$A:$D,4,0),"學習周邊")</f>
        <v>0</v>
      </c>
    </row>
    <row r="1638" spans="1:1">
      <c r="A1638">
        <f>IFERROR(VLOOKUP(B1638,[1]銷貨單品號主檔!$A:$D,4,0),"學習周邊")</f>
        <v>0</v>
      </c>
    </row>
    <row r="1639" spans="1:1">
      <c r="A1639">
        <f>IFERROR(VLOOKUP(B1639,[1]銷貨單品號主檔!$A:$D,4,0),"學習周邊")</f>
        <v>0</v>
      </c>
    </row>
    <row r="1640" spans="1:1">
      <c r="A1640">
        <f>IFERROR(VLOOKUP(B1640,[1]銷貨單品號主檔!$A:$D,4,0),"學習周邊")</f>
        <v>0</v>
      </c>
    </row>
    <row r="1641" spans="1:1">
      <c r="A1641">
        <f>IFERROR(VLOOKUP(B1641,[1]銷貨單品號主檔!$A:$D,4,0),"學習周邊")</f>
        <v>0</v>
      </c>
    </row>
    <row r="1642" spans="1:1">
      <c r="A1642">
        <f>IFERROR(VLOOKUP(B1642,[1]銷貨單品號主檔!$A:$D,4,0),"學習周邊")</f>
        <v>0</v>
      </c>
    </row>
    <row r="1643" spans="1:1">
      <c r="A1643">
        <f>IFERROR(VLOOKUP(B1643,[1]銷貨單品號主檔!$A:$D,4,0),"學習周邊")</f>
        <v>0</v>
      </c>
    </row>
    <row r="1644" spans="1:1">
      <c r="A1644">
        <f>IFERROR(VLOOKUP(B1644,[1]銷貨單品號主檔!$A:$D,4,0),"學習周邊")</f>
        <v>0</v>
      </c>
    </row>
    <row r="1645" spans="1:1">
      <c r="A1645">
        <f>IFERROR(VLOOKUP(B1645,[1]銷貨單品號主檔!$A:$D,4,0),"學習周邊")</f>
        <v>0</v>
      </c>
    </row>
    <row r="1646" spans="1:1">
      <c r="A1646">
        <f>IFERROR(VLOOKUP(B1646,[1]銷貨單品號主檔!$A:$D,4,0),"學習周邊")</f>
        <v>0</v>
      </c>
    </row>
    <row r="1647" spans="1:1">
      <c r="A1647">
        <f>IFERROR(VLOOKUP(B1647,[1]銷貨單品號主檔!$A:$D,4,0),"學習周邊")</f>
        <v>0</v>
      </c>
    </row>
    <row r="1648" spans="1:1">
      <c r="A1648">
        <f>IFERROR(VLOOKUP(B1648,[1]銷貨單品號主檔!$A:$D,4,0),"學習周邊")</f>
        <v>0</v>
      </c>
    </row>
    <row r="1649" spans="1:1">
      <c r="A1649">
        <f>IFERROR(VLOOKUP(B1649,[1]銷貨單品號主檔!$A:$D,4,0),"學習周邊")</f>
        <v>0</v>
      </c>
    </row>
    <row r="1650" spans="1:1">
      <c r="A1650">
        <f>IFERROR(VLOOKUP(B1650,[1]銷貨單品號主檔!$A:$D,4,0),"學習周邊")</f>
        <v>0</v>
      </c>
    </row>
    <row r="1651" spans="1:1">
      <c r="A1651">
        <f>IFERROR(VLOOKUP(B1651,[1]銷貨單品號主檔!$A:$D,4,0),"學習周邊")</f>
        <v>0</v>
      </c>
    </row>
    <row r="1652" spans="1:1">
      <c r="A1652">
        <f>IFERROR(VLOOKUP(B1652,[1]銷貨單品號主檔!$A:$D,4,0),"學習周邊")</f>
        <v>0</v>
      </c>
    </row>
    <row r="1653" spans="1:1">
      <c r="A1653">
        <f>IFERROR(VLOOKUP(B1653,[1]銷貨單品號主檔!$A:$D,4,0),"學習周邊")</f>
        <v>0</v>
      </c>
    </row>
    <row r="1654" spans="1:1">
      <c r="A1654">
        <f>IFERROR(VLOOKUP(B1654,[1]銷貨單品號主檔!$A:$D,4,0),"學習周邊")</f>
        <v>0</v>
      </c>
    </row>
    <row r="1655" spans="1:1">
      <c r="A1655">
        <f>IFERROR(VLOOKUP(B1655,[1]銷貨單品號主檔!$A:$D,4,0),"學習周邊")</f>
        <v>0</v>
      </c>
    </row>
    <row r="1656" spans="1:1">
      <c r="A1656">
        <f>IFERROR(VLOOKUP(B1656,[1]銷貨單品號主檔!$A:$D,4,0),"學習周邊")</f>
        <v>0</v>
      </c>
    </row>
    <row r="1657" spans="1:1">
      <c r="A1657">
        <f>IFERROR(VLOOKUP(B1657,[1]銷貨單品號主檔!$A:$D,4,0),"學習周邊")</f>
        <v>0</v>
      </c>
    </row>
    <row r="1658" spans="1:1">
      <c r="A1658">
        <f>IFERROR(VLOOKUP(B1658,[1]銷貨單品號主檔!$A:$D,4,0),"學習周邊")</f>
        <v>0</v>
      </c>
    </row>
    <row r="1659" spans="1:1">
      <c r="A1659">
        <f>IFERROR(VLOOKUP(B1659,[1]銷貨單品號主檔!$A:$D,4,0),"學習周邊")</f>
        <v>0</v>
      </c>
    </row>
    <row r="1660" spans="1:1">
      <c r="A1660">
        <f>IFERROR(VLOOKUP(B1660,[1]銷貨單品號主檔!$A:$D,4,0),"學習周邊")</f>
        <v>0</v>
      </c>
    </row>
    <row r="1661" spans="1:1">
      <c r="A1661">
        <f>IFERROR(VLOOKUP(B1661,[1]銷貨單品號主檔!$A:$D,4,0),"學習周邊")</f>
        <v>0</v>
      </c>
    </row>
    <row r="1662" spans="1:1">
      <c r="A1662">
        <f>IFERROR(VLOOKUP(B1662,[1]銷貨單品號主檔!$A:$D,4,0),"學習周邊")</f>
        <v>0</v>
      </c>
    </row>
    <row r="1663" spans="1:1">
      <c r="A1663">
        <f>IFERROR(VLOOKUP(B1663,[1]銷貨單品號主檔!$A:$D,4,0),"學習周邊")</f>
        <v>0</v>
      </c>
    </row>
    <row r="1664" spans="1:1">
      <c r="A1664">
        <f>IFERROR(VLOOKUP(B1664,[1]銷貨單品號主檔!$A:$D,4,0),"學習周邊")</f>
        <v>0</v>
      </c>
    </row>
    <row r="1665" spans="1:1">
      <c r="A1665">
        <f>IFERROR(VLOOKUP(B1665,[1]銷貨單品號主檔!$A:$D,4,0),"學習周邊")</f>
        <v>0</v>
      </c>
    </row>
    <row r="1666" spans="1:1">
      <c r="A1666">
        <f>IFERROR(VLOOKUP(B1666,[1]銷貨單品號主檔!$A:$D,4,0),"學習周邊")</f>
        <v>0</v>
      </c>
    </row>
    <row r="1667" spans="1:1">
      <c r="A1667">
        <f>IFERROR(VLOOKUP(B1667,[1]銷貨單品號主檔!$A:$D,4,0),"學習周邊")</f>
        <v>0</v>
      </c>
    </row>
    <row r="1668" spans="1:1">
      <c r="A1668">
        <f>IFERROR(VLOOKUP(B1668,[1]銷貨單品號主檔!$A:$D,4,0),"學習周邊")</f>
        <v>0</v>
      </c>
    </row>
    <row r="1669" spans="1:1">
      <c r="A1669">
        <f>IFERROR(VLOOKUP(B1669,[1]銷貨單品號主檔!$A:$D,4,0),"學習周邊")</f>
        <v>0</v>
      </c>
    </row>
    <row r="1670" spans="1:1">
      <c r="A1670">
        <f>IFERROR(VLOOKUP(B1670,[1]銷貨單品號主檔!$A:$D,4,0),"學習周邊")</f>
        <v>0</v>
      </c>
    </row>
    <row r="1671" spans="1:1">
      <c r="A1671">
        <f>IFERROR(VLOOKUP(B1671,[1]銷貨單品號主檔!$A:$D,4,0),"學習周邊")</f>
        <v>0</v>
      </c>
    </row>
    <row r="1672" spans="1:1">
      <c r="A1672">
        <f>IFERROR(VLOOKUP(B1672,[1]銷貨單品號主檔!$A:$D,4,0),"學習周邊")</f>
        <v>0</v>
      </c>
    </row>
    <row r="1673" spans="1:1">
      <c r="A1673">
        <f>IFERROR(VLOOKUP(B1673,[1]銷貨單品號主檔!$A:$D,4,0),"學習周邊")</f>
        <v>0</v>
      </c>
    </row>
    <row r="1674" spans="1:1">
      <c r="A1674">
        <f>IFERROR(VLOOKUP(B1674,[1]銷貨單品號主檔!$A:$D,4,0),"學習周邊")</f>
        <v>0</v>
      </c>
    </row>
    <row r="1675" spans="1:1">
      <c r="A1675">
        <f>IFERROR(VLOOKUP(B1675,[1]銷貨單品號主檔!$A:$D,4,0),"學習周邊")</f>
        <v>0</v>
      </c>
    </row>
    <row r="1676" spans="1:1">
      <c r="A1676">
        <f>IFERROR(VLOOKUP(B1676,[1]銷貨單品號主檔!$A:$D,4,0),"學習周邊")</f>
        <v>0</v>
      </c>
    </row>
    <row r="1677" spans="1:1">
      <c r="A1677">
        <f>IFERROR(VLOOKUP(B1677,[1]銷貨單品號主檔!$A:$D,4,0),"學習周邊")</f>
        <v>0</v>
      </c>
    </row>
    <row r="1678" spans="1:1">
      <c r="A1678">
        <f>IFERROR(VLOOKUP(B1678,[1]銷貨單品號主檔!$A:$D,4,0),"學習周邊")</f>
        <v>0</v>
      </c>
    </row>
    <row r="1679" spans="1:1">
      <c r="A1679">
        <f>IFERROR(VLOOKUP(B1679,[1]銷貨單品號主檔!$A:$D,4,0),"學習周邊")</f>
        <v>0</v>
      </c>
    </row>
    <row r="1680" spans="1:1">
      <c r="A1680">
        <f>IFERROR(VLOOKUP(B1680,[1]銷貨單品號主檔!$A:$D,4,0),"學習周邊")</f>
        <v>0</v>
      </c>
    </row>
    <row r="1681" spans="1:1">
      <c r="A1681">
        <f>IFERROR(VLOOKUP(B1681,[1]銷貨單品號主檔!$A:$D,4,0),"學習周邊")</f>
        <v>0</v>
      </c>
    </row>
    <row r="1682" spans="1:1">
      <c r="A1682">
        <f>IFERROR(VLOOKUP(B1682,[1]銷貨單品號主檔!$A:$D,4,0),"學習周邊")</f>
        <v>0</v>
      </c>
    </row>
    <row r="1683" spans="1:1">
      <c r="A1683">
        <f>IFERROR(VLOOKUP(B1683,[1]銷貨單品號主檔!$A:$D,4,0),"學習周邊")</f>
        <v>0</v>
      </c>
    </row>
    <row r="1684" spans="1:1">
      <c r="A1684">
        <f>IFERROR(VLOOKUP(B1684,[1]銷貨單品號主檔!$A:$D,4,0),"學習周邊")</f>
        <v>0</v>
      </c>
    </row>
    <row r="1685" spans="1:1">
      <c r="A1685">
        <f>IFERROR(VLOOKUP(B1685,[1]銷貨單品號主檔!$A:$D,4,0),"學習周邊")</f>
        <v>0</v>
      </c>
    </row>
    <row r="1686" spans="1:1">
      <c r="A1686">
        <f>IFERROR(VLOOKUP(B1686,[1]銷貨單品號主檔!$A:$D,4,0),"學習周邊")</f>
        <v>0</v>
      </c>
    </row>
    <row r="1687" spans="1:1">
      <c r="A1687">
        <f>IFERROR(VLOOKUP(B1687,[1]銷貨單品號主檔!$A:$D,4,0),"學習周邊")</f>
        <v>0</v>
      </c>
    </row>
    <row r="1688" spans="1:1">
      <c r="A1688">
        <f>IFERROR(VLOOKUP(B1688,[1]銷貨單品號主檔!$A:$D,4,0),"學習周邊")</f>
        <v>0</v>
      </c>
    </row>
    <row r="1689" spans="1:1">
      <c r="A1689">
        <f>IFERROR(VLOOKUP(B1689,[1]銷貨單品號主檔!$A:$D,4,0),"學習周邊")</f>
        <v>0</v>
      </c>
    </row>
    <row r="1690" spans="1:1">
      <c r="A1690">
        <f>IFERROR(VLOOKUP(B1690,[1]銷貨單品號主檔!$A:$D,4,0),"學習周邊")</f>
        <v>0</v>
      </c>
    </row>
    <row r="1691" spans="1:1">
      <c r="A1691">
        <f>IFERROR(VLOOKUP(B1691,[1]銷貨單品號主檔!$A:$D,4,0),"學習周邊")</f>
        <v>0</v>
      </c>
    </row>
    <row r="1692" spans="1:1">
      <c r="A1692">
        <f>IFERROR(VLOOKUP(B1692,[1]銷貨單品號主檔!$A:$D,4,0),"學習周邊")</f>
        <v>0</v>
      </c>
    </row>
    <row r="1693" spans="1:1">
      <c r="A1693">
        <f>IFERROR(VLOOKUP(B1693,[1]銷貨單品號主檔!$A:$D,4,0),"學習周邊")</f>
        <v>0</v>
      </c>
    </row>
    <row r="1694" spans="1:1">
      <c r="A1694">
        <f>IFERROR(VLOOKUP(B1694,[1]銷貨單品號主檔!$A:$D,4,0),"學習周邊")</f>
        <v>0</v>
      </c>
    </row>
    <row r="1695" spans="1:1">
      <c r="A1695">
        <f>IFERROR(VLOOKUP(B1695,[1]銷貨單品號主檔!$A:$D,4,0),"學習周邊")</f>
        <v>0</v>
      </c>
    </row>
    <row r="1696" spans="1:1">
      <c r="A1696">
        <f>IFERROR(VLOOKUP(B1696,[1]銷貨單品號主檔!$A:$D,4,0),"學習周邊")</f>
        <v>0</v>
      </c>
    </row>
    <row r="1697" spans="1:1">
      <c r="A1697">
        <f>IFERROR(VLOOKUP(B1697,[1]銷貨單品號主檔!$A:$D,4,0),"學習周邊")</f>
        <v>0</v>
      </c>
    </row>
    <row r="1698" spans="1:1">
      <c r="A1698">
        <f>IFERROR(VLOOKUP(B1698,[1]銷貨單品號主檔!$A:$D,4,0),"學習周邊")</f>
        <v>0</v>
      </c>
    </row>
    <row r="1699" spans="1:1">
      <c r="A1699">
        <f>IFERROR(VLOOKUP(B1699,[1]銷貨單品號主檔!$A:$D,4,0),"學習周邊")</f>
        <v>0</v>
      </c>
    </row>
    <row r="1700" spans="1:1">
      <c r="A1700">
        <f>IFERROR(VLOOKUP(B1700,[1]銷貨單品號主檔!$A:$D,4,0),"學習周邊")</f>
        <v>0</v>
      </c>
    </row>
    <row r="1701" spans="1:1">
      <c r="A1701">
        <f>IFERROR(VLOOKUP(B1701,[1]銷貨單品號主檔!$A:$D,4,0),"學習周邊")</f>
        <v>0</v>
      </c>
    </row>
    <row r="1702" spans="1:1">
      <c r="A1702">
        <f>IFERROR(VLOOKUP(B1702,[1]銷貨單品號主檔!$A:$D,4,0),"學習周邊")</f>
        <v>0</v>
      </c>
    </row>
    <row r="1703" spans="1:1">
      <c r="A1703">
        <f>IFERROR(VLOOKUP(B1703,[1]銷貨單品號主檔!$A:$D,4,0),"學習周邊")</f>
        <v>0</v>
      </c>
    </row>
    <row r="1704" spans="1:1">
      <c r="A1704">
        <f>IFERROR(VLOOKUP(B1704,[1]銷貨單品號主檔!$A:$D,4,0),"學習周邊")</f>
        <v>0</v>
      </c>
    </row>
    <row r="1705" spans="1:1">
      <c r="A1705">
        <f>IFERROR(VLOOKUP(B1705,[1]銷貨單品號主檔!$A:$D,4,0),"學習周邊")</f>
        <v>0</v>
      </c>
    </row>
    <row r="1706" spans="1:1">
      <c r="A1706">
        <f>IFERROR(VLOOKUP(B1706,[1]銷貨單品號主檔!$A:$D,4,0),"學習周邊")</f>
        <v>0</v>
      </c>
    </row>
    <row r="1707" spans="1:1">
      <c r="A1707">
        <f>IFERROR(VLOOKUP(B1707,[1]銷貨單品號主檔!$A:$D,4,0),"學習周邊")</f>
        <v>0</v>
      </c>
    </row>
    <row r="1708" spans="1:1">
      <c r="A1708">
        <f>IFERROR(VLOOKUP(B1708,[1]銷貨單品號主檔!$A:$D,4,0),"學習周邊")</f>
        <v>0</v>
      </c>
    </row>
    <row r="1709" spans="1:1">
      <c r="A1709">
        <f>IFERROR(VLOOKUP(B1709,[1]銷貨單品號主檔!$A:$D,4,0),"學習周邊")</f>
        <v>0</v>
      </c>
    </row>
    <row r="1710" spans="1:1">
      <c r="A1710">
        <f>IFERROR(VLOOKUP(B1710,[1]銷貨單品號主檔!$A:$D,4,0),"學習周邊")</f>
        <v>0</v>
      </c>
    </row>
    <row r="1711" spans="1:1">
      <c r="A1711">
        <f>IFERROR(VLOOKUP(B1711,[1]銷貨單品號主檔!$A:$D,4,0),"學習周邊")</f>
        <v>0</v>
      </c>
    </row>
    <row r="1712" spans="1:1">
      <c r="A1712">
        <f>IFERROR(VLOOKUP(B1712,[1]銷貨單品號主檔!$A:$D,4,0),"學習周邊")</f>
        <v>0</v>
      </c>
    </row>
    <row r="1713" spans="1:1">
      <c r="A1713">
        <f>IFERROR(VLOOKUP(B1713,[1]銷貨單品號主檔!$A:$D,4,0),"學習周邊")</f>
        <v>0</v>
      </c>
    </row>
    <row r="1714" spans="1:1">
      <c r="A1714">
        <f>IFERROR(VLOOKUP(B1714,[1]銷貨單品號主檔!$A:$D,4,0),"學習周邊")</f>
        <v>0</v>
      </c>
    </row>
    <row r="1715" spans="1:1">
      <c r="A1715">
        <f>IFERROR(VLOOKUP(B1715,[1]銷貨單品號主檔!$A:$D,4,0),"學習周邊")</f>
        <v>0</v>
      </c>
    </row>
    <row r="1716" spans="1:1">
      <c r="A1716">
        <f>IFERROR(VLOOKUP(B1716,[1]銷貨單品號主檔!$A:$D,4,0),"學習周邊")</f>
        <v>0</v>
      </c>
    </row>
    <row r="1717" spans="1:1">
      <c r="A1717">
        <f>IFERROR(VLOOKUP(B1717,[1]銷貨單品號主檔!$A:$D,4,0),"學習周邊")</f>
        <v>0</v>
      </c>
    </row>
    <row r="1718" spans="1:1">
      <c r="A1718">
        <f>IFERROR(VLOOKUP(B1718,[1]銷貨單品號主檔!$A:$D,4,0),"學習周邊")</f>
        <v>0</v>
      </c>
    </row>
    <row r="1719" spans="1:1">
      <c r="A1719">
        <f>IFERROR(VLOOKUP(B1719,[1]銷貨單品號主檔!$A:$D,4,0),"學習周邊")</f>
        <v>0</v>
      </c>
    </row>
    <row r="1720" spans="1:1">
      <c r="A1720">
        <f>IFERROR(VLOOKUP(B1720,[1]銷貨單品號主檔!$A:$D,4,0),"學習周邊")</f>
        <v>0</v>
      </c>
    </row>
    <row r="1721" spans="1:1">
      <c r="A1721">
        <f>IFERROR(VLOOKUP(B1721,[1]銷貨單品號主檔!$A:$D,4,0),"學習周邊")</f>
        <v>0</v>
      </c>
    </row>
    <row r="1722" spans="1:1">
      <c r="A1722">
        <f>IFERROR(VLOOKUP(B1722,[1]銷貨單品號主檔!$A:$D,4,0),"學習周邊")</f>
        <v>0</v>
      </c>
    </row>
    <row r="1723" spans="1:1">
      <c r="A1723">
        <f>IFERROR(VLOOKUP(B1723,[1]銷貨單品號主檔!$A:$D,4,0),"學習周邊")</f>
        <v>0</v>
      </c>
    </row>
    <row r="1724" spans="1:1">
      <c r="A1724">
        <f>IFERROR(VLOOKUP(B1724,[1]銷貨單品號主檔!$A:$D,4,0),"學習周邊")</f>
        <v>0</v>
      </c>
    </row>
    <row r="1725" spans="1:1">
      <c r="A1725">
        <f>IFERROR(VLOOKUP(B1725,[1]銷貨單品號主檔!$A:$D,4,0),"學習周邊")</f>
        <v>0</v>
      </c>
    </row>
  </sheetData>
  <phoneticPr fontId="4" type="noConversion"/>
  <conditionalFormatting sqref="A2:A1725">
    <cfRule type="cellIs" dxfId="72" priority="11" operator="equal">
      <formula>"生活周邊"</formula>
    </cfRule>
    <cfRule type="cellIs" dxfId="71" priority="12" operator="equal">
      <formula>"Mirafeel"</formula>
    </cfRule>
    <cfRule type="cellIs" dxfId="70" priority="13" operator="equal">
      <formula>"學習"</formula>
    </cfRule>
  </conditionalFormatting>
  <conditionalFormatting sqref="C1:C1048576">
    <cfRule type="containsText" dxfId="69" priority="1" operator="containsText" text="(團購)">
      <formula>NOT(ISERROR(SEARCH("(團購)",C1)))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DC4E-9969-4694-ABA4-95701F6E082D}">
  <sheetPr>
    <tabColor theme="5" tint="-0.249977111117893"/>
  </sheetPr>
  <dimension ref="A1:F503"/>
  <sheetViews>
    <sheetView topLeftCell="A59" workbookViewId="0">
      <selection activeCell="N177" sqref="N177"/>
    </sheetView>
  </sheetViews>
  <sheetFormatPr defaultRowHeight="15.75"/>
  <cols>
    <col min="1" max="1" width="8.6640625" bestFit="1" customWidth="1"/>
    <col min="2" max="2" width="14" style="23" bestFit="1" customWidth="1"/>
    <col min="3" max="3" width="14.21875" bestFit="1" customWidth="1"/>
    <col min="4" max="4" width="13.5546875" style="23" bestFit="1" customWidth="1"/>
    <col min="5" max="5" width="12.6640625" bestFit="1" customWidth="1"/>
    <col min="6" max="6" width="12.33203125" customWidth="1"/>
  </cols>
  <sheetData>
    <row r="1" spans="1:6">
      <c r="B1" s="34" t="s">
        <v>42</v>
      </c>
      <c r="C1" s="34" t="s">
        <v>43</v>
      </c>
      <c r="D1"/>
    </row>
    <row r="2" spans="1:6">
      <c r="B2"/>
      <c r="D2"/>
      <c r="F2" s="26"/>
    </row>
    <row r="3" spans="1:6" ht="33">
      <c r="A3" t="s">
        <v>47</v>
      </c>
      <c r="B3" s="37" t="s">
        <v>50</v>
      </c>
      <c r="C3" s="34" t="s">
        <v>51</v>
      </c>
      <c r="D3" s="34" t="s">
        <v>365</v>
      </c>
      <c r="E3" s="39" t="s">
        <v>321</v>
      </c>
      <c r="F3" s="13" t="s">
        <v>71</v>
      </c>
    </row>
    <row r="4" spans="1:6">
      <c r="A4" t="str">
        <f>IFERROR(VLOOKUP(B4,[1]銷貨單品號主檔!$A:$D,4,0),"學習周邊")</f>
        <v>學習周邊</v>
      </c>
      <c r="B4" s="34" t="s">
        <v>55</v>
      </c>
      <c r="C4" s="38" t="s">
        <v>359</v>
      </c>
      <c r="D4" s="39">
        <v>3</v>
      </c>
      <c r="E4" s="39">
        <v>854.28571428571422</v>
      </c>
      <c r="F4" s="26" t="s">
        <v>309</v>
      </c>
    </row>
    <row r="5" spans="1:6">
      <c r="A5" t="str">
        <f>IFERROR(VLOOKUP(B5,[1]銷貨單品號主檔!$A:$D,4,0),"學習周邊")</f>
        <v>學習周邊</v>
      </c>
      <c r="B5" s="34" t="s">
        <v>55</v>
      </c>
      <c r="C5" s="38" t="s">
        <v>366</v>
      </c>
      <c r="D5" s="39">
        <v>1</v>
      </c>
      <c r="E5" s="39">
        <v>284.76190476190476</v>
      </c>
      <c r="F5" s="26" t="s">
        <v>309</v>
      </c>
    </row>
    <row r="6" spans="1:6">
      <c r="A6" t="str">
        <f>IFERROR(VLOOKUP(B6,[1]銷貨單品號主檔!$A:$D,4,0),"學習周邊")</f>
        <v>學習周邊</v>
      </c>
      <c r="B6" s="34" t="s">
        <v>55</v>
      </c>
      <c r="C6" s="38" t="s">
        <v>367</v>
      </c>
      <c r="D6" s="39">
        <v>13</v>
      </c>
      <c r="E6" s="39">
        <v>1993.3333333333333</v>
      </c>
      <c r="F6" s="26" t="s">
        <v>309</v>
      </c>
    </row>
    <row r="7" spans="1:6">
      <c r="A7" t="str">
        <f>IFERROR(VLOOKUP(B7,[1]銷貨單品號主檔!$A:$D,4,0),"學習周邊")</f>
        <v>學習周邊</v>
      </c>
      <c r="B7" s="34" t="s">
        <v>55</v>
      </c>
      <c r="C7" s="38" t="s">
        <v>385</v>
      </c>
      <c r="D7" s="39">
        <v>3</v>
      </c>
      <c r="E7" s="39">
        <v>569.52380952380952</v>
      </c>
      <c r="F7" s="26" t="s">
        <v>309</v>
      </c>
    </row>
    <row r="8" spans="1:6">
      <c r="A8" t="str">
        <f>IFERROR(VLOOKUP(B8,[1]銷貨單品號主檔!$A:$D,4,0),"學習周邊")</f>
        <v>學習周邊</v>
      </c>
      <c r="B8" s="34" t="s">
        <v>101</v>
      </c>
      <c r="C8" s="38" t="s">
        <v>357</v>
      </c>
      <c r="D8" s="39">
        <v>1</v>
      </c>
      <c r="E8" s="39">
        <v>951.42857142857144</v>
      </c>
      <c r="F8" s="26" t="s">
        <v>309</v>
      </c>
    </row>
    <row r="9" spans="1:6">
      <c r="A9" t="str">
        <f>IFERROR(VLOOKUP(B9,[1]銷貨單品號主檔!$A:$D,4,0),"學習周邊")</f>
        <v>學習周邊</v>
      </c>
      <c r="B9" s="34" t="s">
        <v>101</v>
      </c>
      <c r="C9" s="38" t="s">
        <v>358</v>
      </c>
      <c r="D9" s="39">
        <v>1</v>
      </c>
      <c r="E9" s="39">
        <v>951.42857142857144</v>
      </c>
      <c r="F9" s="26" t="s">
        <v>309</v>
      </c>
    </row>
    <row r="10" spans="1:6">
      <c r="A10" t="str">
        <f>IFERROR(VLOOKUP(B10,[1]銷貨單品號主檔!$A:$D,4,0),"學習周邊")</f>
        <v>學習周邊</v>
      </c>
      <c r="B10" s="34" t="s">
        <v>101</v>
      </c>
      <c r="C10" s="38" t="s">
        <v>366</v>
      </c>
      <c r="D10" s="39">
        <v>1</v>
      </c>
      <c r="E10" s="39">
        <v>1140.952380952381</v>
      </c>
      <c r="F10" s="26" t="s">
        <v>309</v>
      </c>
    </row>
    <row r="11" spans="1:6">
      <c r="A11" t="str">
        <f>IFERROR(VLOOKUP(B11,[1]銷貨單品號主檔!$A:$D,4,0),"學習周邊")</f>
        <v>學習周邊</v>
      </c>
      <c r="B11" s="34" t="s">
        <v>101</v>
      </c>
      <c r="C11" s="38" t="s">
        <v>367</v>
      </c>
      <c r="D11" s="39">
        <v>3</v>
      </c>
      <c r="E11" s="39">
        <v>3233.333333333333</v>
      </c>
      <c r="F11" s="26" t="s">
        <v>309</v>
      </c>
    </row>
    <row r="12" spans="1:6">
      <c r="A12" t="str">
        <f>IFERROR(VLOOKUP(B12,[1]銷貨單品號主檔!$A:$D,4,0),"學習周邊")</f>
        <v>學習周邊</v>
      </c>
      <c r="B12" s="34" t="s">
        <v>101</v>
      </c>
      <c r="C12" s="38" t="s">
        <v>385</v>
      </c>
      <c r="D12" s="39">
        <v>1</v>
      </c>
      <c r="E12" s="39">
        <v>1140.952380952381</v>
      </c>
      <c r="F12" s="26" t="s">
        <v>309</v>
      </c>
    </row>
    <row r="13" spans="1:6">
      <c r="A13" t="str">
        <f>IFERROR(VLOOKUP(B13,[1]銷貨單品號主檔!$A:$D,4,0),"學習周邊")</f>
        <v>學習周邊</v>
      </c>
      <c r="B13" s="34" t="s">
        <v>110</v>
      </c>
      <c r="C13" s="38" t="s">
        <v>359</v>
      </c>
      <c r="D13" s="39">
        <v>1</v>
      </c>
      <c r="E13" s="39">
        <v>189.52380952380952</v>
      </c>
      <c r="F13" s="26" t="s">
        <v>309</v>
      </c>
    </row>
    <row r="14" spans="1:6">
      <c r="A14" t="str">
        <f>IFERROR(VLOOKUP(B14,[1]銷貨單品號主檔!$A:$D,4,0),"學習周邊")</f>
        <v>學習周邊</v>
      </c>
      <c r="B14" s="34" t="s">
        <v>110</v>
      </c>
      <c r="C14" s="38" t="s">
        <v>367</v>
      </c>
      <c r="D14" s="39">
        <v>1</v>
      </c>
      <c r="E14" s="39">
        <v>189.52380952380952</v>
      </c>
      <c r="F14" s="26" t="s">
        <v>309</v>
      </c>
    </row>
    <row r="15" spans="1:6">
      <c r="A15" t="str">
        <f>IFERROR(VLOOKUP(B15,[1]銷貨單品號主檔!$A:$D,4,0),"學習周邊")</f>
        <v>學習</v>
      </c>
      <c r="B15" s="34" t="s">
        <v>118</v>
      </c>
      <c r="C15" s="38" t="s">
        <v>357</v>
      </c>
      <c r="D15" s="39">
        <v>2</v>
      </c>
      <c r="E15" s="39">
        <v>4188.5714285714284</v>
      </c>
      <c r="F15" s="26" t="s">
        <v>309</v>
      </c>
    </row>
    <row r="16" spans="1:6">
      <c r="A16" t="str">
        <f>IFERROR(VLOOKUP(B16,[1]銷貨單品號主檔!$A:$D,4,0),"學習周邊")</f>
        <v>學習</v>
      </c>
      <c r="B16" s="34" t="s">
        <v>118</v>
      </c>
      <c r="C16" s="38" t="s">
        <v>358</v>
      </c>
      <c r="D16" s="39">
        <v>1</v>
      </c>
      <c r="E16" s="39">
        <v>2094.2857142857142</v>
      </c>
      <c r="F16" s="26" t="s">
        <v>309</v>
      </c>
    </row>
    <row r="17" spans="1:6">
      <c r="A17" t="str">
        <f>IFERROR(VLOOKUP(B17,[1]銷貨單品號主檔!$A:$D,4,0),"學習周邊")</f>
        <v>學習</v>
      </c>
      <c r="B17" s="34" t="s">
        <v>118</v>
      </c>
      <c r="C17" s="38" t="s">
        <v>359</v>
      </c>
      <c r="D17" s="39">
        <v>1</v>
      </c>
      <c r="E17" s="39">
        <v>2094.2857142857142</v>
      </c>
      <c r="F17" s="26" t="s">
        <v>309</v>
      </c>
    </row>
    <row r="18" spans="1:6">
      <c r="A18" t="str">
        <f>IFERROR(VLOOKUP(B18,[1]銷貨單品號主檔!$A:$D,4,0),"學習周邊")</f>
        <v>學習</v>
      </c>
      <c r="B18" s="34" t="s">
        <v>118</v>
      </c>
      <c r="C18" s="38" t="s">
        <v>366</v>
      </c>
      <c r="D18" s="39">
        <v>1</v>
      </c>
      <c r="E18" s="39">
        <v>2094.2857142857142</v>
      </c>
      <c r="F18" s="26" t="s">
        <v>309</v>
      </c>
    </row>
    <row r="19" spans="1:6">
      <c r="A19" t="str">
        <f>IFERROR(VLOOKUP(B19,[1]銷貨單品號主檔!$A:$D,4,0),"學習周邊")</f>
        <v>學習</v>
      </c>
      <c r="B19" s="34" t="s">
        <v>118</v>
      </c>
      <c r="C19" s="38" t="s">
        <v>367</v>
      </c>
      <c r="D19" s="39">
        <v>8</v>
      </c>
      <c r="E19" s="39">
        <v>16754.285714285714</v>
      </c>
      <c r="F19" s="26" t="s">
        <v>309</v>
      </c>
    </row>
    <row r="20" spans="1:6">
      <c r="A20" t="str">
        <f>IFERROR(VLOOKUP(B20,[1]銷貨單品號主檔!$A:$D,4,0),"學習周邊")</f>
        <v>學習周邊</v>
      </c>
      <c r="B20" s="34" t="s">
        <v>120</v>
      </c>
      <c r="C20" s="38" t="s">
        <v>357</v>
      </c>
      <c r="D20" s="39">
        <v>1</v>
      </c>
      <c r="E20" s="39">
        <v>665.71428571428567</v>
      </c>
      <c r="F20" s="26" t="s">
        <v>309</v>
      </c>
    </row>
    <row r="21" spans="1:6">
      <c r="A21" t="str">
        <f>IFERROR(VLOOKUP(B21,[1]銷貨單品號主檔!$A:$D,4,0),"學習周邊")</f>
        <v>學習周邊</v>
      </c>
      <c r="B21" s="34" t="s">
        <v>120</v>
      </c>
      <c r="C21" s="38" t="s">
        <v>366</v>
      </c>
      <c r="D21" s="39">
        <v>2</v>
      </c>
      <c r="E21" s="39">
        <v>1331.4285714285713</v>
      </c>
      <c r="F21" s="26" t="s">
        <v>309</v>
      </c>
    </row>
    <row r="22" spans="1:6">
      <c r="A22" t="str">
        <f>IFERROR(VLOOKUP(B22,[1]銷貨單品號主檔!$A:$D,4,0),"學習周邊")</f>
        <v>學習周邊</v>
      </c>
      <c r="B22" s="34" t="s">
        <v>120</v>
      </c>
      <c r="C22" s="38" t="s">
        <v>367</v>
      </c>
      <c r="D22" s="39">
        <v>4</v>
      </c>
      <c r="E22" s="39">
        <v>2662.8571428571427</v>
      </c>
      <c r="F22" s="26" t="s">
        <v>309</v>
      </c>
    </row>
    <row r="23" spans="1:6">
      <c r="A23" t="str">
        <f>IFERROR(VLOOKUP(B23,[1]銷貨單品號主檔!$A:$D,4,0),"學習周邊")</f>
        <v>生活周邊</v>
      </c>
      <c r="B23" s="34" t="s">
        <v>125</v>
      </c>
      <c r="C23" s="38" t="s">
        <v>358</v>
      </c>
      <c r="D23" s="39">
        <v>1</v>
      </c>
      <c r="E23" s="39">
        <v>189.52380952380952</v>
      </c>
      <c r="F23" s="26" t="s">
        <v>309</v>
      </c>
    </row>
    <row r="24" spans="1:6">
      <c r="A24" t="str">
        <f>IFERROR(VLOOKUP(B24,[1]銷貨單品號主檔!$A:$D,4,0),"學習周邊")</f>
        <v>生活周邊</v>
      </c>
      <c r="B24" s="34" t="s">
        <v>125</v>
      </c>
      <c r="C24" s="38" t="s">
        <v>367</v>
      </c>
      <c r="D24" s="39">
        <v>3</v>
      </c>
      <c r="E24" s="39">
        <v>379.04761904761904</v>
      </c>
      <c r="F24" s="26" t="s">
        <v>309</v>
      </c>
    </row>
    <row r="25" spans="1:6">
      <c r="A25" t="str">
        <f>IFERROR(VLOOKUP(B25,[1]銷貨單品號主檔!$A:$D,4,0),"學習周邊")</f>
        <v>學習周邊</v>
      </c>
      <c r="B25" s="34" t="s">
        <v>115</v>
      </c>
      <c r="C25" s="38" t="s">
        <v>358</v>
      </c>
      <c r="D25" s="39">
        <v>1</v>
      </c>
      <c r="E25" s="39">
        <v>570.47619047619048</v>
      </c>
      <c r="F25" s="26" t="s">
        <v>309</v>
      </c>
    </row>
    <row r="26" spans="1:6">
      <c r="A26" t="str">
        <f>IFERROR(VLOOKUP(B26,[1]銷貨單品號主檔!$A:$D,4,0),"學習周邊")</f>
        <v>學習周邊</v>
      </c>
      <c r="B26" s="34" t="s">
        <v>115</v>
      </c>
      <c r="C26" s="38" t="s">
        <v>366</v>
      </c>
      <c r="D26" s="39">
        <v>1</v>
      </c>
      <c r="E26" s="39">
        <v>570.47619047619048</v>
      </c>
      <c r="F26" s="26" t="s">
        <v>309</v>
      </c>
    </row>
    <row r="27" spans="1:6">
      <c r="A27" t="str">
        <f>IFERROR(VLOOKUP(B27,[1]銷貨單品號主檔!$A:$D,4,0),"學習周邊")</f>
        <v>學習周邊</v>
      </c>
      <c r="B27" s="34" t="s">
        <v>115</v>
      </c>
      <c r="C27" s="38" t="s">
        <v>367</v>
      </c>
      <c r="D27" s="39">
        <v>1</v>
      </c>
      <c r="E27" s="39">
        <v>570.47619047619048</v>
      </c>
      <c r="F27" s="26" t="s">
        <v>309</v>
      </c>
    </row>
    <row r="28" spans="1:6">
      <c r="A28" t="str">
        <f>IFERROR(VLOOKUP(B28,[1]銷貨單品號主檔!$A:$D,4,0),"學習周邊")</f>
        <v>學習</v>
      </c>
      <c r="B28" s="34" t="s">
        <v>133</v>
      </c>
      <c r="C28" s="38" t="s">
        <v>359</v>
      </c>
      <c r="D28" s="39">
        <v>1</v>
      </c>
      <c r="E28" s="39">
        <v>4571.4285714285716</v>
      </c>
      <c r="F28" s="26" t="s">
        <v>309</v>
      </c>
    </row>
    <row r="29" spans="1:6">
      <c r="A29" t="str">
        <f>IFERROR(VLOOKUP(B29,[1]銷貨單品號主檔!$A:$D,4,0),"學習周邊")</f>
        <v>學習</v>
      </c>
      <c r="B29" s="34" t="s">
        <v>133</v>
      </c>
      <c r="C29" s="38" t="s">
        <v>367</v>
      </c>
      <c r="D29" s="39">
        <v>2</v>
      </c>
      <c r="E29" s="39">
        <v>9142.8571428571431</v>
      </c>
      <c r="F29" s="26" t="s">
        <v>309</v>
      </c>
    </row>
    <row r="30" spans="1:6">
      <c r="A30" t="str">
        <f>IFERROR(VLOOKUP(B30,[1]銷貨單品號主檔!$A:$D,4,0),"學習周邊")</f>
        <v>學習</v>
      </c>
      <c r="B30" s="34" t="s">
        <v>141</v>
      </c>
      <c r="C30" s="38" t="s">
        <v>357</v>
      </c>
      <c r="D30" s="39">
        <v>2</v>
      </c>
      <c r="E30" s="39">
        <v>9333.3333333333321</v>
      </c>
      <c r="F30" s="26" t="s">
        <v>309</v>
      </c>
    </row>
    <row r="31" spans="1:6">
      <c r="A31" t="str">
        <f>IFERROR(VLOOKUP(B31,[1]銷貨單品號主檔!$A:$D,4,0),"學習周邊")</f>
        <v>學習</v>
      </c>
      <c r="B31" s="34" t="s">
        <v>141</v>
      </c>
      <c r="C31" s="38" t="s">
        <v>358</v>
      </c>
      <c r="D31" s="39">
        <v>1</v>
      </c>
      <c r="E31" s="39">
        <v>4666.6666666666661</v>
      </c>
      <c r="F31" s="26" t="s">
        <v>309</v>
      </c>
    </row>
    <row r="32" spans="1:6">
      <c r="A32" t="str">
        <f>IFERROR(VLOOKUP(B32,[1]銷貨單品號主檔!$A:$D,4,0),"學習周邊")</f>
        <v>學習</v>
      </c>
      <c r="B32" s="34" t="s">
        <v>141</v>
      </c>
      <c r="C32" s="38" t="s">
        <v>367</v>
      </c>
      <c r="D32" s="39">
        <v>4</v>
      </c>
      <c r="E32" s="39">
        <v>18666.666666666664</v>
      </c>
      <c r="F32" s="26" t="s">
        <v>309</v>
      </c>
    </row>
    <row r="33" spans="1:6">
      <c r="A33" t="str">
        <f>IFERROR(VLOOKUP(B33,[1]銷貨單品號主檔!$A:$D,4,0),"學習周邊")</f>
        <v>學習</v>
      </c>
      <c r="B33" s="34" t="s">
        <v>145</v>
      </c>
      <c r="C33" s="38" t="s">
        <v>359</v>
      </c>
      <c r="D33" s="39">
        <v>1</v>
      </c>
      <c r="E33" s="39">
        <v>4094.2857142857142</v>
      </c>
      <c r="F33" s="26" t="s">
        <v>309</v>
      </c>
    </row>
    <row r="34" spans="1:6">
      <c r="A34" t="str">
        <f>IFERROR(VLOOKUP(B34,[1]銷貨單品號主檔!$A:$D,4,0),"學習周邊")</f>
        <v>學習</v>
      </c>
      <c r="B34" s="34" t="s">
        <v>145</v>
      </c>
      <c r="C34" s="38" t="s">
        <v>367</v>
      </c>
      <c r="D34" s="39">
        <v>4</v>
      </c>
      <c r="E34" s="39">
        <v>16377.142857142857</v>
      </c>
      <c r="F34" s="26" t="s">
        <v>309</v>
      </c>
    </row>
    <row r="35" spans="1:6">
      <c r="A35" t="str">
        <f>IFERROR(VLOOKUP(B35,[1]銷貨單品號主檔!$A:$D,4,0),"學習周邊")</f>
        <v>學習周邊</v>
      </c>
      <c r="B35" s="34" t="s">
        <v>135</v>
      </c>
      <c r="C35" s="38" t="s">
        <v>359</v>
      </c>
      <c r="D35" s="39">
        <v>1</v>
      </c>
      <c r="E35" s="39">
        <v>285.71428571428572</v>
      </c>
      <c r="F35" s="26" t="s">
        <v>309</v>
      </c>
    </row>
    <row r="36" spans="1:6">
      <c r="A36" t="str">
        <f>IFERROR(VLOOKUP(B36,[1]銷貨單品號主檔!$A:$D,4,0),"學習周邊")</f>
        <v>學習周邊</v>
      </c>
      <c r="B36" s="34" t="s">
        <v>135</v>
      </c>
      <c r="C36" s="38" t="s">
        <v>366</v>
      </c>
      <c r="D36" s="39">
        <v>1</v>
      </c>
      <c r="E36" s="39">
        <v>190.47619047619048</v>
      </c>
      <c r="F36" s="26" t="s">
        <v>309</v>
      </c>
    </row>
    <row r="37" spans="1:6">
      <c r="A37" t="str">
        <f>IFERROR(VLOOKUP(B37,[1]銷貨單品號主檔!$A:$D,4,0),"學習周邊")</f>
        <v>學習周邊</v>
      </c>
      <c r="B37" s="34" t="s">
        <v>135</v>
      </c>
      <c r="C37" s="38" t="s">
        <v>367</v>
      </c>
      <c r="D37" s="39">
        <v>7</v>
      </c>
      <c r="E37" s="39">
        <v>571.42857142857144</v>
      </c>
      <c r="F37" s="26" t="s">
        <v>309</v>
      </c>
    </row>
    <row r="38" spans="1:6">
      <c r="A38" t="str">
        <f>IFERROR(VLOOKUP(B38,[1]銷貨單品號主檔!$A:$D,4,0),"學習周邊")</f>
        <v>學習</v>
      </c>
      <c r="B38" s="34" t="s">
        <v>158</v>
      </c>
      <c r="C38" s="38" t="s">
        <v>357</v>
      </c>
      <c r="D38" s="39">
        <v>2</v>
      </c>
      <c r="E38" s="39">
        <v>5141.9047619047615</v>
      </c>
      <c r="F38" s="26" t="s">
        <v>309</v>
      </c>
    </row>
    <row r="39" spans="1:6">
      <c r="A39" t="str">
        <f>IFERROR(VLOOKUP(B39,[1]銷貨單品號主檔!$A:$D,4,0),"學習周邊")</f>
        <v>學習</v>
      </c>
      <c r="B39" s="34" t="s">
        <v>158</v>
      </c>
      <c r="C39" s="38" t="s">
        <v>358</v>
      </c>
      <c r="D39" s="39">
        <v>2</v>
      </c>
      <c r="E39" s="39">
        <v>4569.5238095238092</v>
      </c>
      <c r="F39" s="26" t="s">
        <v>309</v>
      </c>
    </row>
    <row r="40" spans="1:6">
      <c r="A40" t="str">
        <f>IFERROR(VLOOKUP(B40,[1]銷貨單品號主檔!$A:$D,4,0),"學習周邊")</f>
        <v>學習</v>
      </c>
      <c r="B40" s="34" t="s">
        <v>158</v>
      </c>
      <c r="C40" s="38" t="s">
        <v>359</v>
      </c>
      <c r="D40" s="39">
        <v>2</v>
      </c>
      <c r="E40" s="39">
        <v>4569.5238095238092</v>
      </c>
      <c r="F40" s="26" t="s">
        <v>309</v>
      </c>
    </row>
    <row r="41" spans="1:6">
      <c r="A41" t="str">
        <f>IFERROR(VLOOKUP(B41,[1]銷貨單品號主檔!$A:$D,4,0),"學習周邊")</f>
        <v>學習</v>
      </c>
      <c r="B41" s="34" t="s">
        <v>158</v>
      </c>
      <c r="C41" s="38" t="s">
        <v>366</v>
      </c>
      <c r="D41" s="39">
        <v>3</v>
      </c>
      <c r="E41" s="39">
        <v>6854.2857142857138</v>
      </c>
      <c r="F41" s="26" t="s">
        <v>309</v>
      </c>
    </row>
    <row r="42" spans="1:6">
      <c r="A42" t="str">
        <f>IFERROR(VLOOKUP(B42,[1]銷貨單品號主檔!$A:$D,4,0),"學習周邊")</f>
        <v>學習</v>
      </c>
      <c r="B42" s="34" t="s">
        <v>158</v>
      </c>
      <c r="C42" s="38" t="s">
        <v>367</v>
      </c>
      <c r="D42" s="39">
        <v>30</v>
      </c>
      <c r="E42" s="39">
        <v>68542.857142857145</v>
      </c>
      <c r="F42" s="26" t="s">
        <v>309</v>
      </c>
    </row>
    <row r="43" spans="1:6">
      <c r="A43" t="str">
        <f>IFERROR(VLOOKUP(B43,[1]銷貨單品號主檔!$A:$D,4,0),"學習周邊")</f>
        <v>學習</v>
      </c>
      <c r="B43" s="34" t="s">
        <v>158</v>
      </c>
      <c r="C43" s="38" t="s">
        <v>385</v>
      </c>
      <c r="D43" s="39">
        <v>2</v>
      </c>
      <c r="E43" s="39">
        <v>4569.5238095238092</v>
      </c>
      <c r="F43" s="26" t="s">
        <v>309</v>
      </c>
    </row>
    <row r="44" spans="1:6">
      <c r="A44" t="str">
        <f>IFERROR(VLOOKUP(B44,[1]銷貨單品號主檔!$A:$D,4,0),"學習周邊")</f>
        <v>學習</v>
      </c>
      <c r="B44" s="34" t="s">
        <v>182</v>
      </c>
      <c r="C44" s="38" t="s">
        <v>357</v>
      </c>
      <c r="D44" s="39">
        <v>1</v>
      </c>
      <c r="E44" s="39">
        <v>2474.2857142857142</v>
      </c>
      <c r="F44" s="26" t="s">
        <v>309</v>
      </c>
    </row>
    <row r="45" spans="1:6">
      <c r="A45" t="str">
        <f>IFERROR(VLOOKUP(B45,[1]銷貨單品號主檔!$A:$D,4,0),"學習周邊")</f>
        <v>學習</v>
      </c>
      <c r="B45" s="34" t="s">
        <v>182</v>
      </c>
      <c r="C45" s="38" t="s">
        <v>367</v>
      </c>
      <c r="D45" s="39">
        <v>4</v>
      </c>
      <c r="E45" s="39">
        <v>9897.1428571428569</v>
      </c>
      <c r="F45" s="26" t="s">
        <v>309</v>
      </c>
    </row>
    <row r="46" spans="1:6">
      <c r="A46" t="str">
        <f>IFERROR(VLOOKUP(B46,[1]銷貨單品號主檔!$A:$D,4,0),"學習周邊")</f>
        <v>學習</v>
      </c>
      <c r="B46" s="34" t="s">
        <v>182</v>
      </c>
      <c r="C46" s="38" t="s">
        <v>385</v>
      </c>
      <c r="D46" s="39">
        <v>1</v>
      </c>
      <c r="E46" s="39">
        <v>2474.2857142857142</v>
      </c>
      <c r="F46" s="26" t="s">
        <v>309</v>
      </c>
    </row>
    <row r="47" spans="1:6">
      <c r="A47" t="str">
        <f>IFERROR(VLOOKUP(B47,[1]銷貨單品號主檔!$A:$D,4,0),"學習周邊")</f>
        <v>學習</v>
      </c>
      <c r="B47" s="34" t="s">
        <v>214</v>
      </c>
      <c r="C47" s="38" t="s">
        <v>358</v>
      </c>
      <c r="D47" s="39">
        <v>1</v>
      </c>
      <c r="E47" s="39">
        <v>2856.1904761904761</v>
      </c>
      <c r="F47" s="26" t="s">
        <v>309</v>
      </c>
    </row>
    <row r="48" spans="1:6">
      <c r="A48" t="str">
        <f>IFERROR(VLOOKUP(B48,[1]銷貨單品號主檔!$A:$D,4,0),"學習周邊")</f>
        <v>學習</v>
      </c>
      <c r="B48" s="34" t="s">
        <v>214</v>
      </c>
      <c r="C48" s="38" t="s">
        <v>359</v>
      </c>
      <c r="D48" s="39">
        <v>1</v>
      </c>
      <c r="E48" s="39">
        <v>2856.1904761904761</v>
      </c>
      <c r="F48" s="26" t="s">
        <v>309</v>
      </c>
    </row>
    <row r="49" spans="1:6">
      <c r="A49" t="str">
        <f>IFERROR(VLOOKUP(B49,[1]銷貨單品號主檔!$A:$D,4,0),"學習周邊")</f>
        <v>學習</v>
      </c>
      <c r="B49" s="34" t="s">
        <v>214</v>
      </c>
      <c r="C49" s="38" t="s">
        <v>367</v>
      </c>
      <c r="D49" s="39">
        <v>10</v>
      </c>
      <c r="E49" s="39">
        <v>28561.90476190476</v>
      </c>
      <c r="F49" s="26" t="s">
        <v>309</v>
      </c>
    </row>
    <row r="50" spans="1:6">
      <c r="A50" t="str">
        <f>IFERROR(VLOOKUP(B50,[1]銷貨單品號主檔!$A:$D,4,0),"學習周邊")</f>
        <v>學習</v>
      </c>
      <c r="B50" s="34" t="s">
        <v>214</v>
      </c>
      <c r="C50" s="38" t="s">
        <v>385</v>
      </c>
      <c r="D50" s="39">
        <v>2</v>
      </c>
      <c r="E50" s="39">
        <v>5712.3809523809523</v>
      </c>
      <c r="F50" s="26" t="s">
        <v>309</v>
      </c>
    </row>
    <row r="51" spans="1:6">
      <c r="A51" t="str">
        <f>IFERROR(VLOOKUP(B51,[1]銷貨單品號主檔!$A:$D,4,0),"學習周邊")</f>
        <v>學習</v>
      </c>
      <c r="B51" s="34" t="s">
        <v>222</v>
      </c>
      <c r="C51" s="38" t="s">
        <v>357</v>
      </c>
      <c r="D51" s="39">
        <v>1</v>
      </c>
      <c r="E51" s="39">
        <v>3047.6190476190477</v>
      </c>
      <c r="F51" s="26" t="s">
        <v>309</v>
      </c>
    </row>
    <row r="52" spans="1:6">
      <c r="A52" t="str">
        <f>IFERROR(VLOOKUP(B52,[1]銷貨單品號主檔!$A:$D,4,0),"學習周邊")</f>
        <v>學習</v>
      </c>
      <c r="B52" s="34" t="s">
        <v>222</v>
      </c>
      <c r="C52" s="38" t="s">
        <v>359</v>
      </c>
      <c r="D52" s="39">
        <v>1</v>
      </c>
      <c r="E52" s="39">
        <v>3047.6190476190477</v>
      </c>
      <c r="F52" s="26" t="s">
        <v>309</v>
      </c>
    </row>
    <row r="53" spans="1:6">
      <c r="A53" t="str">
        <f>IFERROR(VLOOKUP(B53,[1]銷貨單品號主檔!$A:$D,4,0),"學習周邊")</f>
        <v>學習</v>
      </c>
      <c r="B53" s="34" t="s">
        <v>222</v>
      </c>
      <c r="C53" s="38" t="s">
        <v>367</v>
      </c>
      <c r="D53" s="39">
        <v>10</v>
      </c>
      <c r="E53" s="39">
        <v>30476.190476190473</v>
      </c>
      <c r="F53" s="26" t="s">
        <v>309</v>
      </c>
    </row>
    <row r="54" spans="1:6">
      <c r="A54" t="str">
        <f>IFERROR(VLOOKUP(B54,[1]銷貨單品號主檔!$A:$D,4,0),"學習周邊")</f>
        <v>學習</v>
      </c>
      <c r="B54" s="34" t="s">
        <v>222</v>
      </c>
      <c r="C54" s="38" t="s">
        <v>385</v>
      </c>
      <c r="D54" s="39">
        <v>2</v>
      </c>
      <c r="E54" s="39">
        <v>6095.2380952380954</v>
      </c>
      <c r="F54" s="26" t="s">
        <v>309</v>
      </c>
    </row>
    <row r="55" spans="1:6">
      <c r="A55" t="str">
        <f>IFERROR(VLOOKUP(B55,[1]銷貨單品號主檔!$A:$D,4,0),"學習周邊")</f>
        <v>學習</v>
      </c>
      <c r="B55" s="34" t="s">
        <v>225</v>
      </c>
      <c r="C55" s="38" t="s">
        <v>359</v>
      </c>
      <c r="D55" s="39">
        <v>1</v>
      </c>
      <c r="E55" s="39">
        <v>2855.238095238095</v>
      </c>
      <c r="F55" s="26" t="s">
        <v>309</v>
      </c>
    </row>
    <row r="56" spans="1:6">
      <c r="A56" t="str">
        <f>IFERROR(VLOOKUP(B56,[1]銷貨單品號主檔!$A:$D,4,0),"學習周邊")</f>
        <v>學習</v>
      </c>
      <c r="B56" s="34" t="s">
        <v>225</v>
      </c>
      <c r="C56" s="38" t="s">
        <v>367</v>
      </c>
      <c r="D56" s="39">
        <v>2</v>
      </c>
      <c r="E56" s="39">
        <v>5710.4761904761899</v>
      </c>
      <c r="F56" s="26" t="s">
        <v>309</v>
      </c>
    </row>
    <row r="57" spans="1:6">
      <c r="A57" t="str">
        <f>IFERROR(VLOOKUP(B57,[1]銷貨單品號主檔!$A:$D,4,0),"學習周邊")</f>
        <v>生活周邊</v>
      </c>
      <c r="B57" s="34" t="s">
        <v>230</v>
      </c>
      <c r="C57" s="38" t="s">
        <v>357</v>
      </c>
      <c r="D57" s="39">
        <v>1</v>
      </c>
      <c r="E57" s="39">
        <v>1141.9047619047619</v>
      </c>
      <c r="F57" s="26" t="s">
        <v>309</v>
      </c>
    </row>
    <row r="58" spans="1:6">
      <c r="A58" t="str">
        <f>IFERROR(VLOOKUP(B58,[1]銷貨單品號主檔!$A:$D,4,0),"學習周邊")</f>
        <v>生活周邊</v>
      </c>
      <c r="B58" s="34" t="s">
        <v>230</v>
      </c>
      <c r="C58" s="38" t="s">
        <v>367</v>
      </c>
      <c r="D58" s="39">
        <v>3</v>
      </c>
      <c r="E58" s="39">
        <v>3425.7142857142858</v>
      </c>
      <c r="F58" s="26" t="s">
        <v>309</v>
      </c>
    </row>
    <row r="59" spans="1:6">
      <c r="A59" t="str">
        <f>IFERROR(VLOOKUP(B59,[1]銷貨單品號主檔!$A:$D,4,0),"學習周邊")</f>
        <v>生活周邊</v>
      </c>
      <c r="B59" s="34" t="s">
        <v>232</v>
      </c>
      <c r="C59" s="38" t="s">
        <v>357</v>
      </c>
      <c r="D59" s="39">
        <v>1</v>
      </c>
      <c r="E59" s="39">
        <v>856.19047619047615</v>
      </c>
      <c r="F59" s="26" t="s">
        <v>309</v>
      </c>
    </row>
    <row r="60" spans="1:6">
      <c r="A60" t="str">
        <f>IFERROR(VLOOKUP(B60,[1]銷貨單品號主檔!$A:$D,4,0),"學習周邊")</f>
        <v>生活周邊</v>
      </c>
      <c r="B60" s="34" t="s">
        <v>232</v>
      </c>
      <c r="C60" s="38" t="s">
        <v>367</v>
      </c>
      <c r="D60" s="39">
        <v>1</v>
      </c>
      <c r="E60" s="39">
        <v>856.19047619047615</v>
      </c>
      <c r="F60" s="26" t="s">
        <v>309</v>
      </c>
    </row>
    <row r="61" spans="1:6">
      <c r="A61" t="str">
        <f>IFERROR(VLOOKUP(B61,[1]銷貨單品號主檔!$A:$D,4,0),"學習周邊")</f>
        <v>學習周邊</v>
      </c>
      <c r="B61" s="34" t="s">
        <v>185</v>
      </c>
      <c r="C61" s="38" t="s">
        <v>366</v>
      </c>
      <c r="D61" s="39">
        <v>1</v>
      </c>
      <c r="E61" s="39">
        <v>1046.6666666666665</v>
      </c>
      <c r="F61" s="26" t="s">
        <v>309</v>
      </c>
    </row>
    <row r="62" spans="1:6">
      <c r="A62" t="str">
        <f>IFERROR(VLOOKUP(B62,[1]銷貨單品號主檔!$A:$D,4,0),"學習周邊")</f>
        <v>生活周邊</v>
      </c>
      <c r="B62" s="34" t="s">
        <v>157</v>
      </c>
      <c r="C62" s="38" t="s">
        <v>366</v>
      </c>
      <c r="D62" s="39">
        <v>1</v>
      </c>
      <c r="E62" s="39">
        <v>856.19047619047615</v>
      </c>
      <c r="F62" s="26" t="s">
        <v>309</v>
      </c>
    </row>
    <row r="63" spans="1:6">
      <c r="A63" t="str">
        <f>IFERROR(VLOOKUP(B63,[1]銷貨單品號主檔!$A:$D,4,0),"學習周邊")</f>
        <v>學習周邊</v>
      </c>
      <c r="B63" s="34" t="s">
        <v>229</v>
      </c>
      <c r="C63" s="38" t="s">
        <v>366</v>
      </c>
      <c r="D63" s="39">
        <v>1</v>
      </c>
      <c r="E63" s="39">
        <v>495.23809523809524</v>
      </c>
      <c r="F63" s="26" t="s">
        <v>309</v>
      </c>
    </row>
    <row r="64" spans="1:6">
      <c r="A64" t="str">
        <f>IFERROR(VLOOKUP(B64,[1]銷貨單品號主檔!$A:$D,4,0),"學習周邊")</f>
        <v>學習</v>
      </c>
      <c r="B64" s="34" t="s">
        <v>132</v>
      </c>
      <c r="C64" s="38" t="s">
        <v>367</v>
      </c>
      <c r="D64" s="39">
        <v>8</v>
      </c>
      <c r="E64" s="39">
        <v>29712.38095238095</v>
      </c>
      <c r="F64" s="26" t="s">
        <v>309</v>
      </c>
    </row>
    <row r="65" spans="1:6">
      <c r="A65" t="str">
        <f>IFERROR(VLOOKUP(B65,[1]銷貨單品號主檔!$A:$D,4,0),"學習周邊")</f>
        <v>學習</v>
      </c>
      <c r="B65" s="34" t="s">
        <v>132</v>
      </c>
      <c r="C65" s="38" t="s">
        <v>385</v>
      </c>
      <c r="D65" s="39">
        <v>1</v>
      </c>
      <c r="E65" s="39">
        <v>5713.333333333333</v>
      </c>
      <c r="F65" s="26" t="s">
        <v>309</v>
      </c>
    </row>
    <row r="66" spans="1:6">
      <c r="A66" t="str">
        <f>IFERROR(VLOOKUP(B66,[1]銷貨單品號主檔!$A:$D,4,0),"學習周邊")</f>
        <v>生活周邊</v>
      </c>
      <c r="B66" s="34" t="s">
        <v>193</v>
      </c>
      <c r="C66" s="38" t="s">
        <v>367</v>
      </c>
      <c r="D66" s="39">
        <v>1</v>
      </c>
      <c r="E66" s="39">
        <v>284.76190476190476</v>
      </c>
      <c r="F66" s="26" t="s">
        <v>309</v>
      </c>
    </row>
    <row r="67" spans="1:6">
      <c r="A67" t="str">
        <f>IFERROR(VLOOKUP(B67,[1]銷貨單品號主檔!$A:$D,4,0),"學習周邊")</f>
        <v>學習周邊</v>
      </c>
      <c r="B67" s="34" t="s">
        <v>113</v>
      </c>
      <c r="C67" s="38" t="s">
        <v>367</v>
      </c>
      <c r="D67" s="39">
        <v>5</v>
      </c>
      <c r="E67" s="39">
        <v>1000</v>
      </c>
      <c r="F67" s="26" t="s">
        <v>309</v>
      </c>
    </row>
    <row r="68" spans="1:6">
      <c r="A68" t="str">
        <f>IFERROR(VLOOKUP(B68,[1]銷貨單品號主檔!$A:$D,4,0),"學習周邊")</f>
        <v>學習周邊</v>
      </c>
      <c r="B68" s="34" t="s">
        <v>113</v>
      </c>
      <c r="C68" s="38" t="s">
        <v>385</v>
      </c>
      <c r="D68" s="39">
        <v>1</v>
      </c>
      <c r="E68" s="39">
        <v>200</v>
      </c>
      <c r="F68" s="26" t="s">
        <v>309</v>
      </c>
    </row>
    <row r="69" spans="1:6">
      <c r="A69" t="str">
        <f>IFERROR(VLOOKUP(B69,[1]銷貨單品號主檔!$A:$D,4,0),"學習周邊")</f>
        <v>學習周邊</v>
      </c>
      <c r="B69" s="34" t="s">
        <v>371</v>
      </c>
      <c r="C69" s="38" t="s">
        <v>367</v>
      </c>
      <c r="D69" s="39">
        <v>1</v>
      </c>
      <c r="E69" s="39">
        <v>380.95238095238096</v>
      </c>
      <c r="F69" s="26" t="s">
        <v>309</v>
      </c>
    </row>
    <row r="70" spans="1:6">
      <c r="A70" t="str">
        <f>IFERROR(VLOOKUP(B70,[1]銷貨單品號主檔!$A:$D,4,0),"學習周邊")</f>
        <v>學習</v>
      </c>
      <c r="B70" s="34" t="s">
        <v>138</v>
      </c>
      <c r="C70" s="38" t="s">
        <v>367</v>
      </c>
      <c r="D70" s="39">
        <v>3</v>
      </c>
      <c r="E70" s="39">
        <v>6851.4285714285716</v>
      </c>
      <c r="F70" s="26" t="s">
        <v>309</v>
      </c>
    </row>
    <row r="71" spans="1:6">
      <c r="A71" t="str">
        <f>IFERROR(VLOOKUP(B71,[1]銷貨單品號主檔!$A:$D,4,0),"學習周邊")</f>
        <v>舞台劇</v>
      </c>
      <c r="B71" s="34" t="s">
        <v>372</v>
      </c>
      <c r="C71" s="38" t="s">
        <v>367</v>
      </c>
      <c r="D71" s="39">
        <v>3</v>
      </c>
      <c r="E71" s="39">
        <v>2346.6666666666665</v>
      </c>
      <c r="F71" s="26" t="s">
        <v>309</v>
      </c>
    </row>
    <row r="72" spans="1:6">
      <c r="A72" t="str">
        <f>IFERROR(VLOOKUP(B72,[1]銷貨單品號主檔!$A:$D,4,0),"學習周邊")</f>
        <v>生活周邊</v>
      </c>
      <c r="B72" s="34" t="s">
        <v>142</v>
      </c>
      <c r="C72" s="38" t="s">
        <v>367</v>
      </c>
      <c r="D72" s="39">
        <v>2</v>
      </c>
      <c r="E72" s="39">
        <v>38.095238095238095</v>
      </c>
      <c r="F72" s="26" t="s">
        <v>309</v>
      </c>
    </row>
    <row r="73" spans="1:6">
      <c r="A73" t="str">
        <f>IFERROR(VLOOKUP(B73,[1]銷貨單品號主檔!$A:$D,4,0),"學習周邊")</f>
        <v>生活周邊</v>
      </c>
      <c r="B73" s="34" t="s">
        <v>144</v>
      </c>
      <c r="C73" s="38" t="s">
        <v>367</v>
      </c>
      <c r="D73" s="39">
        <v>1</v>
      </c>
      <c r="E73" s="39">
        <v>19.047619047619047</v>
      </c>
      <c r="F73" s="26" t="s">
        <v>309</v>
      </c>
    </row>
    <row r="74" spans="1:6">
      <c r="A74" t="str">
        <f>IFERROR(VLOOKUP(B74,[1]銷貨單品號主檔!$A:$D,4,0),"學習周邊")</f>
        <v>學習</v>
      </c>
      <c r="B74" s="34" t="s">
        <v>111</v>
      </c>
      <c r="C74" s="38" t="s">
        <v>367</v>
      </c>
      <c r="D74" s="39">
        <v>2</v>
      </c>
      <c r="E74" s="39">
        <v>11426.666666666666</v>
      </c>
      <c r="F74" s="26" t="s">
        <v>309</v>
      </c>
    </row>
    <row r="75" spans="1:6">
      <c r="A75" t="str">
        <f>IFERROR(VLOOKUP(B75,[1]銷貨單品號主檔!$A:$D,4,0),"學習周邊")</f>
        <v>生活周邊</v>
      </c>
      <c r="B75" s="34" t="s">
        <v>129</v>
      </c>
      <c r="C75" s="38" t="s">
        <v>367</v>
      </c>
      <c r="D75" s="39">
        <v>1</v>
      </c>
      <c r="E75" s="39">
        <v>570.47619047619048</v>
      </c>
      <c r="F75" s="26" t="s">
        <v>309</v>
      </c>
    </row>
    <row r="76" spans="1:6">
      <c r="A76" t="str">
        <f>IFERROR(VLOOKUP(B76,[1]銷貨單品號主檔!$A:$D,4,0),"學習周邊")</f>
        <v>學習</v>
      </c>
      <c r="B76" s="34" t="s">
        <v>373</v>
      </c>
      <c r="C76" s="38" t="s">
        <v>367</v>
      </c>
      <c r="D76" s="39">
        <v>1</v>
      </c>
      <c r="E76" s="39">
        <v>4760.9523809523807</v>
      </c>
      <c r="F76" s="26" t="s">
        <v>309</v>
      </c>
    </row>
    <row r="77" spans="1:6">
      <c r="A77" t="str">
        <f>IFERROR(VLOOKUP(B77,[1]銷貨單品號主檔!$A:$D,4,0),"學習周邊")</f>
        <v>生活周邊</v>
      </c>
      <c r="B77" s="34" t="s">
        <v>295</v>
      </c>
      <c r="C77" s="38" t="s">
        <v>367</v>
      </c>
      <c r="D77" s="39">
        <v>3</v>
      </c>
      <c r="E77" s="39">
        <v>2664.7619047619046</v>
      </c>
      <c r="F77" s="26" t="s">
        <v>309</v>
      </c>
    </row>
    <row r="78" spans="1:6">
      <c r="A78" t="str">
        <f>IFERROR(VLOOKUP(B78,[1]銷貨單品號主檔!$A:$D,4,0),"學習周邊")</f>
        <v>學習</v>
      </c>
      <c r="B78" s="34" t="s">
        <v>221</v>
      </c>
      <c r="C78" s="38" t="s">
        <v>367</v>
      </c>
      <c r="D78" s="39">
        <v>1</v>
      </c>
      <c r="E78" s="39">
        <v>4760</v>
      </c>
      <c r="F78" s="26" t="s">
        <v>309</v>
      </c>
    </row>
    <row r="79" spans="1:6">
      <c r="A79" t="str">
        <f>IFERROR(VLOOKUP(B79,[1]銷貨單品號主檔!$A:$D,4,0),"學習周邊")</f>
        <v>學習周邊</v>
      </c>
      <c r="B79" s="34" t="s">
        <v>156</v>
      </c>
      <c r="C79" s="38" t="s">
        <v>367</v>
      </c>
      <c r="D79" s="39">
        <v>1</v>
      </c>
      <c r="E79" s="39">
        <v>428.57142857142856</v>
      </c>
      <c r="F79" s="26" t="s">
        <v>309</v>
      </c>
    </row>
    <row r="80" spans="1:6">
      <c r="A80" t="str">
        <f>IFERROR(VLOOKUP(B80,[1]銷貨單品號主檔!$A:$D,4,0),"學習周邊")</f>
        <v>學習周邊</v>
      </c>
      <c r="B80" s="34" t="s">
        <v>173</v>
      </c>
      <c r="C80" s="38" t="s">
        <v>367</v>
      </c>
      <c r="D80" s="39">
        <v>1</v>
      </c>
      <c r="E80" s="39">
        <v>357.14285714285711</v>
      </c>
      <c r="F80" s="26" t="s">
        <v>309</v>
      </c>
    </row>
    <row r="81" spans="1:6">
      <c r="A81" t="str">
        <f>IFERROR(VLOOKUP(B81,[1]銷貨單品號主檔!$A:$D,4,0),"學習周邊")</f>
        <v>生活周邊</v>
      </c>
      <c r="B81" s="34" t="s">
        <v>128</v>
      </c>
      <c r="C81" s="38" t="s">
        <v>367</v>
      </c>
      <c r="D81" s="39">
        <v>1</v>
      </c>
      <c r="E81" s="39">
        <v>760.95238095238096</v>
      </c>
      <c r="F81" s="26" t="s">
        <v>309</v>
      </c>
    </row>
    <row r="82" spans="1:6">
      <c r="A82">
        <f>IFERROR(VLOOKUP(B82,[1]銷貨單品號主檔!$A:$D,4,0),"學習周邊")</f>
        <v>0</v>
      </c>
      <c r="B82"/>
      <c r="D82"/>
      <c r="F82" s="26" t="s">
        <v>309</v>
      </c>
    </row>
    <row r="83" spans="1:6">
      <c r="A83">
        <f>IFERROR(VLOOKUP(B83,[1]銷貨單品號主檔!$A:$D,4,0),"學習周邊")</f>
        <v>0</v>
      </c>
      <c r="B83"/>
      <c r="D83"/>
      <c r="F83" s="26" t="s">
        <v>309</v>
      </c>
    </row>
    <row r="84" spans="1:6">
      <c r="A84">
        <f>IFERROR(VLOOKUP(B84,[1]銷貨單品號主檔!$A:$D,4,0),"學習周邊")</f>
        <v>0</v>
      </c>
      <c r="B84"/>
      <c r="D84"/>
      <c r="F84" s="26" t="s">
        <v>309</v>
      </c>
    </row>
    <row r="85" spans="1:6">
      <c r="A85">
        <f>IFERROR(VLOOKUP(B85,[1]銷貨單品號主檔!$A:$D,4,0),"學習周邊")</f>
        <v>0</v>
      </c>
      <c r="B85"/>
      <c r="D85"/>
      <c r="F85" s="26" t="s">
        <v>309</v>
      </c>
    </row>
    <row r="86" spans="1:6">
      <c r="A86">
        <f>IFERROR(VLOOKUP(B86,[1]銷貨單品號主檔!$A:$D,4,0),"學習周邊")</f>
        <v>0</v>
      </c>
      <c r="B86"/>
      <c r="D86"/>
      <c r="F86" s="26" t="s">
        <v>309</v>
      </c>
    </row>
    <row r="87" spans="1:6">
      <c r="A87">
        <f>IFERROR(VLOOKUP(B87,[1]銷貨單品號主檔!$A:$D,4,0),"學習周邊")</f>
        <v>0</v>
      </c>
      <c r="B87"/>
      <c r="D87"/>
      <c r="F87" s="26" t="s">
        <v>309</v>
      </c>
    </row>
    <row r="88" spans="1:6">
      <c r="A88">
        <f>IFERROR(VLOOKUP(B88,[1]銷貨單品號主檔!$A:$D,4,0),"學習周邊")</f>
        <v>0</v>
      </c>
      <c r="B88"/>
      <c r="D88"/>
      <c r="F88" s="26" t="s">
        <v>309</v>
      </c>
    </row>
    <row r="89" spans="1:6">
      <c r="A89">
        <f>IFERROR(VLOOKUP(B89,[1]銷貨單品號主檔!$A:$D,4,0),"學習周邊")</f>
        <v>0</v>
      </c>
      <c r="B89"/>
      <c r="D89"/>
      <c r="F89" s="26" t="s">
        <v>309</v>
      </c>
    </row>
    <row r="90" spans="1:6">
      <c r="A90">
        <f>IFERROR(VLOOKUP(B90,[1]銷貨單品號主檔!$A:$D,4,0),"學習周邊")</f>
        <v>0</v>
      </c>
      <c r="B90"/>
      <c r="D90"/>
      <c r="F90" s="26" t="s">
        <v>309</v>
      </c>
    </row>
    <row r="91" spans="1:6">
      <c r="A91">
        <f>IFERROR(VLOOKUP(B91,[1]銷貨單品號主檔!$A:$D,4,0),"學習周邊")</f>
        <v>0</v>
      </c>
      <c r="B91"/>
      <c r="D91"/>
      <c r="F91" s="26" t="s">
        <v>309</v>
      </c>
    </row>
    <row r="92" spans="1:6">
      <c r="A92">
        <f>IFERROR(VLOOKUP(B92,[1]銷貨單品號主檔!$A:$D,4,0),"學習周邊")</f>
        <v>0</v>
      </c>
      <c r="B92"/>
      <c r="D92"/>
      <c r="F92" s="26" t="s">
        <v>309</v>
      </c>
    </row>
    <row r="93" spans="1:6">
      <c r="A93">
        <f>IFERROR(VLOOKUP(B93,[1]銷貨單品號主檔!$A:$D,4,0),"學習周邊")</f>
        <v>0</v>
      </c>
      <c r="B93"/>
      <c r="D93"/>
      <c r="F93" s="26" t="s">
        <v>309</v>
      </c>
    </row>
    <row r="94" spans="1:6">
      <c r="A94">
        <f>IFERROR(VLOOKUP(B94,[1]銷貨單品號主檔!$A:$D,4,0),"學習周邊")</f>
        <v>0</v>
      </c>
      <c r="B94"/>
      <c r="D94"/>
      <c r="F94" s="26" t="s">
        <v>309</v>
      </c>
    </row>
    <row r="95" spans="1:6">
      <c r="A95">
        <f>IFERROR(VLOOKUP(B95,[1]銷貨單品號主檔!$A:$D,4,0),"學習周邊")</f>
        <v>0</v>
      </c>
      <c r="B95"/>
      <c r="D95"/>
      <c r="F95" s="26" t="s">
        <v>309</v>
      </c>
    </row>
    <row r="96" spans="1:6">
      <c r="A96">
        <f>IFERROR(VLOOKUP(B96,[1]銷貨單品號主檔!$A:$D,4,0),"學習周邊")</f>
        <v>0</v>
      </c>
      <c r="B96"/>
      <c r="D96"/>
      <c r="F96" s="26" t="s">
        <v>309</v>
      </c>
    </row>
    <row r="97" spans="1:6">
      <c r="A97">
        <f>IFERROR(VLOOKUP(B97,[1]銷貨單品號主檔!$A:$D,4,0),"學習周邊")</f>
        <v>0</v>
      </c>
      <c r="B97"/>
      <c r="D97"/>
      <c r="F97" s="26" t="s">
        <v>309</v>
      </c>
    </row>
    <row r="98" spans="1:6">
      <c r="A98">
        <f>IFERROR(VLOOKUP(B98,[1]銷貨單品號主檔!$A:$D,4,0),"學習周邊")</f>
        <v>0</v>
      </c>
      <c r="B98"/>
      <c r="D98"/>
      <c r="F98" s="26" t="s">
        <v>309</v>
      </c>
    </row>
    <row r="99" spans="1:6">
      <c r="A99">
        <f>IFERROR(VLOOKUP(B99,[1]銷貨單品號主檔!$A:$D,4,0),"學習周邊")</f>
        <v>0</v>
      </c>
      <c r="B99"/>
      <c r="D99"/>
      <c r="F99" s="26" t="s">
        <v>309</v>
      </c>
    </row>
    <row r="100" spans="1:6">
      <c r="A100">
        <f>IFERROR(VLOOKUP(B100,[1]銷貨單品號主檔!$A:$D,4,0),"學習周邊")</f>
        <v>0</v>
      </c>
      <c r="B100"/>
      <c r="D100"/>
      <c r="F100" s="26" t="s">
        <v>309</v>
      </c>
    </row>
    <row r="101" spans="1:6">
      <c r="A101">
        <f>IFERROR(VLOOKUP(B101,[1]銷貨單品號主檔!$A:$D,4,0),"學習周邊")</f>
        <v>0</v>
      </c>
      <c r="B101"/>
      <c r="D101"/>
      <c r="F101" s="26" t="s">
        <v>309</v>
      </c>
    </row>
    <row r="102" spans="1:6">
      <c r="A102">
        <f>IFERROR(VLOOKUP(B102,[1]銷貨單品號主檔!$A:$D,4,0),"學習周邊")</f>
        <v>0</v>
      </c>
      <c r="B102"/>
      <c r="D102"/>
      <c r="F102" s="26" t="s">
        <v>309</v>
      </c>
    </row>
    <row r="103" spans="1:6">
      <c r="A103">
        <f>IFERROR(VLOOKUP(B103,[1]銷貨單品號主檔!$A:$D,4,0),"學習周邊")</f>
        <v>0</v>
      </c>
      <c r="B103"/>
      <c r="D103"/>
      <c r="F103" s="26" t="s">
        <v>309</v>
      </c>
    </row>
    <row r="104" spans="1:6">
      <c r="A104">
        <f>IFERROR(VLOOKUP(B104,[1]銷貨單品號主檔!$A:$D,4,0),"學習周邊")</f>
        <v>0</v>
      </c>
      <c r="B104"/>
      <c r="D104"/>
      <c r="F104" s="26" t="s">
        <v>309</v>
      </c>
    </row>
    <row r="105" spans="1:6">
      <c r="A105">
        <f>IFERROR(VLOOKUP(B105,[1]銷貨單品號主檔!$A:$D,4,0),"學習周邊")</f>
        <v>0</v>
      </c>
      <c r="B105"/>
      <c r="D105"/>
      <c r="F105" s="26" t="s">
        <v>309</v>
      </c>
    </row>
    <row r="106" spans="1:6">
      <c r="A106">
        <f>IFERROR(VLOOKUP(B106,[1]銷貨單品號主檔!$A:$D,4,0),"學習周邊")</f>
        <v>0</v>
      </c>
      <c r="B106"/>
      <c r="D106"/>
      <c r="F106" s="26" t="s">
        <v>309</v>
      </c>
    </row>
    <row r="107" spans="1:6">
      <c r="A107">
        <f>IFERROR(VLOOKUP(B107,[1]銷貨單品號主檔!$A:$D,4,0),"學習周邊")</f>
        <v>0</v>
      </c>
      <c r="B107"/>
      <c r="D107"/>
      <c r="F107" s="26" t="s">
        <v>309</v>
      </c>
    </row>
    <row r="108" spans="1:6">
      <c r="A108">
        <f>IFERROR(VLOOKUP(B108,[1]銷貨單品號主檔!$A:$D,4,0),"學習周邊")</f>
        <v>0</v>
      </c>
      <c r="B108"/>
      <c r="D108"/>
      <c r="F108" s="26" t="s">
        <v>309</v>
      </c>
    </row>
    <row r="109" spans="1:6">
      <c r="A109">
        <f>IFERROR(VLOOKUP(B109,[1]銷貨單品號主檔!$A:$D,4,0),"學習周邊")</f>
        <v>0</v>
      </c>
      <c r="B109"/>
      <c r="D109"/>
      <c r="F109" s="26" t="s">
        <v>309</v>
      </c>
    </row>
    <row r="110" spans="1:6">
      <c r="A110">
        <f>IFERROR(VLOOKUP(B110,[1]銷貨單品號主檔!$A:$D,4,0),"學習周邊")</f>
        <v>0</v>
      </c>
      <c r="B110"/>
      <c r="D110"/>
      <c r="F110" s="26" t="s">
        <v>309</v>
      </c>
    </row>
    <row r="111" spans="1:6">
      <c r="A111">
        <f>IFERROR(VLOOKUP(B111,[1]銷貨單品號主檔!$A:$D,4,0),"學習周邊")</f>
        <v>0</v>
      </c>
      <c r="B111"/>
      <c r="D111"/>
      <c r="F111" s="26" t="s">
        <v>309</v>
      </c>
    </row>
    <row r="112" spans="1:6">
      <c r="A112">
        <f>IFERROR(VLOOKUP(B112,[1]銷貨單品號主檔!$A:$D,4,0),"學習周邊")</f>
        <v>0</v>
      </c>
      <c r="B112"/>
      <c r="D112"/>
      <c r="F112" s="26" t="s">
        <v>309</v>
      </c>
    </row>
    <row r="113" spans="1:6">
      <c r="A113">
        <f>IFERROR(VLOOKUP(B113,[1]銷貨單品號主檔!$A:$D,4,0),"學習周邊")</f>
        <v>0</v>
      </c>
      <c r="B113"/>
      <c r="D113"/>
      <c r="F113" s="26" t="s">
        <v>309</v>
      </c>
    </row>
    <row r="114" spans="1:6">
      <c r="A114">
        <f>IFERROR(VLOOKUP(B114,[1]銷貨單品號主檔!$A:$D,4,0),"學習周邊")</f>
        <v>0</v>
      </c>
      <c r="B114"/>
      <c r="D114"/>
      <c r="F114" s="26" t="s">
        <v>309</v>
      </c>
    </row>
    <row r="115" spans="1:6">
      <c r="A115">
        <f>IFERROR(VLOOKUP(B115,[1]銷貨單品號主檔!$A:$D,4,0),"學習周邊")</f>
        <v>0</v>
      </c>
      <c r="B115"/>
      <c r="D115"/>
      <c r="F115" s="26" t="s">
        <v>309</v>
      </c>
    </row>
    <row r="116" spans="1:6">
      <c r="A116">
        <f>IFERROR(VLOOKUP(B116,[1]銷貨單品號主檔!$A:$D,4,0),"學習周邊")</f>
        <v>0</v>
      </c>
      <c r="B116"/>
      <c r="D116"/>
      <c r="F116" s="26" t="s">
        <v>309</v>
      </c>
    </row>
    <row r="117" spans="1:6">
      <c r="A117">
        <f>IFERROR(VLOOKUP(B117,[1]銷貨單品號主檔!$A:$D,4,0),"學習周邊")</f>
        <v>0</v>
      </c>
      <c r="B117"/>
      <c r="D117"/>
      <c r="F117" s="26" t="s">
        <v>309</v>
      </c>
    </row>
    <row r="118" spans="1:6">
      <c r="A118">
        <f>IFERROR(VLOOKUP(B118,[1]銷貨單品號主檔!$A:$D,4,0),"學習周邊")</f>
        <v>0</v>
      </c>
      <c r="B118"/>
      <c r="D118"/>
      <c r="F118" s="26" t="s">
        <v>309</v>
      </c>
    </row>
    <row r="119" spans="1:6">
      <c r="A119">
        <f>IFERROR(VLOOKUP(B119,[1]銷貨單品號主檔!$A:$D,4,0),"學習周邊")</f>
        <v>0</v>
      </c>
      <c r="B119"/>
      <c r="D119"/>
      <c r="F119" s="26" t="s">
        <v>309</v>
      </c>
    </row>
    <row r="120" spans="1:6">
      <c r="A120">
        <f>IFERROR(VLOOKUP(B120,[1]銷貨單品號主檔!$A:$D,4,0),"學習周邊")</f>
        <v>0</v>
      </c>
      <c r="B120"/>
      <c r="D120"/>
      <c r="F120" s="26" t="s">
        <v>309</v>
      </c>
    </row>
    <row r="121" spans="1:6">
      <c r="A121">
        <f>IFERROR(VLOOKUP(B121,[1]銷貨單品號主檔!$A:$D,4,0),"學習周邊")</f>
        <v>0</v>
      </c>
      <c r="B121"/>
      <c r="D121"/>
      <c r="F121" s="26" t="s">
        <v>309</v>
      </c>
    </row>
    <row r="122" spans="1:6">
      <c r="A122">
        <f>IFERROR(VLOOKUP(B122,[1]銷貨單品號主檔!$A:$D,4,0),"學習周邊")</f>
        <v>0</v>
      </c>
      <c r="B122"/>
      <c r="D122"/>
      <c r="F122" s="26" t="s">
        <v>309</v>
      </c>
    </row>
    <row r="123" spans="1:6">
      <c r="A123">
        <f>IFERROR(VLOOKUP(B123,[1]銷貨單品號主檔!$A:$D,4,0),"學習周邊")</f>
        <v>0</v>
      </c>
      <c r="B123"/>
      <c r="D123"/>
      <c r="F123" s="26" t="s">
        <v>309</v>
      </c>
    </row>
    <row r="124" spans="1:6">
      <c r="A124">
        <f>IFERROR(VLOOKUP(B124,[1]銷貨單品號主檔!$A:$D,4,0),"學習周邊")</f>
        <v>0</v>
      </c>
      <c r="B124"/>
      <c r="D124"/>
      <c r="F124" s="26" t="s">
        <v>309</v>
      </c>
    </row>
    <row r="125" spans="1:6">
      <c r="A125">
        <f>IFERROR(VLOOKUP(B125,[1]銷貨單品號主檔!$A:$D,4,0),"學習周邊")</f>
        <v>0</v>
      </c>
      <c r="B125"/>
      <c r="D125"/>
      <c r="F125" s="26" t="s">
        <v>309</v>
      </c>
    </row>
    <row r="126" spans="1:6">
      <c r="A126">
        <f>IFERROR(VLOOKUP(B126,[1]銷貨單品號主檔!$A:$D,4,0),"學習周邊")</f>
        <v>0</v>
      </c>
      <c r="B126"/>
      <c r="D126"/>
      <c r="F126" s="26" t="s">
        <v>309</v>
      </c>
    </row>
    <row r="127" spans="1:6">
      <c r="A127">
        <f>IFERROR(VLOOKUP(B127,[1]銷貨單品號主檔!$A:$D,4,0),"學習周邊")</f>
        <v>0</v>
      </c>
      <c r="B127"/>
      <c r="D127"/>
      <c r="F127" s="26" t="s">
        <v>309</v>
      </c>
    </row>
    <row r="128" spans="1:6">
      <c r="A128">
        <f>IFERROR(VLOOKUP(B128,[1]銷貨單品號主檔!$A:$D,4,0),"學習周邊")</f>
        <v>0</v>
      </c>
      <c r="B128"/>
      <c r="D128"/>
      <c r="F128" s="26" t="s">
        <v>309</v>
      </c>
    </row>
    <row r="129" spans="1:6">
      <c r="A129">
        <f>IFERROR(VLOOKUP(B129,[1]銷貨單品號主檔!$A:$D,4,0),"學習周邊")</f>
        <v>0</v>
      </c>
      <c r="B129"/>
      <c r="D129"/>
      <c r="F129" s="26" t="s">
        <v>309</v>
      </c>
    </row>
    <row r="130" spans="1:6">
      <c r="A130">
        <f>IFERROR(VLOOKUP(B130,[1]銷貨單品號主檔!$A:$D,4,0),"學習周邊")</f>
        <v>0</v>
      </c>
      <c r="B130"/>
      <c r="D130"/>
      <c r="F130" s="26" t="s">
        <v>309</v>
      </c>
    </row>
    <row r="131" spans="1:6">
      <c r="A131">
        <f>IFERROR(VLOOKUP(B131,[1]銷貨單品號主檔!$A:$D,4,0),"學習周邊")</f>
        <v>0</v>
      </c>
      <c r="B131"/>
      <c r="D131"/>
      <c r="F131" s="26" t="s">
        <v>309</v>
      </c>
    </row>
    <row r="132" spans="1:6">
      <c r="A132">
        <f>IFERROR(VLOOKUP(B132,[1]銷貨單品號主檔!$A:$D,4,0),"學習周邊")</f>
        <v>0</v>
      </c>
      <c r="B132"/>
      <c r="D132"/>
      <c r="F132" s="26" t="s">
        <v>309</v>
      </c>
    </row>
    <row r="133" spans="1:6">
      <c r="A133">
        <f>IFERROR(VLOOKUP(B133,[1]銷貨單品號主檔!$A:$D,4,0),"學習周邊")</f>
        <v>0</v>
      </c>
      <c r="B133"/>
      <c r="D133"/>
      <c r="F133" s="26" t="s">
        <v>309</v>
      </c>
    </row>
    <row r="134" spans="1:6">
      <c r="A134">
        <f>IFERROR(VLOOKUP(B134,[1]銷貨單品號主檔!$A:$D,4,0),"學習周邊")</f>
        <v>0</v>
      </c>
      <c r="B134"/>
      <c r="D134"/>
      <c r="F134" s="26" t="s">
        <v>309</v>
      </c>
    </row>
    <row r="135" spans="1:6">
      <c r="A135">
        <f>IFERROR(VLOOKUP(B135,[1]銷貨單品號主檔!$A:$D,4,0),"學習周邊")</f>
        <v>0</v>
      </c>
      <c r="B135"/>
      <c r="D135"/>
      <c r="F135" s="26" t="s">
        <v>309</v>
      </c>
    </row>
    <row r="136" spans="1:6">
      <c r="A136">
        <f>IFERROR(VLOOKUP(B136,[1]銷貨單品號主檔!$A:$D,4,0),"學習周邊")</f>
        <v>0</v>
      </c>
      <c r="B136"/>
      <c r="D136"/>
      <c r="F136" s="26" t="s">
        <v>309</v>
      </c>
    </row>
    <row r="137" spans="1:6">
      <c r="A137">
        <f>IFERROR(VLOOKUP(B137,[1]銷貨單品號主檔!$A:$D,4,0),"學習周邊")</f>
        <v>0</v>
      </c>
      <c r="B137"/>
      <c r="D137"/>
      <c r="F137" s="26" t="s">
        <v>309</v>
      </c>
    </row>
    <row r="138" spans="1:6">
      <c r="A138">
        <f>IFERROR(VLOOKUP(B138,[1]銷貨單品號主檔!$A:$D,4,0),"學習周邊")</f>
        <v>0</v>
      </c>
      <c r="B138"/>
      <c r="D138"/>
      <c r="F138" s="26" t="s">
        <v>309</v>
      </c>
    </row>
    <row r="139" spans="1:6">
      <c r="A139">
        <f>IFERROR(VLOOKUP(B139,[1]銷貨單品號主檔!$A:$D,4,0),"學習周邊")</f>
        <v>0</v>
      </c>
      <c r="B139"/>
      <c r="D139"/>
      <c r="F139" s="26" t="s">
        <v>309</v>
      </c>
    </row>
    <row r="140" spans="1:6">
      <c r="A140">
        <f>IFERROR(VLOOKUP(B140,[1]銷貨單品號主檔!$A:$D,4,0),"學習周邊")</f>
        <v>0</v>
      </c>
      <c r="B140"/>
      <c r="D140"/>
      <c r="F140" s="26" t="s">
        <v>309</v>
      </c>
    </row>
    <row r="141" spans="1:6">
      <c r="A141">
        <f>IFERROR(VLOOKUP(B141,[1]銷貨單品號主檔!$A:$D,4,0),"學習周邊")</f>
        <v>0</v>
      </c>
      <c r="B141"/>
      <c r="D141"/>
      <c r="F141" s="26" t="s">
        <v>309</v>
      </c>
    </row>
    <row r="142" spans="1:6">
      <c r="A142">
        <f>IFERROR(VLOOKUP(B142,[1]銷貨單品號主檔!$A:$D,4,0),"學習周邊")</f>
        <v>0</v>
      </c>
      <c r="B142"/>
      <c r="D142"/>
      <c r="F142" s="26" t="s">
        <v>309</v>
      </c>
    </row>
    <row r="143" spans="1:6">
      <c r="A143">
        <f>IFERROR(VLOOKUP(B143,[1]銷貨單品號主檔!$A:$D,4,0),"學習周邊")</f>
        <v>0</v>
      </c>
      <c r="B143"/>
      <c r="D143"/>
      <c r="F143" s="26" t="s">
        <v>309</v>
      </c>
    </row>
    <row r="144" spans="1:6">
      <c r="A144">
        <f>IFERROR(VLOOKUP(B144,[1]銷貨單品號主檔!$A:$D,4,0),"學習周邊")</f>
        <v>0</v>
      </c>
      <c r="B144"/>
      <c r="D144"/>
      <c r="F144" s="26" t="s">
        <v>309</v>
      </c>
    </row>
    <row r="145" spans="1:6">
      <c r="A145">
        <f>IFERROR(VLOOKUP(B145,[1]銷貨單品號主檔!$A:$D,4,0),"學習周邊")</f>
        <v>0</v>
      </c>
      <c r="B145"/>
      <c r="D145"/>
      <c r="F145" s="26" t="s">
        <v>309</v>
      </c>
    </row>
    <row r="146" spans="1:6">
      <c r="A146">
        <f>IFERROR(VLOOKUP(B146,[1]銷貨單品號主檔!$A:$D,4,0),"學習周邊")</f>
        <v>0</v>
      </c>
      <c r="B146"/>
      <c r="D146"/>
      <c r="F146" s="26" t="s">
        <v>309</v>
      </c>
    </row>
    <row r="147" spans="1:6">
      <c r="A147">
        <f>IFERROR(VLOOKUP(B147,[1]銷貨單品號主檔!$A:$D,4,0),"學習周邊")</f>
        <v>0</v>
      </c>
      <c r="B147"/>
      <c r="D147"/>
      <c r="F147" s="26" t="s">
        <v>309</v>
      </c>
    </row>
    <row r="148" spans="1:6">
      <c r="A148">
        <f>IFERROR(VLOOKUP(B148,[1]銷貨單品號主檔!$A:$D,4,0),"學習周邊")</f>
        <v>0</v>
      </c>
      <c r="B148"/>
      <c r="D148"/>
      <c r="F148" s="26" t="s">
        <v>309</v>
      </c>
    </row>
    <row r="149" spans="1:6">
      <c r="A149">
        <f>IFERROR(VLOOKUP(B149,[1]銷貨單品號主檔!$A:$D,4,0),"學習周邊")</f>
        <v>0</v>
      </c>
      <c r="B149"/>
      <c r="D149"/>
      <c r="F149" s="26" t="s">
        <v>309</v>
      </c>
    </row>
    <row r="150" spans="1:6">
      <c r="A150">
        <f>IFERROR(VLOOKUP(B150,[1]銷貨單品號主檔!$A:$D,4,0),"學習周邊")</f>
        <v>0</v>
      </c>
      <c r="B150"/>
      <c r="D150"/>
      <c r="F150" s="26" t="s">
        <v>309</v>
      </c>
    </row>
    <row r="151" spans="1:6">
      <c r="A151">
        <f>IFERROR(VLOOKUP(B151,[1]銷貨單品號主檔!$A:$D,4,0),"學習周邊")</f>
        <v>0</v>
      </c>
      <c r="B151"/>
      <c r="D151"/>
      <c r="F151" s="26" t="s">
        <v>309</v>
      </c>
    </row>
    <row r="152" spans="1:6">
      <c r="A152">
        <f>IFERROR(VLOOKUP(B152,[1]銷貨單品號主檔!$A:$D,4,0),"學習周邊")</f>
        <v>0</v>
      </c>
      <c r="B152"/>
      <c r="D152"/>
      <c r="F152" s="26" t="s">
        <v>309</v>
      </c>
    </row>
    <row r="153" spans="1:6">
      <c r="A153">
        <f>IFERROR(VLOOKUP(B153,[1]銷貨單品號主檔!$A:$D,4,0),"學習周邊")</f>
        <v>0</v>
      </c>
      <c r="B153"/>
      <c r="D153"/>
      <c r="F153" s="26" t="s">
        <v>309</v>
      </c>
    </row>
    <row r="154" spans="1:6">
      <c r="A154">
        <f>IFERROR(VLOOKUP(B154,[1]銷貨單品號主檔!$A:$D,4,0),"學習周邊")</f>
        <v>0</v>
      </c>
      <c r="B154"/>
      <c r="D154"/>
      <c r="F154" s="26" t="s">
        <v>309</v>
      </c>
    </row>
    <row r="155" spans="1:6">
      <c r="A155">
        <f>IFERROR(VLOOKUP(B155,[1]銷貨單品號主檔!$A:$D,4,0),"學習周邊")</f>
        <v>0</v>
      </c>
      <c r="B155"/>
      <c r="D155"/>
      <c r="F155" s="26" t="s">
        <v>309</v>
      </c>
    </row>
    <row r="156" spans="1:6">
      <c r="A156">
        <f>IFERROR(VLOOKUP(B156,[1]銷貨單品號主檔!$A:$D,4,0),"學習周邊")</f>
        <v>0</v>
      </c>
      <c r="B156"/>
      <c r="D156"/>
      <c r="F156" s="26" t="s">
        <v>309</v>
      </c>
    </row>
    <row r="157" spans="1:6">
      <c r="A157">
        <f>IFERROR(VLOOKUP(B157,[1]銷貨單品號主檔!$A:$D,4,0),"學習周邊")</f>
        <v>0</v>
      </c>
      <c r="B157"/>
      <c r="D157"/>
      <c r="F157" s="26" t="s">
        <v>309</v>
      </c>
    </row>
    <row r="158" spans="1:6">
      <c r="A158">
        <f>IFERROR(VLOOKUP(B158,[1]銷貨單品號主檔!$A:$D,4,0),"學習周邊")</f>
        <v>0</v>
      </c>
      <c r="B158"/>
      <c r="D158"/>
      <c r="F158" s="26" t="s">
        <v>309</v>
      </c>
    </row>
    <row r="159" spans="1:6">
      <c r="A159">
        <f>IFERROR(VLOOKUP(B159,[1]銷貨單品號主檔!$A:$D,4,0),"學習周邊")</f>
        <v>0</v>
      </c>
      <c r="B159"/>
      <c r="D159"/>
      <c r="F159" s="26" t="s">
        <v>309</v>
      </c>
    </row>
    <row r="160" spans="1:6">
      <c r="A160">
        <f>IFERROR(VLOOKUP(B160,[1]銷貨單品號主檔!$A:$D,4,0),"學習周邊")</f>
        <v>0</v>
      </c>
      <c r="B160"/>
      <c r="D160"/>
      <c r="F160" s="26" t="s">
        <v>309</v>
      </c>
    </row>
    <row r="161" spans="1:6">
      <c r="A161">
        <f>IFERROR(VLOOKUP(B161,[1]銷貨單品號主檔!$A:$D,4,0),"學習周邊")</f>
        <v>0</v>
      </c>
      <c r="B161"/>
      <c r="D161"/>
      <c r="F161" s="26" t="s">
        <v>309</v>
      </c>
    </row>
    <row r="162" spans="1:6">
      <c r="A162">
        <f>IFERROR(VLOOKUP(B162,[1]銷貨單品號主檔!$A:$D,4,0),"學習周邊")</f>
        <v>0</v>
      </c>
      <c r="B162"/>
      <c r="D162"/>
      <c r="F162" s="26" t="s">
        <v>309</v>
      </c>
    </row>
    <row r="163" spans="1:6">
      <c r="A163">
        <f>IFERROR(VLOOKUP(B163,[1]銷貨單品號主檔!$A:$D,4,0),"學習周邊")</f>
        <v>0</v>
      </c>
      <c r="B163"/>
      <c r="D163"/>
      <c r="F163" s="26" t="s">
        <v>309</v>
      </c>
    </row>
    <row r="164" spans="1:6">
      <c r="A164">
        <f>IFERROR(VLOOKUP(B164,[1]銷貨單品號主檔!$A:$D,4,0),"學習周邊")</f>
        <v>0</v>
      </c>
      <c r="B164"/>
      <c r="D164"/>
      <c r="F164" s="26" t="s">
        <v>309</v>
      </c>
    </row>
    <row r="165" spans="1:6">
      <c r="A165">
        <f>IFERROR(VLOOKUP(B165,[1]銷貨單品號主檔!$A:$D,4,0),"學習周邊")</f>
        <v>0</v>
      </c>
      <c r="B165"/>
      <c r="D165"/>
      <c r="F165" s="26" t="s">
        <v>309</v>
      </c>
    </row>
    <row r="166" spans="1:6">
      <c r="A166">
        <f>IFERROR(VLOOKUP(B166,[1]銷貨單品號主檔!$A:$D,4,0),"學習周邊")</f>
        <v>0</v>
      </c>
      <c r="B166"/>
      <c r="D166"/>
      <c r="F166" s="26" t="s">
        <v>309</v>
      </c>
    </row>
    <row r="167" spans="1:6">
      <c r="A167">
        <f>IFERROR(VLOOKUP(B167,[1]銷貨單品號主檔!$A:$D,4,0),"學習周邊")</f>
        <v>0</v>
      </c>
      <c r="B167"/>
      <c r="D167"/>
      <c r="F167" s="26" t="s">
        <v>309</v>
      </c>
    </row>
    <row r="168" spans="1:6">
      <c r="A168">
        <f>IFERROR(VLOOKUP(B168,[1]銷貨單品號主檔!$A:$D,4,0),"學習周邊")</f>
        <v>0</v>
      </c>
      <c r="B168"/>
      <c r="D168"/>
      <c r="F168" s="26" t="s">
        <v>309</v>
      </c>
    </row>
    <row r="169" spans="1:6">
      <c r="A169">
        <f>IFERROR(VLOOKUP(B169,[1]銷貨單品號主檔!$A:$D,4,0),"學習周邊")</f>
        <v>0</v>
      </c>
      <c r="B169"/>
      <c r="D169"/>
      <c r="F169" s="26" t="s">
        <v>309</v>
      </c>
    </row>
    <row r="170" spans="1:6">
      <c r="A170">
        <f>IFERROR(VLOOKUP(B170,[1]銷貨單品號主檔!$A:$D,4,0),"學習周邊")</f>
        <v>0</v>
      </c>
      <c r="B170"/>
      <c r="D170"/>
      <c r="F170" s="26" t="s">
        <v>309</v>
      </c>
    </row>
    <row r="171" spans="1:6">
      <c r="A171">
        <f>IFERROR(VLOOKUP(B171,[1]銷貨單品號主檔!$A:$D,4,0),"學習周邊")</f>
        <v>0</v>
      </c>
      <c r="B171"/>
      <c r="D171"/>
      <c r="F171" s="26" t="s">
        <v>309</v>
      </c>
    </row>
    <row r="172" spans="1:6">
      <c r="A172">
        <f>IFERROR(VLOOKUP(B172,[1]銷貨單品號主檔!$A:$D,4,0),"學習周邊")</f>
        <v>0</v>
      </c>
      <c r="B172"/>
      <c r="D172"/>
      <c r="F172" s="26" t="s">
        <v>309</v>
      </c>
    </row>
    <row r="173" spans="1:6">
      <c r="A173">
        <f>IFERROR(VLOOKUP(B173,[1]銷貨單品號主檔!$A:$D,4,0),"學習周邊")</f>
        <v>0</v>
      </c>
      <c r="B173"/>
      <c r="D173"/>
      <c r="F173" s="26" t="s">
        <v>309</v>
      </c>
    </row>
    <row r="174" spans="1:6">
      <c r="A174">
        <f>IFERROR(VLOOKUP(B174,[1]銷貨單品號主檔!$A:$D,4,0),"學習周邊")</f>
        <v>0</v>
      </c>
      <c r="B174"/>
      <c r="D174"/>
      <c r="F174" s="26" t="s">
        <v>309</v>
      </c>
    </row>
    <row r="175" spans="1:6">
      <c r="A175">
        <f>IFERROR(VLOOKUP(B175,[1]銷貨單品號主檔!$A:$D,4,0),"學習周邊")</f>
        <v>0</v>
      </c>
      <c r="B175"/>
      <c r="D175"/>
      <c r="F175" s="26" t="s">
        <v>309</v>
      </c>
    </row>
    <row r="176" spans="1:6">
      <c r="A176">
        <f>IFERROR(VLOOKUP(B176,[1]銷貨單品號主檔!$A:$D,4,0),"學習周邊")</f>
        <v>0</v>
      </c>
      <c r="B176"/>
      <c r="D176"/>
      <c r="F176" s="26" t="s">
        <v>309</v>
      </c>
    </row>
    <row r="177" spans="1:6">
      <c r="A177">
        <f>IFERROR(VLOOKUP(B177,[1]銷貨單品號主檔!$A:$D,4,0),"學習周邊")</f>
        <v>0</v>
      </c>
      <c r="B177"/>
      <c r="D177"/>
      <c r="F177" s="26" t="s">
        <v>309</v>
      </c>
    </row>
    <row r="178" spans="1:6">
      <c r="A178">
        <f>IFERROR(VLOOKUP(B178,[1]銷貨單品號主檔!$A:$D,4,0),"學習周邊")</f>
        <v>0</v>
      </c>
      <c r="B178"/>
      <c r="D178"/>
      <c r="F178" s="26" t="s">
        <v>309</v>
      </c>
    </row>
    <row r="179" spans="1:6">
      <c r="A179">
        <f>IFERROR(VLOOKUP(B179,[1]銷貨單品號主檔!$A:$D,4,0),"學習周邊")</f>
        <v>0</v>
      </c>
      <c r="B179"/>
      <c r="D179"/>
      <c r="F179" s="26" t="s">
        <v>309</v>
      </c>
    </row>
    <row r="180" spans="1:6">
      <c r="A180">
        <f>IFERROR(VLOOKUP(B180,[1]銷貨單品號主檔!$A:$D,4,0),"學習周邊")</f>
        <v>0</v>
      </c>
      <c r="B180"/>
      <c r="D180"/>
      <c r="F180" s="26" t="s">
        <v>309</v>
      </c>
    </row>
    <row r="181" spans="1:6">
      <c r="A181">
        <f>IFERROR(VLOOKUP(B181,[1]銷貨單品號主檔!$A:$D,4,0),"學習周邊")</f>
        <v>0</v>
      </c>
      <c r="B181"/>
      <c r="D181"/>
      <c r="F181" s="26" t="s">
        <v>309</v>
      </c>
    </row>
    <row r="182" spans="1:6">
      <c r="A182">
        <f>IFERROR(VLOOKUP(B182,[1]銷貨單品號主檔!$A:$D,4,0),"學習周邊")</f>
        <v>0</v>
      </c>
      <c r="B182"/>
      <c r="D182"/>
      <c r="F182" s="26" t="s">
        <v>309</v>
      </c>
    </row>
    <row r="183" spans="1:6">
      <c r="A183">
        <f>IFERROR(VLOOKUP(B183,[1]銷貨單品號主檔!$A:$D,4,0),"學習周邊")</f>
        <v>0</v>
      </c>
      <c r="B183"/>
      <c r="D183"/>
      <c r="F183" s="26" t="s">
        <v>309</v>
      </c>
    </row>
    <row r="184" spans="1:6">
      <c r="A184">
        <f>IFERROR(VLOOKUP(B184,[1]銷貨單品號主檔!$A:$D,4,0),"學習周邊")</f>
        <v>0</v>
      </c>
      <c r="B184"/>
      <c r="D184"/>
      <c r="F184" s="26" t="s">
        <v>309</v>
      </c>
    </row>
    <row r="185" spans="1:6">
      <c r="A185">
        <f>IFERROR(VLOOKUP(B185,[1]銷貨單品號主檔!$A:$D,4,0),"學習周邊")</f>
        <v>0</v>
      </c>
      <c r="B185"/>
      <c r="D185"/>
      <c r="F185" s="26" t="s">
        <v>309</v>
      </c>
    </row>
    <row r="186" spans="1:6">
      <c r="A186">
        <f>IFERROR(VLOOKUP(B186,[1]銷貨單品號主檔!$A:$D,4,0),"學習周邊")</f>
        <v>0</v>
      </c>
      <c r="B186"/>
      <c r="D186"/>
      <c r="F186" s="26" t="s">
        <v>309</v>
      </c>
    </row>
    <row r="187" spans="1:6">
      <c r="A187">
        <f>IFERROR(VLOOKUP(B187,[1]銷貨單品號主檔!$A:$D,4,0),"學習周邊")</f>
        <v>0</v>
      </c>
      <c r="B187"/>
      <c r="D187"/>
      <c r="F187" s="26" t="s">
        <v>309</v>
      </c>
    </row>
    <row r="188" spans="1:6">
      <c r="A188">
        <f>IFERROR(VLOOKUP(B188,[1]銷貨單品號主檔!$A:$D,4,0),"學習周邊")</f>
        <v>0</v>
      </c>
      <c r="B188"/>
      <c r="D188"/>
      <c r="F188" s="26" t="s">
        <v>309</v>
      </c>
    </row>
    <row r="189" spans="1:6">
      <c r="A189">
        <f>IFERROR(VLOOKUP(B189,[1]銷貨單品號主檔!$A:$D,4,0),"學習周邊")</f>
        <v>0</v>
      </c>
      <c r="B189"/>
      <c r="D189"/>
      <c r="F189" s="26" t="s">
        <v>309</v>
      </c>
    </row>
    <row r="190" spans="1:6">
      <c r="A190">
        <f>IFERROR(VLOOKUP(B190,[1]銷貨單品號主檔!$A:$D,4,0),"學習周邊")</f>
        <v>0</v>
      </c>
      <c r="B190"/>
      <c r="D190"/>
      <c r="F190" s="26" t="s">
        <v>309</v>
      </c>
    </row>
    <row r="191" spans="1:6">
      <c r="A191">
        <f>IFERROR(VLOOKUP(B191,[1]銷貨單品號主檔!$A:$D,4,0),"學習周邊")</f>
        <v>0</v>
      </c>
      <c r="B191"/>
      <c r="D191"/>
      <c r="F191" s="26" t="s">
        <v>309</v>
      </c>
    </row>
    <row r="192" spans="1:6">
      <c r="A192">
        <f>IFERROR(VLOOKUP(B192,[1]銷貨單品號主檔!$A:$D,4,0),"學習周邊")</f>
        <v>0</v>
      </c>
      <c r="B192"/>
      <c r="D192"/>
      <c r="F192" s="26" t="s">
        <v>309</v>
      </c>
    </row>
    <row r="193" spans="1:6">
      <c r="A193">
        <f>IFERROR(VLOOKUP(B193,[1]銷貨單品號主檔!$A:$D,4,0),"學習周邊")</f>
        <v>0</v>
      </c>
      <c r="B193"/>
      <c r="D193"/>
      <c r="F193" s="26" t="s">
        <v>309</v>
      </c>
    </row>
    <row r="194" spans="1:6">
      <c r="A194">
        <f>IFERROR(VLOOKUP(B194,[1]銷貨單品號主檔!$A:$D,4,0),"學習周邊")</f>
        <v>0</v>
      </c>
      <c r="B194"/>
      <c r="D194"/>
      <c r="F194" s="26" t="s">
        <v>309</v>
      </c>
    </row>
    <row r="195" spans="1:6">
      <c r="A195">
        <f>IFERROR(VLOOKUP(B195,[1]銷貨單品號主檔!$A:$D,4,0),"學習周邊")</f>
        <v>0</v>
      </c>
      <c r="B195"/>
      <c r="D195"/>
      <c r="F195" s="26" t="s">
        <v>309</v>
      </c>
    </row>
    <row r="196" spans="1:6">
      <c r="A196">
        <f>IFERROR(VLOOKUP(B196,[1]銷貨單品號主檔!$A:$D,4,0),"學習周邊")</f>
        <v>0</v>
      </c>
      <c r="B196"/>
      <c r="D196"/>
      <c r="F196" s="26" t="s">
        <v>309</v>
      </c>
    </row>
    <row r="197" spans="1:6">
      <c r="A197">
        <f>IFERROR(VLOOKUP(B197,[1]銷貨單品號主檔!$A:$D,4,0),"學習周邊")</f>
        <v>0</v>
      </c>
      <c r="B197"/>
      <c r="D197"/>
      <c r="F197" s="26" t="s">
        <v>309</v>
      </c>
    </row>
    <row r="198" spans="1:6">
      <c r="A198">
        <f>IFERROR(VLOOKUP(B198,[1]銷貨單品號主檔!$A:$D,4,0),"學習周邊")</f>
        <v>0</v>
      </c>
      <c r="B198"/>
      <c r="D198"/>
      <c r="F198" s="26" t="s">
        <v>309</v>
      </c>
    </row>
    <row r="199" spans="1:6">
      <c r="A199">
        <f>IFERROR(VLOOKUP(B199,[1]銷貨單品號主檔!$A:$D,4,0),"學習周邊")</f>
        <v>0</v>
      </c>
      <c r="B199"/>
      <c r="D199"/>
      <c r="F199" s="26" t="s">
        <v>309</v>
      </c>
    </row>
    <row r="200" spans="1:6">
      <c r="A200">
        <f>IFERROR(VLOOKUP(B200,[1]銷貨單品號主檔!$A:$D,4,0),"學習周邊")</f>
        <v>0</v>
      </c>
      <c r="B200"/>
      <c r="D200"/>
      <c r="F200" s="26" t="s">
        <v>309</v>
      </c>
    </row>
    <row r="201" spans="1:6">
      <c r="A201">
        <f>IFERROR(VLOOKUP(B201,[1]銷貨單品號主檔!$A:$D,4,0),"學習周邊")</f>
        <v>0</v>
      </c>
      <c r="B201"/>
      <c r="D201"/>
      <c r="F201" s="26" t="s">
        <v>309</v>
      </c>
    </row>
    <row r="202" spans="1:6">
      <c r="A202">
        <f>IFERROR(VLOOKUP(B202,[1]銷貨單品號主檔!$A:$D,4,0),"學習周邊")</f>
        <v>0</v>
      </c>
      <c r="B202"/>
      <c r="D202"/>
      <c r="F202" s="26" t="s">
        <v>309</v>
      </c>
    </row>
    <row r="203" spans="1:6">
      <c r="A203">
        <f>IFERROR(VLOOKUP(B203,[1]銷貨單品號主檔!$A:$D,4,0),"學習周邊")</f>
        <v>0</v>
      </c>
      <c r="B203"/>
      <c r="D203"/>
      <c r="F203" s="26" t="s">
        <v>309</v>
      </c>
    </row>
    <row r="204" spans="1:6">
      <c r="A204">
        <f>IFERROR(VLOOKUP(B204,[1]銷貨單品號主檔!$A:$D,4,0),"學習周邊")</f>
        <v>0</v>
      </c>
      <c r="B204"/>
      <c r="D204"/>
      <c r="F204" s="26" t="s">
        <v>309</v>
      </c>
    </row>
    <row r="205" spans="1:6">
      <c r="A205">
        <f>IFERROR(VLOOKUP(B205,[1]銷貨單品號主檔!$A:$D,4,0),"學習周邊")</f>
        <v>0</v>
      </c>
      <c r="B205"/>
      <c r="D205"/>
      <c r="F205" s="26" t="s">
        <v>309</v>
      </c>
    </row>
    <row r="206" spans="1:6">
      <c r="A206">
        <f>IFERROR(VLOOKUP(B206,[1]銷貨單品號主檔!$A:$D,4,0),"學習周邊")</f>
        <v>0</v>
      </c>
      <c r="B206"/>
      <c r="D206"/>
      <c r="F206" s="26" t="s">
        <v>309</v>
      </c>
    </row>
    <row r="207" spans="1:6">
      <c r="A207">
        <f>IFERROR(VLOOKUP(B207,[1]銷貨單品號主檔!$A:$D,4,0),"學習周邊")</f>
        <v>0</v>
      </c>
      <c r="B207"/>
      <c r="D207"/>
      <c r="F207" s="26" t="s">
        <v>309</v>
      </c>
    </row>
    <row r="208" spans="1:6">
      <c r="A208">
        <f>IFERROR(VLOOKUP(B208,[1]銷貨單品號主檔!$A:$D,4,0),"學習周邊")</f>
        <v>0</v>
      </c>
      <c r="B208"/>
      <c r="D208"/>
      <c r="F208" s="26" t="s">
        <v>309</v>
      </c>
    </row>
    <row r="209" spans="1:6">
      <c r="A209">
        <f>IFERROR(VLOOKUP(B209,[1]銷貨單品號主檔!$A:$D,4,0),"學習周邊")</f>
        <v>0</v>
      </c>
      <c r="B209"/>
      <c r="D209"/>
      <c r="F209" s="26" t="s">
        <v>309</v>
      </c>
    </row>
    <row r="210" spans="1:6">
      <c r="A210">
        <f>IFERROR(VLOOKUP(B210,[1]銷貨單品號主檔!$A:$D,4,0),"學習周邊")</f>
        <v>0</v>
      </c>
      <c r="B210"/>
      <c r="D210"/>
      <c r="F210" s="26" t="s">
        <v>309</v>
      </c>
    </row>
    <row r="211" spans="1:6">
      <c r="A211">
        <f>IFERROR(VLOOKUP(B211,[1]銷貨單品號主檔!$A:$D,4,0),"學習周邊")</f>
        <v>0</v>
      </c>
      <c r="B211"/>
      <c r="D211"/>
      <c r="F211" s="26" t="s">
        <v>309</v>
      </c>
    </row>
    <row r="212" spans="1:6">
      <c r="A212">
        <f>IFERROR(VLOOKUP(B212,[1]銷貨單品號主檔!$A:$D,4,0),"學習周邊")</f>
        <v>0</v>
      </c>
      <c r="B212"/>
      <c r="D212"/>
      <c r="F212" s="26" t="s">
        <v>309</v>
      </c>
    </row>
    <row r="213" spans="1:6">
      <c r="A213">
        <f>IFERROR(VLOOKUP(B213,[1]銷貨單品號主檔!$A:$D,4,0),"學習周邊")</f>
        <v>0</v>
      </c>
      <c r="B213"/>
      <c r="D213"/>
      <c r="F213" s="26" t="s">
        <v>309</v>
      </c>
    </row>
    <row r="214" spans="1:6">
      <c r="A214">
        <f>IFERROR(VLOOKUP(B214,[1]銷貨單品號主檔!$A:$D,4,0),"學習周邊")</f>
        <v>0</v>
      </c>
      <c r="B214"/>
      <c r="D214"/>
      <c r="F214" s="26" t="s">
        <v>309</v>
      </c>
    </row>
    <row r="215" spans="1:6">
      <c r="A215">
        <f>IFERROR(VLOOKUP(B215,[1]銷貨單品號主檔!$A:$D,4,0),"學習周邊")</f>
        <v>0</v>
      </c>
      <c r="B215"/>
      <c r="D215"/>
      <c r="F215" s="26" t="s">
        <v>309</v>
      </c>
    </row>
    <row r="216" spans="1:6">
      <c r="A216">
        <f>IFERROR(VLOOKUP(B216,[1]銷貨單品號主檔!$A:$D,4,0),"學習周邊")</f>
        <v>0</v>
      </c>
      <c r="B216"/>
      <c r="D216"/>
      <c r="F216" s="26" t="s">
        <v>309</v>
      </c>
    </row>
    <row r="217" spans="1:6">
      <c r="A217">
        <f>IFERROR(VLOOKUP(B217,[1]銷貨單品號主檔!$A:$D,4,0),"學習周邊")</f>
        <v>0</v>
      </c>
      <c r="B217"/>
      <c r="D217"/>
      <c r="F217" s="26" t="s">
        <v>309</v>
      </c>
    </row>
    <row r="218" spans="1:6">
      <c r="A218">
        <f>IFERROR(VLOOKUP(B218,[1]銷貨單品號主檔!$A:$D,4,0),"學習周邊")</f>
        <v>0</v>
      </c>
      <c r="B218"/>
      <c r="D218"/>
      <c r="F218" s="26" t="s">
        <v>309</v>
      </c>
    </row>
    <row r="219" spans="1:6">
      <c r="A219">
        <f>IFERROR(VLOOKUP(B219,[1]銷貨單品號主檔!$A:$D,4,0),"學習周邊")</f>
        <v>0</v>
      </c>
      <c r="B219"/>
      <c r="D219"/>
      <c r="F219" s="26" t="s">
        <v>309</v>
      </c>
    </row>
    <row r="220" spans="1:6">
      <c r="A220">
        <f>IFERROR(VLOOKUP(B220,[1]銷貨單品號主檔!$A:$D,4,0),"學習周邊")</f>
        <v>0</v>
      </c>
      <c r="B220"/>
      <c r="D220"/>
      <c r="F220" s="26" t="s">
        <v>309</v>
      </c>
    </row>
    <row r="221" spans="1:6">
      <c r="A221">
        <f>IFERROR(VLOOKUP(B221,[1]銷貨單品號主檔!$A:$D,4,0),"學習周邊")</f>
        <v>0</v>
      </c>
      <c r="B221"/>
      <c r="D221"/>
      <c r="F221" s="26" t="s">
        <v>309</v>
      </c>
    </row>
    <row r="222" spans="1:6">
      <c r="A222">
        <f>IFERROR(VLOOKUP(B222,[1]銷貨單品號主檔!$A:$D,4,0),"學習周邊")</f>
        <v>0</v>
      </c>
      <c r="B222"/>
      <c r="D222"/>
      <c r="F222" s="26" t="s">
        <v>309</v>
      </c>
    </row>
    <row r="223" spans="1:6">
      <c r="A223">
        <f>IFERROR(VLOOKUP(B223,[1]銷貨單品號主檔!$A:$D,4,0),"學習周邊")</f>
        <v>0</v>
      </c>
      <c r="B223"/>
      <c r="D223"/>
      <c r="F223" s="26" t="s">
        <v>309</v>
      </c>
    </row>
    <row r="224" spans="1:6">
      <c r="A224">
        <f>IFERROR(VLOOKUP(B224,[1]銷貨單品號主檔!$A:$D,4,0),"學習周邊")</f>
        <v>0</v>
      </c>
      <c r="B224"/>
      <c r="D224"/>
      <c r="F224" s="26" t="s">
        <v>309</v>
      </c>
    </row>
    <row r="225" spans="1:6">
      <c r="A225">
        <f>IFERROR(VLOOKUP(B225,[1]銷貨單品號主檔!$A:$D,4,0),"學習周邊")</f>
        <v>0</v>
      </c>
      <c r="B225"/>
      <c r="D225"/>
      <c r="F225" s="26" t="s">
        <v>309</v>
      </c>
    </row>
    <row r="226" spans="1:6">
      <c r="A226">
        <f>IFERROR(VLOOKUP(B226,[1]銷貨單品號主檔!$A:$D,4,0),"學習周邊")</f>
        <v>0</v>
      </c>
      <c r="B226"/>
      <c r="D226"/>
      <c r="F226" s="26" t="s">
        <v>309</v>
      </c>
    </row>
    <row r="227" spans="1:6">
      <c r="A227">
        <f>IFERROR(VLOOKUP(B227,[1]銷貨單品號主檔!$A:$D,4,0),"學習周邊")</f>
        <v>0</v>
      </c>
      <c r="B227"/>
      <c r="D227"/>
      <c r="F227" s="26" t="s">
        <v>309</v>
      </c>
    </row>
    <row r="228" spans="1:6">
      <c r="A228">
        <f>IFERROR(VLOOKUP(B228,[1]銷貨單品號主檔!$A:$D,4,0),"學習周邊")</f>
        <v>0</v>
      </c>
      <c r="B228"/>
      <c r="D228"/>
      <c r="F228" s="26" t="s">
        <v>309</v>
      </c>
    </row>
    <row r="229" spans="1:6">
      <c r="A229">
        <f>IFERROR(VLOOKUP(B229,[1]銷貨單品號主檔!$A:$D,4,0),"學習周邊")</f>
        <v>0</v>
      </c>
      <c r="B229"/>
      <c r="D229"/>
      <c r="F229" s="26" t="s">
        <v>309</v>
      </c>
    </row>
    <row r="230" spans="1:6">
      <c r="A230">
        <f>IFERROR(VLOOKUP(B230,[1]銷貨單品號主檔!$A:$D,4,0),"學習周邊")</f>
        <v>0</v>
      </c>
      <c r="B230"/>
      <c r="D230"/>
      <c r="F230" s="26" t="s">
        <v>309</v>
      </c>
    </row>
    <row r="231" spans="1:6">
      <c r="A231">
        <f>IFERROR(VLOOKUP(B231,[1]銷貨單品號主檔!$A:$D,4,0),"學習周邊")</f>
        <v>0</v>
      </c>
      <c r="B231"/>
      <c r="D231"/>
      <c r="F231" s="26" t="s">
        <v>309</v>
      </c>
    </row>
    <row r="232" spans="1:6">
      <c r="A232">
        <f>IFERROR(VLOOKUP(B232,[1]銷貨單品號主檔!$A:$D,4,0),"學習周邊")</f>
        <v>0</v>
      </c>
      <c r="B232"/>
      <c r="D232"/>
      <c r="F232" s="26" t="s">
        <v>309</v>
      </c>
    </row>
    <row r="233" spans="1:6">
      <c r="A233">
        <f>IFERROR(VLOOKUP(B233,[1]銷貨單品號主檔!$A:$D,4,0),"學習周邊")</f>
        <v>0</v>
      </c>
      <c r="B233"/>
      <c r="D233"/>
      <c r="F233" s="26" t="s">
        <v>309</v>
      </c>
    </row>
    <row r="234" spans="1:6">
      <c r="A234">
        <f>IFERROR(VLOOKUP(B234,[1]銷貨單品號主檔!$A:$D,4,0),"學習周邊")</f>
        <v>0</v>
      </c>
      <c r="B234"/>
      <c r="D234"/>
      <c r="F234" s="26" t="s">
        <v>309</v>
      </c>
    </row>
    <row r="235" spans="1:6">
      <c r="A235">
        <f>IFERROR(VLOOKUP(B235,[1]銷貨單品號主檔!$A:$D,4,0),"學習周邊")</f>
        <v>0</v>
      </c>
      <c r="B235"/>
      <c r="D235"/>
      <c r="F235" s="26" t="s">
        <v>309</v>
      </c>
    </row>
    <row r="236" spans="1:6">
      <c r="A236">
        <f>IFERROR(VLOOKUP(B236,[1]銷貨單品號主檔!$A:$D,4,0),"學習周邊")</f>
        <v>0</v>
      </c>
      <c r="B236"/>
      <c r="D236"/>
      <c r="F236" s="26" t="s">
        <v>309</v>
      </c>
    </row>
    <row r="237" spans="1:6">
      <c r="A237">
        <f>IFERROR(VLOOKUP(B237,[1]銷貨單品號主檔!$A:$D,4,0),"學習周邊")</f>
        <v>0</v>
      </c>
      <c r="B237"/>
      <c r="D237"/>
      <c r="F237" s="26" t="s">
        <v>309</v>
      </c>
    </row>
    <row r="238" spans="1:6">
      <c r="A238">
        <f>IFERROR(VLOOKUP(B238,[1]銷貨單品號主檔!$A:$D,4,0),"學習周邊")</f>
        <v>0</v>
      </c>
      <c r="B238"/>
      <c r="D238"/>
      <c r="F238" s="26" t="s">
        <v>309</v>
      </c>
    </row>
    <row r="239" spans="1:6">
      <c r="A239">
        <f>IFERROR(VLOOKUP(B239,[1]銷貨單品號主檔!$A:$D,4,0),"學習周邊")</f>
        <v>0</v>
      </c>
      <c r="B239"/>
      <c r="D239"/>
      <c r="F239" s="26" t="s">
        <v>309</v>
      </c>
    </row>
    <row r="240" spans="1:6">
      <c r="A240">
        <f>IFERROR(VLOOKUP(B240,[1]銷貨單品號主檔!$A:$D,4,0),"學習周邊")</f>
        <v>0</v>
      </c>
      <c r="B240"/>
      <c r="D240"/>
      <c r="F240" s="26" t="s">
        <v>309</v>
      </c>
    </row>
    <row r="241" spans="1:6">
      <c r="A241">
        <f>IFERROR(VLOOKUP(B241,[1]銷貨單品號主檔!$A:$D,4,0),"學習周邊")</f>
        <v>0</v>
      </c>
      <c r="B241"/>
      <c r="D241"/>
      <c r="F241" s="26" t="s">
        <v>309</v>
      </c>
    </row>
    <row r="242" spans="1:6">
      <c r="A242">
        <f>IFERROR(VLOOKUP(B242,[1]銷貨單品號主檔!$A:$D,4,0),"學習周邊")</f>
        <v>0</v>
      </c>
      <c r="B242"/>
      <c r="D242"/>
      <c r="F242" s="26" t="s">
        <v>309</v>
      </c>
    </row>
    <row r="243" spans="1:6">
      <c r="A243">
        <f>IFERROR(VLOOKUP(B243,[1]銷貨單品號主檔!$A:$D,4,0),"學習周邊")</f>
        <v>0</v>
      </c>
      <c r="B243"/>
      <c r="D243"/>
      <c r="F243" s="26" t="s">
        <v>309</v>
      </c>
    </row>
    <row r="244" spans="1:6">
      <c r="A244">
        <f>IFERROR(VLOOKUP(B244,[1]銷貨單品號主檔!$A:$D,4,0),"學習周邊")</f>
        <v>0</v>
      </c>
      <c r="B244"/>
      <c r="D244"/>
      <c r="F244" s="26" t="s">
        <v>309</v>
      </c>
    </row>
    <row r="245" spans="1:6">
      <c r="A245">
        <f>IFERROR(VLOOKUP(B245,[1]銷貨單品號主檔!$A:$D,4,0),"學習周邊")</f>
        <v>0</v>
      </c>
      <c r="B245"/>
      <c r="D245"/>
      <c r="F245" s="26" t="s">
        <v>309</v>
      </c>
    </row>
    <row r="246" spans="1:6">
      <c r="A246">
        <f>IFERROR(VLOOKUP(B246,[1]銷貨單品號主檔!$A:$D,4,0),"學習周邊")</f>
        <v>0</v>
      </c>
      <c r="B246"/>
      <c r="D246"/>
      <c r="F246" s="26" t="s">
        <v>309</v>
      </c>
    </row>
    <row r="247" spans="1:6">
      <c r="A247">
        <f>IFERROR(VLOOKUP(B247,[1]銷貨單品號主檔!$A:$D,4,0),"學習周邊")</f>
        <v>0</v>
      </c>
      <c r="B247"/>
      <c r="D247"/>
      <c r="F247" s="26" t="s">
        <v>309</v>
      </c>
    </row>
    <row r="248" spans="1:6">
      <c r="A248">
        <f>IFERROR(VLOOKUP(B248,[1]銷貨單品號主檔!$A:$D,4,0),"學習周邊")</f>
        <v>0</v>
      </c>
      <c r="B248"/>
      <c r="D248"/>
      <c r="F248" s="26" t="s">
        <v>309</v>
      </c>
    </row>
    <row r="249" spans="1:6">
      <c r="A249">
        <f>IFERROR(VLOOKUP(B249,[1]銷貨單品號主檔!$A:$D,4,0),"學習周邊")</f>
        <v>0</v>
      </c>
      <c r="B249"/>
      <c r="D249"/>
      <c r="F249" s="26" t="s">
        <v>309</v>
      </c>
    </row>
    <row r="250" spans="1:6">
      <c r="A250">
        <f>IFERROR(VLOOKUP(B250,[1]銷貨單品號主檔!$A:$D,4,0),"學習周邊")</f>
        <v>0</v>
      </c>
      <c r="B250"/>
      <c r="D250"/>
      <c r="F250" s="26" t="s">
        <v>309</v>
      </c>
    </row>
    <row r="251" spans="1:6">
      <c r="A251">
        <f>IFERROR(VLOOKUP(B251,[1]銷貨單品號主檔!$A:$D,4,0),"學習周邊")</f>
        <v>0</v>
      </c>
      <c r="B251"/>
      <c r="D251"/>
      <c r="F251" s="26" t="s">
        <v>309</v>
      </c>
    </row>
    <row r="252" spans="1:6">
      <c r="A252">
        <f>IFERROR(VLOOKUP(B252,[1]銷貨單品號主檔!$A:$D,4,0),"學習周邊")</f>
        <v>0</v>
      </c>
      <c r="B252"/>
      <c r="D252"/>
      <c r="F252" s="26" t="s">
        <v>309</v>
      </c>
    </row>
    <row r="253" spans="1:6">
      <c r="A253">
        <f>IFERROR(VLOOKUP(B253,[1]銷貨單品號主檔!$A:$D,4,0),"學習周邊")</f>
        <v>0</v>
      </c>
      <c r="B253"/>
      <c r="D253"/>
      <c r="F253" s="26" t="s">
        <v>309</v>
      </c>
    </row>
    <row r="254" spans="1:6">
      <c r="A254">
        <f>IFERROR(VLOOKUP(B254,[1]銷貨單品號主檔!$A:$D,4,0),"學習周邊")</f>
        <v>0</v>
      </c>
      <c r="B254"/>
      <c r="D254"/>
      <c r="F254" s="26" t="s">
        <v>309</v>
      </c>
    </row>
    <row r="255" spans="1:6">
      <c r="A255">
        <f>IFERROR(VLOOKUP(B255,[1]銷貨單品號主檔!$A:$D,4,0),"學習周邊")</f>
        <v>0</v>
      </c>
      <c r="B255"/>
      <c r="D255"/>
      <c r="F255" s="26" t="s">
        <v>309</v>
      </c>
    </row>
    <row r="256" spans="1:6">
      <c r="A256">
        <f>IFERROR(VLOOKUP(B256,[1]銷貨單品號主檔!$A:$D,4,0),"學習周邊")</f>
        <v>0</v>
      </c>
      <c r="B256"/>
      <c r="D256"/>
      <c r="F256" s="26" t="s">
        <v>309</v>
      </c>
    </row>
    <row r="257" spans="1:6">
      <c r="A257">
        <f>IFERROR(VLOOKUP(B257,[1]銷貨單品號主檔!$A:$D,4,0),"學習周邊")</f>
        <v>0</v>
      </c>
      <c r="B257"/>
      <c r="D257"/>
      <c r="F257" s="26" t="s">
        <v>309</v>
      </c>
    </row>
    <row r="258" spans="1:6">
      <c r="A258">
        <f>IFERROR(VLOOKUP(B258,[1]銷貨單品號主檔!$A:$D,4,0),"學習周邊")</f>
        <v>0</v>
      </c>
      <c r="B258"/>
      <c r="D258"/>
      <c r="F258" s="26" t="s">
        <v>309</v>
      </c>
    </row>
    <row r="259" spans="1:6">
      <c r="A259">
        <f>IFERROR(VLOOKUP(B259,[1]銷貨單品號主檔!$A:$D,4,0),"學習周邊")</f>
        <v>0</v>
      </c>
      <c r="B259"/>
      <c r="D259"/>
      <c r="F259" s="26" t="s">
        <v>309</v>
      </c>
    </row>
    <row r="260" spans="1:6">
      <c r="A260">
        <f>IFERROR(VLOOKUP(B260,[1]銷貨單品號主檔!$A:$D,4,0),"學習周邊")</f>
        <v>0</v>
      </c>
      <c r="B260"/>
      <c r="D260"/>
      <c r="F260" s="26" t="s">
        <v>309</v>
      </c>
    </row>
    <row r="261" spans="1:6">
      <c r="A261">
        <f>IFERROR(VLOOKUP(B261,[1]銷貨單品號主檔!$A:$D,4,0),"學習周邊")</f>
        <v>0</v>
      </c>
      <c r="B261"/>
      <c r="D261"/>
      <c r="F261" s="26" t="s">
        <v>309</v>
      </c>
    </row>
    <row r="262" spans="1:6">
      <c r="A262">
        <f>IFERROR(VLOOKUP(B262,[1]銷貨單品號主檔!$A:$D,4,0),"學習周邊")</f>
        <v>0</v>
      </c>
      <c r="B262"/>
      <c r="D262"/>
      <c r="F262" s="26" t="s">
        <v>309</v>
      </c>
    </row>
    <row r="263" spans="1:6">
      <c r="A263">
        <f>IFERROR(VLOOKUP(B263,[1]銷貨單品號主檔!$A:$D,4,0),"學習周邊")</f>
        <v>0</v>
      </c>
      <c r="B263"/>
      <c r="D263"/>
      <c r="F263" s="26" t="s">
        <v>309</v>
      </c>
    </row>
    <row r="264" spans="1:6">
      <c r="A264">
        <f>IFERROR(VLOOKUP(B264,[1]銷貨單品號主檔!$A:$D,4,0),"學習周邊")</f>
        <v>0</v>
      </c>
      <c r="B264"/>
      <c r="D264"/>
      <c r="F264" s="26" t="s">
        <v>309</v>
      </c>
    </row>
    <row r="265" spans="1:6">
      <c r="A265">
        <f>IFERROR(VLOOKUP(B265,[1]銷貨單品號主檔!$A:$D,4,0),"學習周邊")</f>
        <v>0</v>
      </c>
      <c r="B265"/>
      <c r="D265"/>
      <c r="F265" s="26" t="s">
        <v>309</v>
      </c>
    </row>
    <row r="266" spans="1:6">
      <c r="A266">
        <f>IFERROR(VLOOKUP(B266,[1]銷貨單品號主檔!$A:$D,4,0),"學習周邊")</f>
        <v>0</v>
      </c>
      <c r="B266"/>
      <c r="D266"/>
      <c r="F266" s="26" t="s">
        <v>309</v>
      </c>
    </row>
    <row r="267" spans="1:6">
      <c r="A267">
        <f>IFERROR(VLOOKUP(B267,[1]銷貨單品號主檔!$A:$D,4,0),"學習周邊")</f>
        <v>0</v>
      </c>
      <c r="B267"/>
      <c r="D267"/>
      <c r="F267" s="26" t="s">
        <v>309</v>
      </c>
    </row>
    <row r="268" spans="1:6">
      <c r="A268">
        <f>IFERROR(VLOOKUP(B268,[1]銷貨單品號主檔!$A:$D,4,0),"學習周邊")</f>
        <v>0</v>
      </c>
      <c r="B268"/>
      <c r="D268"/>
      <c r="F268" s="26" t="s">
        <v>309</v>
      </c>
    </row>
    <row r="269" spans="1:6">
      <c r="A269">
        <f>IFERROR(VLOOKUP(B269,[1]銷貨單品號主檔!$A:$D,4,0),"學習周邊")</f>
        <v>0</v>
      </c>
      <c r="B269"/>
      <c r="D269"/>
      <c r="F269" s="26" t="s">
        <v>309</v>
      </c>
    </row>
    <row r="270" spans="1:6">
      <c r="A270">
        <f>IFERROR(VLOOKUP(B270,[1]銷貨單品號主檔!$A:$D,4,0),"學習周邊")</f>
        <v>0</v>
      </c>
      <c r="B270"/>
      <c r="D270"/>
      <c r="F270" s="26" t="s">
        <v>309</v>
      </c>
    </row>
    <row r="271" spans="1:6">
      <c r="A271">
        <f>IFERROR(VLOOKUP(B271,[1]銷貨單品號主檔!$A:$D,4,0),"學習周邊")</f>
        <v>0</v>
      </c>
      <c r="B271"/>
      <c r="D271"/>
      <c r="F271" s="26" t="s">
        <v>309</v>
      </c>
    </row>
    <row r="272" spans="1:6">
      <c r="A272">
        <f>IFERROR(VLOOKUP(B272,[1]銷貨單品號主檔!$A:$D,4,0),"學習周邊")</f>
        <v>0</v>
      </c>
      <c r="B272"/>
      <c r="D272"/>
      <c r="F272" s="26" t="s">
        <v>309</v>
      </c>
    </row>
    <row r="273" spans="1:6">
      <c r="A273">
        <f>IFERROR(VLOOKUP(B273,[1]銷貨單品號主檔!$A:$D,4,0),"學習周邊")</f>
        <v>0</v>
      </c>
      <c r="B273"/>
      <c r="D273"/>
      <c r="F273" s="26" t="s">
        <v>309</v>
      </c>
    </row>
    <row r="274" spans="1:6">
      <c r="A274">
        <f>IFERROR(VLOOKUP(B274,[1]銷貨單品號主檔!$A:$D,4,0),"學習周邊")</f>
        <v>0</v>
      </c>
      <c r="B274"/>
      <c r="D274"/>
      <c r="F274" s="26" t="s">
        <v>309</v>
      </c>
    </row>
    <row r="275" spans="1:6">
      <c r="A275">
        <f>IFERROR(VLOOKUP(B275,[1]銷貨單品號主檔!$A:$D,4,0),"學習周邊")</f>
        <v>0</v>
      </c>
      <c r="B275"/>
      <c r="D275"/>
      <c r="F275" s="26" t="s">
        <v>309</v>
      </c>
    </row>
    <row r="276" spans="1:6">
      <c r="A276">
        <f>IFERROR(VLOOKUP(B276,[1]銷貨單品號主檔!$A:$D,4,0),"學習周邊")</f>
        <v>0</v>
      </c>
      <c r="B276"/>
      <c r="D276"/>
      <c r="F276" s="26" t="s">
        <v>309</v>
      </c>
    </row>
    <row r="277" spans="1:6">
      <c r="A277">
        <f>IFERROR(VLOOKUP(B277,[1]銷貨單品號主檔!$A:$D,4,0),"學習周邊")</f>
        <v>0</v>
      </c>
      <c r="B277"/>
      <c r="D277"/>
      <c r="F277" s="26" t="s">
        <v>309</v>
      </c>
    </row>
    <row r="278" spans="1:6">
      <c r="A278">
        <f>IFERROR(VLOOKUP(B278,[1]銷貨單品號主檔!$A:$D,4,0),"學習周邊")</f>
        <v>0</v>
      </c>
      <c r="B278"/>
      <c r="D278"/>
      <c r="F278" s="26" t="s">
        <v>309</v>
      </c>
    </row>
    <row r="279" spans="1:6">
      <c r="A279">
        <f>IFERROR(VLOOKUP(B279,[1]銷貨單品號主檔!$A:$D,4,0),"學習周邊")</f>
        <v>0</v>
      </c>
      <c r="B279"/>
      <c r="D279"/>
      <c r="F279" s="26" t="s">
        <v>309</v>
      </c>
    </row>
    <row r="280" spans="1:6">
      <c r="A280">
        <f>IFERROR(VLOOKUP(B280,[1]銷貨單品號主檔!$A:$D,4,0),"學習周邊")</f>
        <v>0</v>
      </c>
      <c r="B280"/>
      <c r="D280"/>
      <c r="F280" s="26" t="s">
        <v>309</v>
      </c>
    </row>
    <row r="281" spans="1:6">
      <c r="A281">
        <f>IFERROR(VLOOKUP(B281,[1]銷貨單品號主檔!$A:$D,4,0),"學習周邊")</f>
        <v>0</v>
      </c>
      <c r="B281"/>
      <c r="D281"/>
      <c r="F281" s="26" t="s">
        <v>309</v>
      </c>
    </row>
    <row r="282" spans="1:6">
      <c r="A282">
        <f>IFERROR(VLOOKUP(B282,[1]銷貨單品號主檔!$A:$D,4,0),"學習周邊")</f>
        <v>0</v>
      </c>
      <c r="B282"/>
      <c r="D282"/>
      <c r="F282" s="26" t="s">
        <v>309</v>
      </c>
    </row>
    <row r="283" spans="1:6">
      <c r="A283">
        <f>IFERROR(VLOOKUP(B283,[1]銷貨單品號主檔!$A:$D,4,0),"學習周邊")</f>
        <v>0</v>
      </c>
      <c r="B283"/>
      <c r="D283"/>
      <c r="F283" s="26" t="s">
        <v>309</v>
      </c>
    </row>
    <row r="284" spans="1:6">
      <c r="A284">
        <f>IFERROR(VLOOKUP(B284,[1]銷貨單品號主檔!$A:$D,4,0),"學習周邊")</f>
        <v>0</v>
      </c>
      <c r="B284"/>
      <c r="D284"/>
      <c r="F284" s="26" t="s">
        <v>309</v>
      </c>
    </row>
    <row r="285" spans="1:6">
      <c r="A285">
        <f>IFERROR(VLOOKUP(B285,[1]銷貨單品號主檔!$A:$D,4,0),"學習周邊")</f>
        <v>0</v>
      </c>
      <c r="B285"/>
      <c r="D285"/>
      <c r="F285" s="26" t="s">
        <v>309</v>
      </c>
    </row>
    <row r="286" spans="1:6">
      <c r="A286">
        <f>IFERROR(VLOOKUP(B286,[1]銷貨單品號主檔!$A:$D,4,0),"學習周邊")</f>
        <v>0</v>
      </c>
      <c r="B286"/>
      <c r="D286"/>
      <c r="F286" s="26" t="s">
        <v>309</v>
      </c>
    </row>
    <row r="287" spans="1:6">
      <c r="A287">
        <f>IFERROR(VLOOKUP(B287,[1]銷貨單品號主檔!$A:$D,4,0),"學習周邊")</f>
        <v>0</v>
      </c>
      <c r="B287"/>
      <c r="D287"/>
      <c r="F287" s="26" t="s">
        <v>309</v>
      </c>
    </row>
    <row r="288" spans="1:6">
      <c r="A288">
        <f>IFERROR(VLOOKUP(B288,[1]銷貨單品號主檔!$A:$D,4,0),"學習周邊")</f>
        <v>0</v>
      </c>
      <c r="B288"/>
      <c r="D288"/>
      <c r="F288" s="26" t="s">
        <v>309</v>
      </c>
    </row>
    <row r="289" spans="1:6">
      <c r="A289">
        <f>IFERROR(VLOOKUP(B289,[1]銷貨單品號主檔!$A:$D,4,0),"學習周邊")</f>
        <v>0</v>
      </c>
      <c r="B289"/>
      <c r="D289"/>
      <c r="F289" s="26" t="s">
        <v>309</v>
      </c>
    </row>
    <row r="290" spans="1:6">
      <c r="A290">
        <f>IFERROR(VLOOKUP(B290,[1]銷貨單品號主檔!$A:$D,4,0),"學習周邊")</f>
        <v>0</v>
      </c>
      <c r="B290"/>
      <c r="D290"/>
      <c r="F290" s="26" t="s">
        <v>309</v>
      </c>
    </row>
    <row r="291" spans="1:6">
      <c r="A291">
        <f>IFERROR(VLOOKUP(B291,[1]銷貨單品號主檔!$A:$D,4,0),"學習周邊")</f>
        <v>0</v>
      </c>
      <c r="B291"/>
      <c r="D291"/>
      <c r="F291" s="26" t="s">
        <v>309</v>
      </c>
    </row>
    <row r="292" spans="1:6">
      <c r="A292">
        <f>IFERROR(VLOOKUP(B292,[1]銷貨單品號主檔!$A:$D,4,0),"學習周邊")</f>
        <v>0</v>
      </c>
      <c r="B292"/>
      <c r="D292"/>
      <c r="F292" s="26" t="s">
        <v>309</v>
      </c>
    </row>
    <row r="293" spans="1:6">
      <c r="A293">
        <f>IFERROR(VLOOKUP(B293,[1]銷貨單品號主檔!$A:$D,4,0),"學習周邊")</f>
        <v>0</v>
      </c>
      <c r="B293"/>
      <c r="D293"/>
      <c r="F293" s="26" t="s">
        <v>309</v>
      </c>
    </row>
    <row r="294" spans="1:6">
      <c r="A294">
        <f>IFERROR(VLOOKUP(B294,[1]銷貨單品號主檔!$A:$D,4,0),"學習周邊")</f>
        <v>0</v>
      </c>
      <c r="B294"/>
      <c r="D294"/>
      <c r="F294" s="26" t="s">
        <v>309</v>
      </c>
    </row>
    <row r="295" spans="1:6">
      <c r="A295">
        <f>IFERROR(VLOOKUP(B295,[1]銷貨單品號主檔!$A:$D,4,0),"學習周邊")</f>
        <v>0</v>
      </c>
      <c r="B295"/>
      <c r="D295"/>
      <c r="F295" s="26" t="s">
        <v>309</v>
      </c>
    </row>
    <row r="296" spans="1:6">
      <c r="A296">
        <f>IFERROR(VLOOKUP(B296,[1]銷貨單品號主檔!$A:$D,4,0),"學習周邊")</f>
        <v>0</v>
      </c>
      <c r="B296"/>
      <c r="D296"/>
      <c r="F296" s="26" t="s">
        <v>309</v>
      </c>
    </row>
    <row r="297" spans="1:6">
      <c r="A297">
        <f>IFERROR(VLOOKUP(B297,[1]銷貨單品號主檔!$A:$D,4,0),"學習周邊")</f>
        <v>0</v>
      </c>
      <c r="B297"/>
      <c r="D297"/>
      <c r="F297" s="26" t="s">
        <v>309</v>
      </c>
    </row>
    <row r="298" spans="1:6">
      <c r="A298">
        <f>IFERROR(VLOOKUP(B298,[1]銷貨單品號主檔!$A:$D,4,0),"學習周邊")</f>
        <v>0</v>
      </c>
      <c r="B298"/>
      <c r="D298"/>
      <c r="F298" s="26" t="s">
        <v>309</v>
      </c>
    </row>
    <row r="299" spans="1:6">
      <c r="A299">
        <f>IFERROR(VLOOKUP(B299,[1]銷貨單品號主檔!$A:$D,4,0),"學習周邊")</f>
        <v>0</v>
      </c>
      <c r="B299"/>
      <c r="D299"/>
      <c r="F299" s="26" t="s">
        <v>309</v>
      </c>
    </row>
    <row r="300" spans="1:6">
      <c r="A300">
        <f>IFERROR(VLOOKUP(B300,[1]銷貨單品號主檔!$A:$D,4,0),"學習周邊")</f>
        <v>0</v>
      </c>
      <c r="B300"/>
      <c r="D300"/>
      <c r="F300" s="26" t="s">
        <v>309</v>
      </c>
    </row>
    <row r="301" spans="1:6">
      <c r="A301">
        <f>IFERROR(VLOOKUP(B301,[1]銷貨單品號主檔!$A:$D,4,0),"學習周邊")</f>
        <v>0</v>
      </c>
      <c r="B301"/>
      <c r="D301"/>
      <c r="F301" s="26" t="s">
        <v>309</v>
      </c>
    </row>
    <row r="302" spans="1:6">
      <c r="A302">
        <f>IFERROR(VLOOKUP(B302,[1]銷貨單品號主檔!$A:$D,4,0),"學習周邊")</f>
        <v>0</v>
      </c>
      <c r="B302"/>
      <c r="D302"/>
      <c r="F302" s="26" t="s">
        <v>309</v>
      </c>
    </row>
    <row r="303" spans="1:6">
      <c r="A303">
        <f>IFERROR(VLOOKUP(B303,[1]銷貨單品號主檔!$A:$D,4,0),"學習周邊")</f>
        <v>0</v>
      </c>
      <c r="B303"/>
      <c r="D303"/>
      <c r="F303" s="26" t="s">
        <v>309</v>
      </c>
    </row>
    <row r="304" spans="1:6">
      <c r="A304">
        <f>IFERROR(VLOOKUP(B304,[1]銷貨單品號主檔!$A:$D,4,0),"學習周邊")</f>
        <v>0</v>
      </c>
      <c r="B304"/>
      <c r="D304"/>
      <c r="F304" s="26" t="s">
        <v>309</v>
      </c>
    </row>
    <row r="305" spans="1:6">
      <c r="A305">
        <f>IFERROR(VLOOKUP(B305,[1]銷貨單品號主檔!$A:$D,4,0),"學習周邊")</f>
        <v>0</v>
      </c>
      <c r="B305"/>
      <c r="D305"/>
      <c r="F305" s="26" t="s">
        <v>309</v>
      </c>
    </row>
    <row r="306" spans="1:6">
      <c r="A306">
        <f>IFERROR(VLOOKUP(B306,[1]銷貨單品號主檔!$A:$D,4,0),"學習周邊")</f>
        <v>0</v>
      </c>
      <c r="B306"/>
      <c r="D306"/>
      <c r="F306" s="26" t="s">
        <v>309</v>
      </c>
    </row>
    <row r="307" spans="1:6">
      <c r="A307">
        <f>IFERROR(VLOOKUP(B307,[1]銷貨單品號主檔!$A:$D,4,0),"學習周邊")</f>
        <v>0</v>
      </c>
      <c r="B307"/>
      <c r="D307"/>
      <c r="F307" s="26" t="s">
        <v>309</v>
      </c>
    </row>
    <row r="308" spans="1:6">
      <c r="A308">
        <f>IFERROR(VLOOKUP(B308,[1]銷貨單品號主檔!$A:$D,4,0),"學習周邊")</f>
        <v>0</v>
      </c>
      <c r="B308"/>
      <c r="D308"/>
      <c r="F308" s="26" t="s">
        <v>309</v>
      </c>
    </row>
    <row r="309" spans="1:6">
      <c r="A309">
        <f>IFERROR(VLOOKUP(B309,[1]銷貨單品號主檔!$A:$D,4,0),"學習周邊")</f>
        <v>0</v>
      </c>
      <c r="B309"/>
      <c r="D309"/>
      <c r="F309" s="26" t="s">
        <v>309</v>
      </c>
    </row>
    <row r="310" spans="1:6">
      <c r="A310">
        <f>IFERROR(VLOOKUP(B310,[1]銷貨單品號主檔!$A:$D,4,0),"學習周邊")</f>
        <v>0</v>
      </c>
      <c r="B310"/>
      <c r="D310"/>
      <c r="F310" s="26" t="s">
        <v>309</v>
      </c>
    </row>
    <row r="311" spans="1:6">
      <c r="A311">
        <f>IFERROR(VLOOKUP(B311,[1]銷貨單品號主檔!$A:$D,4,0),"學習周邊")</f>
        <v>0</v>
      </c>
      <c r="B311"/>
      <c r="D311"/>
      <c r="F311" s="26" t="s">
        <v>309</v>
      </c>
    </row>
    <row r="312" spans="1:6">
      <c r="A312">
        <f>IFERROR(VLOOKUP(B312,[1]銷貨單品號主檔!$A:$D,4,0),"學習周邊")</f>
        <v>0</v>
      </c>
      <c r="B312"/>
      <c r="D312"/>
      <c r="F312" s="26" t="s">
        <v>309</v>
      </c>
    </row>
    <row r="313" spans="1:6">
      <c r="A313">
        <f>IFERROR(VLOOKUP(B313,[1]銷貨單品號主檔!$A:$D,4,0),"學習周邊")</f>
        <v>0</v>
      </c>
      <c r="B313"/>
      <c r="D313"/>
      <c r="F313" s="26" t="s">
        <v>309</v>
      </c>
    </row>
    <row r="314" spans="1:6">
      <c r="A314">
        <f>IFERROR(VLOOKUP(B314,[1]銷貨單品號主檔!$A:$D,4,0),"學習周邊")</f>
        <v>0</v>
      </c>
      <c r="B314"/>
      <c r="D314"/>
      <c r="F314" s="26" t="s">
        <v>309</v>
      </c>
    </row>
    <row r="315" spans="1:6">
      <c r="A315">
        <f>IFERROR(VLOOKUP(B315,[1]銷貨單品號主檔!$A:$D,4,0),"學習周邊")</f>
        <v>0</v>
      </c>
      <c r="B315"/>
      <c r="D315"/>
      <c r="F315" s="26" t="s">
        <v>309</v>
      </c>
    </row>
    <row r="316" spans="1:6">
      <c r="A316">
        <f>IFERROR(VLOOKUP(B316,[1]銷貨單品號主檔!$A:$D,4,0),"學習周邊")</f>
        <v>0</v>
      </c>
      <c r="B316"/>
      <c r="D316"/>
      <c r="F316" s="26" t="s">
        <v>309</v>
      </c>
    </row>
    <row r="317" spans="1:6">
      <c r="A317">
        <f>IFERROR(VLOOKUP(B317,[1]銷貨單品號主檔!$A:$D,4,0),"學習周邊")</f>
        <v>0</v>
      </c>
      <c r="B317"/>
      <c r="D317"/>
      <c r="F317" s="26" t="s">
        <v>309</v>
      </c>
    </row>
    <row r="318" spans="1:6">
      <c r="A318">
        <f>IFERROR(VLOOKUP(B318,[1]銷貨單品號主檔!$A:$D,4,0),"學習周邊")</f>
        <v>0</v>
      </c>
      <c r="B318"/>
      <c r="D318"/>
      <c r="F318" s="26" t="s">
        <v>309</v>
      </c>
    </row>
    <row r="319" spans="1:6">
      <c r="A319">
        <f>IFERROR(VLOOKUP(B319,[1]銷貨單品號主檔!$A:$D,4,0),"學習周邊")</f>
        <v>0</v>
      </c>
      <c r="B319"/>
      <c r="D319"/>
      <c r="F319" s="26" t="s">
        <v>309</v>
      </c>
    </row>
    <row r="320" spans="1:6">
      <c r="A320">
        <f>IFERROR(VLOOKUP(B320,[1]銷貨單品號主檔!$A:$D,4,0),"學習周邊")</f>
        <v>0</v>
      </c>
      <c r="B320"/>
      <c r="D320"/>
      <c r="F320" s="26" t="s">
        <v>309</v>
      </c>
    </row>
    <row r="321" spans="1:6">
      <c r="A321">
        <f>IFERROR(VLOOKUP(B321,[1]銷貨單品號主檔!$A:$D,4,0),"學習周邊")</f>
        <v>0</v>
      </c>
      <c r="B321"/>
      <c r="D321"/>
      <c r="F321" s="26" t="s">
        <v>309</v>
      </c>
    </row>
    <row r="322" spans="1:6">
      <c r="A322">
        <f>IFERROR(VLOOKUP(B322,[1]銷貨單品號主檔!$A:$D,4,0),"學習周邊")</f>
        <v>0</v>
      </c>
      <c r="B322"/>
      <c r="D322"/>
      <c r="F322" s="26" t="s">
        <v>309</v>
      </c>
    </row>
    <row r="323" spans="1:6">
      <c r="A323">
        <f>IFERROR(VLOOKUP(B323,[1]銷貨單品號主檔!$A:$D,4,0),"學習周邊")</f>
        <v>0</v>
      </c>
      <c r="B323"/>
      <c r="D323"/>
      <c r="F323" s="26" t="s">
        <v>309</v>
      </c>
    </row>
    <row r="324" spans="1:6">
      <c r="A324">
        <f>IFERROR(VLOOKUP(B324,[1]銷貨單品號主檔!$A:$D,4,0),"學習周邊")</f>
        <v>0</v>
      </c>
      <c r="B324"/>
      <c r="D324"/>
      <c r="F324" s="26" t="s">
        <v>309</v>
      </c>
    </row>
    <row r="325" spans="1:6">
      <c r="A325">
        <f>IFERROR(VLOOKUP(B325,[1]銷貨單品號主檔!$A:$D,4,0),"學習周邊")</f>
        <v>0</v>
      </c>
      <c r="B325"/>
      <c r="D325"/>
      <c r="F325" s="26" t="s">
        <v>309</v>
      </c>
    </row>
    <row r="326" spans="1:6">
      <c r="A326">
        <f>IFERROR(VLOOKUP(B326,[1]銷貨單品號主檔!$A:$D,4,0),"學習周邊")</f>
        <v>0</v>
      </c>
      <c r="B326"/>
      <c r="D326"/>
      <c r="F326" s="26" t="s">
        <v>309</v>
      </c>
    </row>
    <row r="327" spans="1:6">
      <c r="A327">
        <f>IFERROR(VLOOKUP(B327,[1]銷貨單品號主檔!$A:$D,4,0),"學習周邊")</f>
        <v>0</v>
      </c>
      <c r="B327"/>
      <c r="D327"/>
      <c r="F327" s="26" t="s">
        <v>309</v>
      </c>
    </row>
    <row r="328" spans="1:6">
      <c r="A328">
        <f>IFERROR(VLOOKUP(B328,[1]銷貨單品號主檔!$A:$D,4,0),"學習周邊")</f>
        <v>0</v>
      </c>
      <c r="B328"/>
      <c r="D328"/>
      <c r="F328" s="26" t="s">
        <v>309</v>
      </c>
    </row>
    <row r="329" spans="1:6">
      <c r="A329">
        <f>IFERROR(VLOOKUP(B329,[1]銷貨單品號主檔!$A:$D,4,0),"學習周邊")</f>
        <v>0</v>
      </c>
      <c r="B329"/>
      <c r="D329"/>
      <c r="F329" s="26" t="s">
        <v>309</v>
      </c>
    </row>
    <row r="330" spans="1:6">
      <c r="A330">
        <f>IFERROR(VLOOKUP(B330,[1]銷貨單品號主檔!$A:$D,4,0),"學習周邊")</f>
        <v>0</v>
      </c>
      <c r="B330"/>
      <c r="D330"/>
      <c r="F330" s="26" t="s">
        <v>309</v>
      </c>
    </row>
    <row r="331" spans="1:6">
      <c r="A331">
        <f>IFERROR(VLOOKUP(B331,[1]銷貨單品號主檔!$A:$D,4,0),"學習周邊")</f>
        <v>0</v>
      </c>
      <c r="B331"/>
      <c r="D331"/>
      <c r="F331" s="26" t="s">
        <v>309</v>
      </c>
    </row>
    <row r="332" spans="1:6">
      <c r="A332">
        <f>IFERROR(VLOOKUP(B332,[1]銷貨單品號主檔!$A:$D,4,0),"學習周邊")</f>
        <v>0</v>
      </c>
      <c r="B332"/>
      <c r="D332"/>
      <c r="F332" s="26" t="s">
        <v>309</v>
      </c>
    </row>
    <row r="333" spans="1:6">
      <c r="A333">
        <f>IFERROR(VLOOKUP(B333,[1]銷貨單品號主檔!$A:$D,4,0),"學習周邊")</f>
        <v>0</v>
      </c>
      <c r="B333"/>
      <c r="D333"/>
      <c r="F333" s="26" t="s">
        <v>309</v>
      </c>
    </row>
    <row r="334" spans="1:6">
      <c r="A334">
        <f>IFERROR(VLOOKUP(B334,[1]銷貨單品號主檔!$A:$D,4,0),"學習周邊")</f>
        <v>0</v>
      </c>
      <c r="B334"/>
      <c r="D334"/>
      <c r="F334" s="26" t="s">
        <v>309</v>
      </c>
    </row>
    <row r="335" spans="1:6">
      <c r="A335">
        <f>IFERROR(VLOOKUP(B335,[1]銷貨單品號主檔!$A:$D,4,0),"學習周邊")</f>
        <v>0</v>
      </c>
      <c r="B335"/>
      <c r="D335"/>
      <c r="F335" s="26" t="s">
        <v>309</v>
      </c>
    </row>
    <row r="336" spans="1:6">
      <c r="A336">
        <f>IFERROR(VLOOKUP(B336,[1]銷貨單品號主檔!$A:$D,4,0),"學習周邊")</f>
        <v>0</v>
      </c>
      <c r="B336"/>
      <c r="D336"/>
      <c r="F336" s="26" t="s">
        <v>309</v>
      </c>
    </row>
    <row r="337" spans="1:6">
      <c r="A337">
        <f>IFERROR(VLOOKUP(B337,[1]銷貨單品號主檔!$A:$D,4,0),"學習周邊")</f>
        <v>0</v>
      </c>
      <c r="B337"/>
      <c r="D337"/>
      <c r="F337" s="26" t="s">
        <v>309</v>
      </c>
    </row>
    <row r="338" spans="1:6">
      <c r="A338">
        <f>IFERROR(VLOOKUP(B338,[1]銷貨單品號主檔!$A:$D,4,0),"學習周邊")</f>
        <v>0</v>
      </c>
      <c r="B338"/>
      <c r="D338"/>
      <c r="F338" s="26" t="s">
        <v>309</v>
      </c>
    </row>
    <row r="339" spans="1:6">
      <c r="A339">
        <f>IFERROR(VLOOKUP(B339,[1]銷貨單品號主檔!$A:$D,4,0),"學習周邊")</f>
        <v>0</v>
      </c>
      <c r="B339"/>
      <c r="D339"/>
      <c r="F339" s="26" t="s">
        <v>309</v>
      </c>
    </row>
    <row r="340" spans="1:6">
      <c r="A340">
        <f>IFERROR(VLOOKUP(B340,[1]銷貨單品號主檔!$A:$D,4,0),"學習周邊")</f>
        <v>0</v>
      </c>
      <c r="B340"/>
      <c r="D340"/>
      <c r="F340" s="26" t="s">
        <v>309</v>
      </c>
    </row>
    <row r="341" spans="1:6">
      <c r="A341">
        <f>IFERROR(VLOOKUP(B341,[1]銷貨單品號主檔!$A:$D,4,0),"學習周邊")</f>
        <v>0</v>
      </c>
      <c r="B341"/>
      <c r="D341"/>
      <c r="F341" s="26" t="s">
        <v>309</v>
      </c>
    </row>
    <row r="342" spans="1:6">
      <c r="A342">
        <f>IFERROR(VLOOKUP(B342,[1]銷貨單品號主檔!$A:$D,4,0),"學習周邊")</f>
        <v>0</v>
      </c>
      <c r="B342"/>
      <c r="D342"/>
      <c r="F342" s="26" t="s">
        <v>309</v>
      </c>
    </row>
    <row r="343" spans="1:6">
      <c r="A343">
        <f>IFERROR(VLOOKUP(B343,[1]銷貨單品號主檔!$A:$D,4,0),"學習周邊")</f>
        <v>0</v>
      </c>
      <c r="B343"/>
      <c r="D343"/>
      <c r="F343" s="26" t="s">
        <v>309</v>
      </c>
    </row>
    <row r="344" spans="1:6">
      <c r="A344">
        <f>IFERROR(VLOOKUP(B344,[1]銷貨單品號主檔!$A:$D,4,0),"學習周邊")</f>
        <v>0</v>
      </c>
      <c r="B344"/>
      <c r="D344"/>
      <c r="F344" s="26" t="s">
        <v>309</v>
      </c>
    </row>
    <row r="345" spans="1:6">
      <c r="A345">
        <f>IFERROR(VLOOKUP(B345,[1]銷貨單品號主檔!$A:$D,4,0),"學習周邊")</f>
        <v>0</v>
      </c>
      <c r="B345"/>
      <c r="D345"/>
      <c r="F345" s="26" t="s">
        <v>309</v>
      </c>
    </row>
    <row r="346" spans="1:6">
      <c r="A346">
        <f>IFERROR(VLOOKUP(B346,[1]銷貨單品號主檔!$A:$D,4,0),"學習周邊")</f>
        <v>0</v>
      </c>
      <c r="B346"/>
      <c r="D346"/>
      <c r="F346" s="26" t="s">
        <v>309</v>
      </c>
    </row>
    <row r="347" spans="1:6">
      <c r="A347">
        <f>IFERROR(VLOOKUP(B347,[1]銷貨單品號主檔!$A:$D,4,0),"學習周邊")</f>
        <v>0</v>
      </c>
      <c r="B347"/>
      <c r="D347"/>
      <c r="F347" s="26" t="s">
        <v>309</v>
      </c>
    </row>
    <row r="348" spans="1:6">
      <c r="A348">
        <f>IFERROR(VLOOKUP(B348,[1]銷貨單品號主檔!$A:$D,4,0),"學習周邊")</f>
        <v>0</v>
      </c>
      <c r="B348"/>
      <c r="D348"/>
      <c r="F348" s="26" t="s">
        <v>309</v>
      </c>
    </row>
    <row r="349" spans="1:6">
      <c r="A349">
        <f>IFERROR(VLOOKUP(B349,[1]銷貨單品號主檔!$A:$D,4,0),"學習周邊")</f>
        <v>0</v>
      </c>
      <c r="B349"/>
      <c r="D349"/>
      <c r="F349" s="26" t="s">
        <v>309</v>
      </c>
    </row>
    <row r="350" spans="1:6">
      <c r="A350">
        <f>IFERROR(VLOOKUP(B350,[1]銷貨單品號主檔!$A:$D,4,0),"學習周邊")</f>
        <v>0</v>
      </c>
      <c r="B350"/>
      <c r="D350"/>
      <c r="F350" s="26" t="s">
        <v>309</v>
      </c>
    </row>
    <row r="351" spans="1:6">
      <c r="A351">
        <f>IFERROR(VLOOKUP(B351,[1]銷貨單品號主檔!$A:$D,4,0),"學習周邊")</f>
        <v>0</v>
      </c>
      <c r="B351"/>
      <c r="D351"/>
      <c r="F351" s="26" t="s">
        <v>309</v>
      </c>
    </row>
    <row r="352" spans="1:6">
      <c r="A352">
        <f>IFERROR(VLOOKUP(B352,[1]銷貨單品號主檔!$A:$D,4,0),"學習周邊")</f>
        <v>0</v>
      </c>
      <c r="B352"/>
      <c r="D352"/>
      <c r="F352" s="26" t="s">
        <v>309</v>
      </c>
    </row>
    <row r="353" spans="1:6">
      <c r="A353">
        <f>IFERROR(VLOOKUP(B353,[1]銷貨單品號主檔!$A:$D,4,0),"學習周邊")</f>
        <v>0</v>
      </c>
      <c r="B353"/>
      <c r="D353"/>
      <c r="F353" s="26" t="s">
        <v>309</v>
      </c>
    </row>
    <row r="354" spans="1:6">
      <c r="A354">
        <f>IFERROR(VLOOKUP(B354,[1]銷貨單品號主檔!$A:$D,4,0),"學習周邊")</f>
        <v>0</v>
      </c>
      <c r="B354"/>
      <c r="D354"/>
      <c r="F354" s="26" t="s">
        <v>309</v>
      </c>
    </row>
    <row r="355" spans="1:6">
      <c r="A355">
        <f>IFERROR(VLOOKUP(B355,[1]銷貨單品號主檔!$A:$D,4,0),"學習周邊")</f>
        <v>0</v>
      </c>
      <c r="B355"/>
      <c r="D355"/>
      <c r="F355" s="26" t="s">
        <v>309</v>
      </c>
    </row>
    <row r="356" spans="1:6">
      <c r="A356">
        <f>IFERROR(VLOOKUP(B356,[1]銷貨單品號主檔!$A:$D,4,0),"學習周邊")</f>
        <v>0</v>
      </c>
      <c r="B356"/>
      <c r="D356"/>
      <c r="F356" s="26" t="s">
        <v>309</v>
      </c>
    </row>
    <row r="357" spans="1:6">
      <c r="A357">
        <f>IFERROR(VLOOKUP(B357,[1]銷貨單品號主檔!$A:$D,4,0),"學習周邊")</f>
        <v>0</v>
      </c>
      <c r="B357"/>
      <c r="D357"/>
      <c r="F357" s="26" t="s">
        <v>309</v>
      </c>
    </row>
    <row r="358" spans="1:6">
      <c r="A358">
        <f>IFERROR(VLOOKUP(B358,[1]銷貨單品號主檔!$A:$D,4,0),"學習周邊")</f>
        <v>0</v>
      </c>
      <c r="B358"/>
      <c r="D358"/>
      <c r="F358" s="26" t="s">
        <v>309</v>
      </c>
    </row>
    <row r="359" spans="1:6">
      <c r="A359">
        <f>IFERROR(VLOOKUP(B359,[1]銷貨單品號主檔!$A:$D,4,0),"學習周邊")</f>
        <v>0</v>
      </c>
      <c r="B359"/>
      <c r="D359"/>
      <c r="F359" s="26" t="s">
        <v>309</v>
      </c>
    </row>
    <row r="360" spans="1:6">
      <c r="A360">
        <f>IFERROR(VLOOKUP(B360,[1]銷貨單品號主檔!$A:$D,4,0),"學習周邊")</f>
        <v>0</v>
      </c>
      <c r="B360"/>
      <c r="D360"/>
      <c r="F360" s="26" t="s">
        <v>309</v>
      </c>
    </row>
    <row r="361" spans="1:6">
      <c r="A361">
        <f>IFERROR(VLOOKUP(B361,[1]銷貨單品號主檔!$A:$D,4,0),"學習周邊")</f>
        <v>0</v>
      </c>
      <c r="B361"/>
      <c r="D361"/>
      <c r="F361" s="26" t="s">
        <v>309</v>
      </c>
    </row>
    <row r="362" spans="1:6">
      <c r="A362">
        <f>IFERROR(VLOOKUP(B362,[1]銷貨單品號主檔!$A:$D,4,0),"學習周邊")</f>
        <v>0</v>
      </c>
      <c r="B362"/>
      <c r="D362"/>
      <c r="F362" s="26" t="s">
        <v>309</v>
      </c>
    </row>
    <row r="363" spans="1:6">
      <c r="A363">
        <f>IFERROR(VLOOKUP(B363,[1]銷貨單品號主檔!$A:$D,4,0),"學習周邊")</f>
        <v>0</v>
      </c>
      <c r="B363"/>
      <c r="D363"/>
      <c r="F363" s="26" t="s">
        <v>309</v>
      </c>
    </row>
    <row r="364" spans="1:6">
      <c r="A364">
        <f>IFERROR(VLOOKUP(B364,[1]銷貨單品號主檔!$A:$D,4,0),"學習周邊")</f>
        <v>0</v>
      </c>
      <c r="B364"/>
      <c r="D364"/>
      <c r="F364" s="26" t="s">
        <v>309</v>
      </c>
    </row>
    <row r="365" spans="1:6">
      <c r="A365">
        <f>IFERROR(VLOOKUP(B365,[1]銷貨單品號主檔!$A:$D,4,0),"學習周邊")</f>
        <v>0</v>
      </c>
      <c r="B365"/>
      <c r="D365"/>
      <c r="F365" s="26" t="s">
        <v>309</v>
      </c>
    </row>
    <row r="366" spans="1:6">
      <c r="A366">
        <f>IFERROR(VLOOKUP(B366,[1]銷貨單品號主檔!$A:$D,4,0),"學習周邊")</f>
        <v>0</v>
      </c>
      <c r="B366"/>
      <c r="D366"/>
      <c r="F366" s="26" t="s">
        <v>309</v>
      </c>
    </row>
    <row r="367" spans="1:6">
      <c r="A367">
        <f>IFERROR(VLOOKUP(B367,[1]銷貨單品號主檔!$A:$D,4,0),"學習周邊")</f>
        <v>0</v>
      </c>
      <c r="B367"/>
      <c r="D367"/>
      <c r="F367" s="26" t="s">
        <v>309</v>
      </c>
    </row>
    <row r="368" spans="1:6">
      <c r="A368">
        <f>IFERROR(VLOOKUP(B368,[1]銷貨單品號主檔!$A:$D,4,0),"學習周邊")</f>
        <v>0</v>
      </c>
      <c r="B368"/>
      <c r="D368"/>
      <c r="F368" s="26" t="s">
        <v>309</v>
      </c>
    </row>
    <row r="369" spans="1:6">
      <c r="A369">
        <f>IFERROR(VLOOKUP(B369,[1]銷貨單品號主檔!$A:$D,4,0),"學習周邊")</f>
        <v>0</v>
      </c>
      <c r="B369"/>
      <c r="D369"/>
      <c r="F369" s="26" t="s">
        <v>309</v>
      </c>
    </row>
    <row r="370" spans="1:6">
      <c r="A370">
        <f>IFERROR(VLOOKUP(B370,[1]銷貨單品號主檔!$A:$D,4,0),"學習周邊")</f>
        <v>0</v>
      </c>
      <c r="B370"/>
      <c r="D370"/>
      <c r="F370" s="26" t="s">
        <v>309</v>
      </c>
    </row>
    <row r="371" spans="1:6">
      <c r="A371">
        <f>IFERROR(VLOOKUP(B371,[1]銷貨單品號主檔!$A:$D,4,0),"學習周邊")</f>
        <v>0</v>
      </c>
      <c r="B371"/>
      <c r="D371"/>
      <c r="F371" s="26" t="s">
        <v>309</v>
      </c>
    </row>
    <row r="372" spans="1:6">
      <c r="A372">
        <f>IFERROR(VLOOKUP(B372,[1]銷貨單品號主檔!$A:$D,4,0),"學習周邊")</f>
        <v>0</v>
      </c>
      <c r="B372"/>
      <c r="D372"/>
      <c r="F372" s="26" t="s">
        <v>309</v>
      </c>
    </row>
    <row r="373" spans="1:6">
      <c r="A373">
        <f>IFERROR(VLOOKUP(B373,[1]銷貨單品號主檔!$A:$D,4,0),"學習周邊")</f>
        <v>0</v>
      </c>
      <c r="B373"/>
      <c r="D373"/>
      <c r="F373" s="26" t="s">
        <v>309</v>
      </c>
    </row>
    <row r="374" spans="1:6">
      <c r="A374">
        <f>IFERROR(VLOOKUP(B374,[1]銷貨單品號主檔!$A:$D,4,0),"學習周邊")</f>
        <v>0</v>
      </c>
      <c r="B374"/>
      <c r="D374"/>
      <c r="F374" s="26" t="s">
        <v>309</v>
      </c>
    </row>
    <row r="375" spans="1:6">
      <c r="A375">
        <f>IFERROR(VLOOKUP(B375,[1]銷貨單品號主檔!$A:$D,4,0),"學習周邊")</f>
        <v>0</v>
      </c>
      <c r="B375"/>
      <c r="D375"/>
      <c r="F375" s="26" t="s">
        <v>309</v>
      </c>
    </row>
    <row r="376" spans="1:6">
      <c r="A376">
        <f>IFERROR(VLOOKUP(B376,[1]銷貨單品號主檔!$A:$D,4,0),"學習周邊")</f>
        <v>0</v>
      </c>
      <c r="B376"/>
      <c r="D376"/>
      <c r="F376" s="26" t="s">
        <v>309</v>
      </c>
    </row>
    <row r="377" spans="1:6">
      <c r="A377">
        <f>IFERROR(VLOOKUP(B377,[1]銷貨單品號主檔!$A:$D,4,0),"學習周邊")</f>
        <v>0</v>
      </c>
      <c r="B377"/>
      <c r="D377"/>
      <c r="F377" s="26" t="s">
        <v>309</v>
      </c>
    </row>
    <row r="378" spans="1:6">
      <c r="A378">
        <f>IFERROR(VLOOKUP(B378,[1]銷貨單品號主檔!$A:$D,4,0),"學習周邊")</f>
        <v>0</v>
      </c>
      <c r="B378"/>
      <c r="D378"/>
      <c r="F378" s="26" t="s">
        <v>309</v>
      </c>
    </row>
    <row r="379" spans="1:6">
      <c r="A379">
        <f>IFERROR(VLOOKUP(B379,[1]銷貨單品號主檔!$A:$D,4,0),"學習周邊")</f>
        <v>0</v>
      </c>
      <c r="B379"/>
      <c r="D379"/>
      <c r="F379" s="26" t="s">
        <v>309</v>
      </c>
    </row>
    <row r="380" spans="1:6">
      <c r="A380">
        <f>IFERROR(VLOOKUP(B380,[1]銷貨單品號主檔!$A:$D,4,0),"學習周邊")</f>
        <v>0</v>
      </c>
      <c r="B380"/>
      <c r="D380"/>
      <c r="F380" s="26" t="s">
        <v>309</v>
      </c>
    </row>
    <row r="381" spans="1:6">
      <c r="A381">
        <f>IFERROR(VLOOKUP(B381,[1]銷貨單品號主檔!$A:$D,4,0),"學習周邊")</f>
        <v>0</v>
      </c>
      <c r="B381"/>
      <c r="D381"/>
      <c r="F381" s="26" t="s">
        <v>309</v>
      </c>
    </row>
    <row r="382" spans="1:6">
      <c r="A382">
        <f>IFERROR(VLOOKUP(B382,[1]銷貨單品號主檔!$A:$D,4,0),"學習周邊")</f>
        <v>0</v>
      </c>
      <c r="B382"/>
      <c r="D382"/>
      <c r="F382" s="26" t="s">
        <v>309</v>
      </c>
    </row>
    <row r="383" spans="1:6">
      <c r="A383">
        <f>IFERROR(VLOOKUP(B383,[1]銷貨單品號主檔!$A:$D,4,0),"學習周邊")</f>
        <v>0</v>
      </c>
      <c r="B383"/>
      <c r="D383"/>
      <c r="F383" s="26" t="s">
        <v>309</v>
      </c>
    </row>
    <row r="384" spans="1:6">
      <c r="A384">
        <f>IFERROR(VLOOKUP(B384,[1]銷貨單品號主檔!$A:$D,4,0),"學習周邊")</f>
        <v>0</v>
      </c>
      <c r="B384"/>
      <c r="D384"/>
      <c r="F384" s="26" t="s">
        <v>309</v>
      </c>
    </row>
    <row r="385" spans="1:6">
      <c r="A385">
        <f>IFERROR(VLOOKUP(B385,[1]銷貨單品號主檔!$A:$D,4,0),"學習周邊")</f>
        <v>0</v>
      </c>
      <c r="B385"/>
      <c r="D385"/>
      <c r="F385" s="26" t="s">
        <v>309</v>
      </c>
    </row>
    <row r="386" spans="1:6">
      <c r="A386">
        <f>IFERROR(VLOOKUP(B386,[1]銷貨單品號主檔!$A:$D,4,0),"學習周邊")</f>
        <v>0</v>
      </c>
      <c r="B386"/>
      <c r="D386"/>
      <c r="F386" s="26" t="s">
        <v>309</v>
      </c>
    </row>
    <row r="387" spans="1:6">
      <c r="A387">
        <f>IFERROR(VLOOKUP(B387,[1]銷貨單品號主檔!$A:$D,4,0),"學習周邊")</f>
        <v>0</v>
      </c>
      <c r="B387"/>
      <c r="D387"/>
      <c r="F387" s="26" t="s">
        <v>309</v>
      </c>
    </row>
    <row r="388" spans="1:6">
      <c r="A388">
        <f>IFERROR(VLOOKUP(B388,[1]銷貨單品號主檔!$A:$D,4,0),"學習周邊")</f>
        <v>0</v>
      </c>
      <c r="B388"/>
      <c r="D388"/>
      <c r="F388" s="26" t="s">
        <v>309</v>
      </c>
    </row>
    <row r="389" spans="1:6">
      <c r="A389">
        <f>IFERROR(VLOOKUP(B389,[1]銷貨單品號主檔!$A:$D,4,0),"學習周邊")</f>
        <v>0</v>
      </c>
      <c r="B389"/>
      <c r="D389"/>
      <c r="F389" s="26" t="s">
        <v>309</v>
      </c>
    </row>
    <row r="390" spans="1:6">
      <c r="A390">
        <f>IFERROR(VLOOKUP(B390,[1]銷貨單品號主檔!$A:$D,4,0),"學習周邊")</f>
        <v>0</v>
      </c>
      <c r="B390"/>
      <c r="D390"/>
      <c r="F390" s="26" t="s">
        <v>309</v>
      </c>
    </row>
    <row r="391" spans="1:6">
      <c r="A391">
        <f>IFERROR(VLOOKUP(B391,[1]銷貨單品號主檔!$A:$D,4,0),"學習周邊")</f>
        <v>0</v>
      </c>
      <c r="B391"/>
      <c r="D391"/>
      <c r="F391" s="26" t="s">
        <v>309</v>
      </c>
    </row>
    <row r="392" spans="1:6">
      <c r="A392">
        <f>IFERROR(VLOOKUP(B392,[1]銷貨單品號主檔!$A:$D,4,0),"學習周邊")</f>
        <v>0</v>
      </c>
      <c r="B392"/>
      <c r="D392"/>
      <c r="F392" s="26" t="s">
        <v>309</v>
      </c>
    </row>
    <row r="393" spans="1:6">
      <c r="A393">
        <f>IFERROR(VLOOKUP(B393,[1]銷貨單品號主檔!$A:$D,4,0),"學習周邊")</f>
        <v>0</v>
      </c>
      <c r="B393"/>
      <c r="D393"/>
      <c r="F393" s="26" t="s">
        <v>309</v>
      </c>
    </row>
    <row r="394" spans="1:6">
      <c r="A394">
        <f>IFERROR(VLOOKUP(B394,[1]銷貨單品號主檔!$A:$D,4,0),"學習周邊")</f>
        <v>0</v>
      </c>
      <c r="B394"/>
      <c r="D394"/>
      <c r="F394" s="26" t="s">
        <v>309</v>
      </c>
    </row>
    <row r="395" spans="1:6">
      <c r="A395">
        <f>IFERROR(VLOOKUP(B395,[1]銷貨單品號主檔!$A:$D,4,0),"學習周邊")</f>
        <v>0</v>
      </c>
      <c r="B395"/>
      <c r="D395"/>
      <c r="F395" s="26" t="s">
        <v>309</v>
      </c>
    </row>
    <row r="396" spans="1:6">
      <c r="A396">
        <f>IFERROR(VLOOKUP(B396,[1]銷貨單品號主檔!$A:$D,4,0),"學習周邊")</f>
        <v>0</v>
      </c>
      <c r="B396"/>
      <c r="D396"/>
      <c r="F396" s="26" t="s">
        <v>309</v>
      </c>
    </row>
    <row r="397" spans="1:6">
      <c r="A397">
        <f>IFERROR(VLOOKUP(B397,[1]銷貨單品號主檔!$A:$D,4,0),"學習周邊")</f>
        <v>0</v>
      </c>
      <c r="B397"/>
      <c r="D397"/>
      <c r="F397" s="26" t="s">
        <v>309</v>
      </c>
    </row>
    <row r="398" spans="1:6">
      <c r="A398">
        <f>IFERROR(VLOOKUP(B398,[1]銷貨單品號主檔!$A:$D,4,0),"學習周邊")</f>
        <v>0</v>
      </c>
      <c r="B398"/>
      <c r="D398"/>
      <c r="F398" s="26" t="s">
        <v>309</v>
      </c>
    </row>
    <row r="399" spans="1:6">
      <c r="A399">
        <f>IFERROR(VLOOKUP(B399,[1]銷貨單品號主檔!$A:$D,4,0),"學習周邊")</f>
        <v>0</v>
      </c>
      <c r="B399"/>
      <c r="D399"/>
      <c r="F399" s="26" t="s">
        <v>309</v>
      </c>
    </row>
    <row r="400" spans="1:6">
      <c r="A400">
        <f>IFERROR(VLOOKUP(B400,[1]銷貨單品號主檔!$A:$D,4,0),"學習周邊")</f>
        <v>0</v>
      </c>
      <c r="B400"/>
      <c r="D400"/>
      <c r="F400" s="26" t="s">
        <v>309</v>
      </c>
    </row>
    <row r="401" spans="1:6">
      <c r="A401">
        <f>IFERROR(VLOOKUP(B401,[1]銷貨單品號主檔!$A:$D,4,0),"學習周邊")</f>
        <v>0</v>
      </c>
      <c r="B401"/>
      <c r="D401"/>
      <c r="F401" s="26" t="s">
        <v>309</v>
      </c>
    </row>
    <row r="402" spans="1:6">
      <c r="A402">
        <f>IFERROR(VLOOKUP(B402,[1]銷貨單品號主檔!$A:$D,4,0),"學習周邊")</f>
        <v>0</v>
      </c>
      <c r="B402"/>
      <c r="D402"/>
      <c r="F402" s="26" t="s">
        <v>309</v>
      </c>
    </row>
    <row r="403" spans="1:6">
      <c r="A403">
        <f>IFERROR(VLOOKUP(B403,[1]銷貨單品號主檔!$A:$D,4,0),"學習周邊")</f>
        <v>0</v>
      </c>
      <c r="B403"/>
      <c r="D403"/>
      <c r="F403" s="26" t="s">
        <v>309</v>
      </c>
    </row>
    <row r="404" spans="1:6">
      <c r="A404">
        <f>IFERROR(VLOOKUP(B404,[1]銷貨單品號主檔!$A:$D,4,0),"學習周邊")</f>
        <v>0</v>
      </c>
      <c r="B404"/>
      <c r="D404"/>
      <c r="F404" s="26" t="s">
        <v>309</v>
      </c>
    </row>
    <row r="405" spans="1:6">
      <c r="A405">
        <f>IFERROR(VLOOKUP(B405,[1]銷貨單品號主檔!$A:$D,4,0),"學習周邊")</f>
        <v>0</v>
      </c>
      <c r="B405"/>
      <c r="D405"/>
      <c r="F405" s="26" t="s">
        <v>309</v>
      </c>
    </row>
    <row r="406" spans="1:6">
      <c r="A406">
        <f>IFERROR(VLOOKUP(B406,[1]銷貨單品號主檔!$A:$D,4,0),"學習周邊")</f>
        <v>0</v>
      </c>
      <c r="B406"/>
      <c r="D406"/>
      <c r="F406" s="26" t="s">
        <v>309</v>
      </c>
    </row>
    <row r="407" spans="1:6">
      <c r="A407">
        <f>IFERROR(VLOOKUP(B407,[1]銷貨單品號主檔!$A:$D,4,0),"學習周邊")</f>
        <v>0</v>
      </c>
      <c r="B407"/>
      <c r="D407"/>
      <c r="F407" s="26" t="s">
        <v>309</v>
      </c>
    </row>
    <row r="408" spans="1:6">
      <c r="A408">
        <f>IFERROR(VLOOKUP(B408,[1]銷貨單品號主檔!$A:$D,4,0),"學習周邊")</f>
        <v>0</v>
      </c>
      <c r="B408"/>
      <c r="D408"/>
      <c r="F408" s="26" t="s">
        <v>309</v>
      </c>
    </row>
    <row r="409" spans="1:6">
      <c r="A409">
        <f>IFERROR(VLOOKUP(B409,[1]銷貨單品號主檔!$A:$D,4,0),"學習周邊")</f>
        <v>0</v>
      </c>
      <c r="B409"/>
      <c r="D409"/>
      <c r="F409" s="26" t="s">
        <v>309</v>
      </c>
    </row>
    <row r="410" spans="1:6">
      <c r="A410">
        <f>IFERROR(VLOOKUP(B410,[1]銷貨單品號主檔!$A:$D,4,0),"學習周邊")</f>
        <v>0</v>
      </c>
      <c r="B410"/>
      <c r="D410"/>
      <c r="F410" s="26" t="s">
        <v>309</v>
      </c>
    </row>
    <row r="411" spans="1:6">
      <c r="A411">
        <f>IFERROR(VLOOKUP(B411,[1]銷貨單品號主檔!$A:$D,4,0),"學習周邊")</f>
        <v>0</v>
      </c>
      <c r="F411" s="26" t="s">
        <v>309</v>
      </c>
    </row>
    <row r="412" spans="1:6">
      <c r="A412">
        <f>IFERROR(VLOOKUP(B412,[1]銷貨單品號主檔!$A:$D,4,0),"學習周邊")</f>
        <v>0</v>
      </c>
      <c r="F412" s="26" t="s">
        <v>309</v>
      </c>
    </row>
    <row r="413" spans="1:6">
      <c r="A413">
        <f>IFERROR(VLOOKUP(B413,[1]銷貨單品號主檔!$A:$D,4,0),"學習周邊")</f>
        <v>0</v>
      </c>
      <c r="F413" s="26" t="s">
        <v>309</v>
      </c>
    </row>
    <row r="414" spans="1:6">
      <c r="A414">
        <f>IFERROR(VLOOKUP(B414,[1]銷貨單品號主檔!$A:$D,4,0),"學習周邊")</f>
        <v>0</v>
      </c>
      <c r="F414" s="26" t="s">
        <v>309</v>
      </c>
    </row>
    <row r="415" spans="1:6">
      <c r="A415">
        <f>IFERROR(VLOOKUP(B415,[1]銷貨單品號主檔!$A:$D,4,0),"學習周邊")</f>
        <v>0</v>
      </c>
      <c r="F415" s="26" t="s">
        <v>309</v>
      </c>
    </row>
    <row r="416" spans="1:6">
      <c r="A416">
        <f>IFERROR(VLOOKUP(B416,[1]銷貨單品號主檔!$A:$D,4,0),"學習周邊")</f>
        <v>0</v>
      </c>
      <c r="F416" s="26" t="s">
        <v>309</v>
      </c>
    </row>
    <row r="417" spans="1:6">
      <c r="A417">
        <f>IFERROR(VLOOKUP(B417,[1]銷貨單品號主檔!$A:$D,4,0),"學習周邊")</f>
        <v>0</v>
      </c>
      <c r="F417" s="26" t="s">
        <v>309</v>
      </c>
    </row>
    <row r="418" spans="1:6">
      <c r="A418">
        <f>IFERROR(VLOOKUP(B418,[1]銷貨單品號主檔!$A:$D,4,0),"學習周邊")</f>
        <v>0</v>
      </c>
      <c r="F418" s="26" t="s">
        <v>309</v>
      </c>
    </row>
    <row r="419" spans="1:6">
      <c r="A419">
        <f>IFERROR(VLOOKUP(B419,[1]銷貨單品號主檔!$A:$D,4,0),"學習周邊")</f>
        <v>0</v>
      </c>
      <c r="F419" s="26" t="s">
        <v>309</v>
      </c>
    </row>
    <row r="420" spans="1:6">
      <c r="A420">
        <f>IFERROR(VLOOKUP(B420,[1]銷貨單品號主檔!$A:$D,4,0),"學習周邊")</f>
        <v>0</v>
      </c>
      <c r="F420" s="26" t="s">
        <v>309</v>
      </c>
    </row>
    <row r="421" spans="1:6">
      <c r="A421">
        <f>IFERROR(VLOOKUP(B421,[1]銷貨單品號主檔!$A:$D,4,0),"學習周邊")</f>
        <v>0</v>
      </c>
      <c r="F421" s="26" t="s">
        <v>309</v>
      </c>
    </row>
    <row r="422" spans="1:6">
      <c r="A422">
        <f>IFERROR(VLOOKUP(B422,[1]銷貨單品號主檔!$A:$D,4,0),"學習周邊")</f>
        <v>0</v>
      </c>
      <c r="F422" s="26" t="s">
        <v>309</v>
      </c>
    </row>
    <row r="423" spans="1:6">
      <c r="A423">
        <f>IFERROR(VLOOKUP(B423,[1]銷貨單品號主檔!$A:$D,4,0),"學習周邊")</f>
        <v>0</v>
      </c>
      <c r="F423" s="26" t="s">
        <v>309</v>
      </c>
    </row>
    <row r="424" spans="1:6" s="23" customFormat="1">
      <c r="A424">
        <f>IFERROR(VLOOKUP(B424,[1]銷貨單品號主檔!$A:$D,4,0),"學習周邊")</f>
        <v>0</v>
      </c>
      <c r="C424"/>
      <c r="E424"/>
      <c r="F424" s="26" t="s">
        <v>309</v>
      </c>
    </row>
    <row r="425" spans="1:6" s="23" customFormat="1">
      <c r="A425">
        <f>IFERROR(VLOOKUP(B425,[1]銷貨單品號主檔!$A:$D,4,0),"學習周邊")</f>
        <v>0</v>
      </c>
      <c r="C425"/>
      <c r="E425"/>
      <c r="F425" s="26" t="s">
        <v>309</v>
      </c>
    </row>
    <row r="426" spans="1:6" s="23" customFormat="1">
      <c r="A426">
        <f>IFERROR(VLOOKUP(B426,[1]銷貨單品號主檔!$A:$D,4,0),"學習周邊")</f>
        <v>0</v>
      </c>
      <c r="C426"/>
      <c r="E426"/>
      <c r="F426" s="26" t="s">
        <v>309</v>
      </c>
    </row>
    <row r="427" spans="1:6" s="23" customFormat="1">
      <c r="A427">
        <f>IFERROR(VLOOKUP(B427,[1]銷貨單品號主檔!$A:$D,4,0),"學習周邊")</f>
        <v>0</v>
      </c>
      <c r="C427"/>
      <c r="E427"/>
      <c r="F427" s="26" t="s">
        <v>309</v>
      </c>
    </row>
    <row r="428" spans="1:6" s="23" customFormat="1">
      <c r="A428">
        <f>IFERROR(VLOOKUP(B428,[1]銷貨單品號主檔!$A:$D,4,0),"學習周邊")</f>
        <v>0</v>
      </c>
      <c r="C428"/>
      <c r="E428"/>
      <c r="F428" s="26" t="s">
        <v>309</v>
      </c>
    </row>
    <row r="429" spans="1:6" s="23" customFormat="1">
      <c r="A429">
        <f>IFERROR(VLOOKUP(B429,[1]銷貨單品號主檔!$A:$D,4,0),"學習周邊")</f>
        <v>0</v>
      </c>
      <c r="C429"/>
      <c r="E429"/>
      <c r="F429" s="26" t="s">
        <v>309</v>
      </c>
    </row>
    <row r="430" spans="1:6" s="23" customFormat="1">
      <c r="A430">
        <f>IFERROR(VLOOKUP(B430,[1]銷貨單品號主檔!$A:$D,4,0),"學習周邊")</f>
        <v>0</v>
      </c>
      <c r="C430"/>
      <c r="E430"/>
      <c r="F430" s="26" t="s">
        <v>309</v>
      </c>
    </row>
    <row r="431" spans="1:6" s="23" customFormat="1">
      <c r="A431">
        <f>IFERROR(VLOOKUP(B431,[1]銷貨單品號主檔!$A:$D,4,0),"學習周邊")</f>
        <v>0</v>
      </c>
      <c r="C431"/>
      <c r="E431"/>
      <c r="F431" s="26" t="s">
        <v>309</v>
      </c>
    </row>
    <row r="432" spans="1:6" s="23" customFormat="1">
      <c r="A432">
        <f>IFERROR(VLOOKUP(B432,[1]銷貨單品號主檔!$A:$D,4,0),"學習周邊")</f>
        <v>0</v>
      </c>
      <c r="C432"/>
      <c r="E432"/>
      <c r="F432" s="26" t="s">
        <v>309</v>
      </c>
    </row>
    <row r="433" spans="1:6" s="23" customFormat="1">
      <c r="A433">
        <f>IFERROR(VLOOKUP(B433,[1]銷貨單品號主檔!$A:$D,4,0),"學習周邊")</f>
        <v>0</v>
      </c>
      <c r="C433"/>
      <c r="E433"/>
      <c r="F433" s="26" t="s">
        <v>309</v>
      </c>
    </row>
    <row r="434" spans="1:6" s="23" customFormat="1">
      <c r="A434">
        <f>IFERROR(VLOOKUP(B434,[1]銷貨單品號主檔!$A:$D,4,0),"學習周邊")</f>
        <v>0</v>
      </c>
      <c r="C434"/>
      <c r="E434"/>
      <c r="F434" s="26" t="s">
        <v>309</v>
      </c>
    </row>
    <row r="435" spans="1:6" s="23" customFormat="1">
      <c r="A435">
        <f>IFERROR(VLOOKUP(B435,[1]銷貨單品號主檔!$A:$D,4,0),"學習周邊")</f>
        <v>0</v>
      </c>
      <c r="C435"/>
      <c r="E435"/>
      <c r="F435" s="26" t="s">
        <v>309</v>
      </c>
    </row>
    <row r="436" spans="1:6" s="23" customFormat="1">
      <c r="A436">
        <f>IFERROR(VLOOKUP(B436,[1]銷貨單品號主檔!$A:$D,4,0),"學習周邊")</f>
        <v>0</v>
      </c>
      <c r="C436"/>
      <c r="E436"/>
      <c r="F436" s="26" t="s">
        <v>309</v>
      </c>
    </row>
    <row r="437" spans="1:6" s="23" customFormat="1">
      <c r="A437">
        <f>IFERROR(VLOOKUP(B437,[1]銷貨單品號主檔!$A:$D,4,0),"學習周邊")</f>
        <v>0</v>
      </c>
      <c r="C437"/>
      <c r="E437"/>
      <c r="F437" s="26" t="s">
        <v>309</v>
      </c>
    </row>
    <row r="438" spans="1:6" s="23" customFormat="1">
      <c r="A438">
        <f>IFERROR(VLOOKUP(B438,[1]銷貨單品號主檔!$A:$D,4,0),"學習周邊")</f>
        <v>0</v>
      </c>
      <c r="C438"/>
      <c r="E438"/>
      <c r="F438" s="26" t="s">
        <v>309</v>
      </c>
    </row>
    <row r="439" spans="1:6" s="23" customFormat="1">
      <c r="A439">
        <f>IFERROR(VLOOKUP(B439,[1]銷貨單品號主檔!$A:$D,4,0),"學習周邊")</f>
        <v>0</v>
      </c>
      <c r="C439"/>
      <c r="E439"/>
      <c r="F439" s="26" t="s">
        <v>309</v>
      </c>
    </row>
    <row r="440" spans="1:6" s="23" customFormat="1">
      <c r="A440">
        <f>IFERROR(VLOOKUP(B440,[1]銷貨單品號主檔!$A:$D,4,0),"學習周邊")</f>
        <v>0</v>
      </c>
      <c r="C440"/>
      <c r="E440"/>
      <c r="F440" s="26" t="s">
        <v>309</v>
      </c>
    </row>
    <row r="441" spans="1:6" s="23" customFormat="1">
      <c r="A441">
        <f>IFERROR(VLOOKUP(B441,[1]銷貨單品號主檔!$A:$D,4,0),"學習周邊")</f>
        <v>0</v>
      </c>
      <c r="C441"/>
      <c r="E441"/>
      <c r="F441" s="26" t="s">
        <v>309</v>
      </c>
    </row>
    <row r="442" spans="1:6" s="23" customFormat="1">
      <c r="A442">
        <f>IFERROR(VLOOKUP(B442,[1]銷貨單品號主檔!$A:$D,4,0),"學習周邊")</f>
        <v>0</v>
      </c>
      <c r="C442"/>
      <c r="E442"/>
      <c r="F442" s="26" t="s">
        <v>309</v>
      </c>
    </row>
    <row r="443" spans="1:6" s="23" customFormat="1">
      <c r="A443">
        <f>IFERROR(VLOOKUP(B443,[1]銷貨單品號主檔!$A:$D,4,0),"學習周邊")</f>
        <v>0</v>
      </c>
      <c r="C443"/>
      <c r="E443"/>
      <c r="F443" s="26" t="s">
        <v>309</v>
      </c>
    </row>
    <row r="444" spans="1:6" s="23" customFormat="1">
      <c r="A444">
        <f>IFERROR(VLOOKUP(B444,[1]銷貨單品號主檔!$A:$D,4,0),"學習周邊")</f>
        <v>0</v>
      </c>
      <c r="C444"/>
      <c r="E444"/>
      <c r="F444" s="26" t="s">
        <v>309</v>
      </c>
    </row>
    <row r="445" spans="1:6" s="23" customFormat="1">
      <c r="A445">
        <f>IFERROR(VLOOKUP(B445,[1]銷貨單品號主檔!$A:$D,4,0),"學習周邊")</f>
        <v>0</v>
      </c>
      <c r="C445"/>
      <c r="E445"/>
      <c r="F445" s="26" t="s">
        <v>309</v>
      </c>
    </row>
    <row r="446" spans="1:6" s="23" customFormat="1">
      <c r="A446">
        <f>IFERROR(VLOOKUP(B446,[1]銷貨單品號主檔!$A:$D,4,0),"學習周邊")</f>
        <v>0</v>
      </c>
      <c r="C446"/>
      <c r="E446"/>
      <c r="F446" s="26" t="s">
        <v>309</v>
      </c>
    </row>
    <row r="447" spans="1:6" s="23" customFormat="1">
      <c r="A447">
        <f>IFERROR(VLOOKUP(B447,[1]銷貨單品號主檔!$A:$D,4,0),"學習周邊")</f>
        <v>0</v>
      </c>
      <c r="C447"/>
      <c r="E447"/>
      <c r="F447" s="26" t="s">
        <v>309</v>
      </c>
    </row>
    <row r="448" spans="1:6" s="23" customFormat="1">
      <c r="A448">
        <f>IFERROR(VLOOKUP(B448,[1]銷貨單品號主檔!$A:$D,4,0),"學習周邊")</f>
        <v>0</v>
      </c>
      <c r="C448"/>
      <c r="E448"/>
      <c r="F448" s="26" t="s">
        <v>309</v>
      </c>
    </row>
    <row r="449" spans="1:6" s="23" customFormat="1">
      <c r="A449">
        <f>IFERROR(VLOOKUP(B449,[1]銷貨單品號主檔!$A:$D,4,0),"學習周邊")</f>
        <v>0</v>
      </c>
      <c r="C449"/>
      <c r="E449"/>
      <c r="F449" s="26" t="s">
        <v>309</v>
      </c>
    </row>
    <row r="450" spans="1:6" s="23" customFormat="1">
      <c r="A450">
        <f>IFERROR(VLOOKUP(B450,[1]銷貨單品號主檔!$A:$D,4,0),"學習周邊")</f>
        <v>0</v>
      </c>
      <c r="C450"/>
      <c r="E450"/>
      <c r="F450" s="26" t="s">
        <v>309</v>
      </c>
    </row>
    <row r="451" spans="1:6" s="23" customFormat="1">
      <c r="A451">
        <f>IFERROR(VLOOKUP(B451,[1]銷貨單品號主檔!$A:$D,4,0),"學習周邊")</f>
        <v>0</v>
      </c>
      <c r="C451"/>
      <c r="E451"/>
      <c r="F451" s="26" t="s">
        <v>309</v>
      </c>
    </row>
    <row r="452" spans="1:6" s="23" customFormat="1">
      <c r="A452">
        <f>IFERROR(VLOOKUP(B452,[1]銷貨單品號主檔!$A:$D,4,0),"學習周邊")</f>
        <v>0</v>
      </c>
      <c r="C452"/>
      <c r="E452"/>
      <c r="F452" s="26" t="s">
        <v>309</v>
      </c>
    </row>
    <row r="453" spans="1:6" s="23" customFormat="1">
      <c r="A453">
        <f>IFERROR(VLOOKUP(B453,[1]銷貨單品號主檔!$A:$D,4,0),"學習周邊")</f>
        <v>0</v>
      </c>
      <c r="C453"/>
      <c r="E453"/>
      <c r="F453" s="26" t="s">
        <v>309</v>
      </c>
    </row>
    <row r="454" spans="1:6" s="23" customFormat="1">
      <c r="A454">
        <f>IFERROR(VLOOKUP(B454,[1]銷貨單品號主檔!$A:$D,4,0),"學習周邊")</f>
        <v>0</v>
      </c>
      <c r="C454"/>
      <c r="E454"/>
      <c r="F454" s="26" t="s">
        <v>309</v>
      </c>
    </row>
    <row r="455" spans="1:6" s="23" customFormat="1">
      <c r="A455">
        <f>IFERROR(VLOOKUP(B455,[1]銷貨單品號主檔!$A:$D,4,0),"學習周邊")</f>
        <v>0</v>
      </c>
      <c r="C455"/>
      <c r="E455"/>
      <c r="F455" s="26" t="s">
        <v>309</v>
      </c>
    </row>
    <row r="456" spans="1:6" s="23" customFormat="1">
      <c r="A456">
        <f>IFERROR(VLOOKUP(B456,[1]銷貨單品號主檔!$A:$D,4,0),"學習周邊")</f>
        <v>0</v>
      </c>
      <c r="C456"/>
      <c r="E456"/>
      <c r="F456" s="26" t="s">
        <v>309</v>
      </c>
    </row>
    <row r="457" spans="1:6" s="23" customFormat="1">
      <c r="A457">
        <f>IFERROR(VLOOKUP(B457,[1]銷貨單品號主檔!$A:$D,4,0),"學習周邊")</f>
        <v>0</v>
      </c>
      <c r="C457"/>
      <c r="E457"/>
      <c r="F457" s="26" t="s">
        <v>309</v>
      </c>
    </row>
    <row r="458" spans="1:6" s="23" customFormat="1">
      <c r="A458">
        <f>IFERROR(VLOOKUP(B458,[1]銷貨單品號主檔!$A:$D,4,0),"學習周邊")</f>
        <v>0</v>
      </c>
      <c r="C458"/>
      <c r="E458"/>
      <c r="F458" s="26" t="s">
        <v>309</v>
      </c>
    </row>
    <row r="459" spans="1:6" s="23" customFormat="1">
      <c r="A459">
        <f>IFERROR(VLOOKUP(B459,[1]銷貨單品號主檔!$A:$D,4,0),"學習周邊")</f>
        <v>0</v>
      </c>
      <c r="C459"/>
      <c r="E459"/>
      <c r="F459" s="26" t="s">
        <v>309</v>
      </c>
    </row>
    <row r="460" spans="1:6" s="23" customFormat="1">
      <c r="A460">
        <f>IFERROR(VLOOKUP(B460,[1]銷貨單品號主檔!$A:$D,4,0),"學習周邊")</f>
        <v>0</v>
      </c>
      <c r="C460"/>
      <c r="E460"/>
      <c r="F460" s="26" t="s">
        <v>309</v>
      </c>
    </row>
    <row r="461" spans="1:6" s="23" customFormat="1">
      <c r="A461">
        <f>IFERROR(VLOOKUP(B461,[1]銷貨單品號主檔!$A:$D,4,0),"學習周邊")</f>
        <v>0</v>
      </c>
      <c r="C461"/>
      <c r="E461"/>
      <c r="F461" s="26" t="s">
        <v>309</v>
      </c>
    </row>
    <row r="462" spans="1:6" s="23" customFormat="1">
      <c r="A462">
        <f>IFERROR(VLOOKUP(B462,[1]銷貨單品號主檔!$A:$D,4,0),"學習周邊")</f>
        <v>0</v>
      </c>
      <c r="C462"/>
      <c r="E462"/>
      <c r="F462" s="26" t="s">
        <v>309</v>
      </c>
    </row>
    <row r="463" spans="1:6" s="23" customFormat="1">
      <c r="A463">
        <f>IFERROR(VLOOKUP(B463,[1]銷貨單品號主檔!$A:$D,4,0),"學習周邊")</f>
        <v>0</v>
      </c>
      <c r="C463"/>
      <c r="E463"/>
      <c r="F463" s="26" t="s">
        <v>309</v>
      </c>
    </row>
    <row r="464" spans="1:6" s="23" customFormat="1">
      <c r="A464">
        <f>IFERROR(VLOOKUP(B464,[1]銷貨單品號主檔!$A:$D,4,0),"學習周邊")</f>
        <v>0</v>
      </c>
      <c r="C464"/>
      <c r="E464"/>
      <c r="F464" s="26" t="s">
        <v>309</v>
      </c>
    </row>
    <row r="465" spans="1:6" s="23" customFormat="1">
      <c r="A465">
        <f>IFERROR(VLOOKUP(B465,[1]銷貨單品號主檔!$A:$D,4,0),"學習周邊")</f>
        <v>0</v>
      </c>
      <c r="C465"/>
      <c r="E465"/>
      <c r="F465" s="26" t="s">
        <v>309</v>
      </c>
    </row>
    <row r="466" spans="1:6" s="23" customFormat="1">
      <c r="A466">
        <f>IFERROR(VLOOKUP(B466,[1]銷貨單品號主檔!$A:$D,4,0),"學習周邊")</f>
        <v>0</v>
      </c>
      <c r="C466"/>
      <c r="E466"/>
      <c r="F466" s="26" t="s">
        <v>309</v>
      </c>
    </row>
    <row r="467" spans="1:6" s="23" customFormat="1">
      <c r="A467">
        <f>IFERROR(VLOOKUP(B467,[1]銷貨單品號主檔!$A:$D,4,0),"學習周邊")</f>
        <v>0</v>
      </c>
      <c r="C467"/>
      <c r="E467"/>
      <c r="F467" s="26" t="s">
        <v>309</v>
      </c>
    </row>
    <row r="468" spans="1:6" s="23" customFormat="1">
      <c r="A468">
        <f>IFERROR(VLOOKUP(B468,[1]銷貨單品號主檔!$A:$D,4,0),"學習周邊")</f>
        <v>0</v>
      </c>
      <c r="C468"/>
      <c r="E468"/>
      <c r="F468" s="26" t="s">
        <v>309</v>
      </c>
    </row>
    <row r="469" spans="1:6" s="23" customFormat="1">
      <c r="A469">
        <f>IFERROR(VLOOKUP(B469,[1]銷貨單品號主檔!$A:$D,4,0),"學習周邊")</f>
        <v>0</v>
      </c>
      <c r="C469"/>
      <c r="E469"/>
      <c r="F469" s="26" t="s">
        <v>309</v>
      </c>
    </row>
    <row r="470" spans="1:6" s="23" customFormat="1">
      <c r="A470">
        <f>IFERROR(VLOOKUP(B470,[1]銷貨單品號主檔!$A:$D,4,0),"學習周邊")</f>
        <v>0</v>
      </c>
      <c r="C470"/>
      <c r="E470"/>
      <c r="F470" s="26" t="s">
        <v>309</v>
      </c>
    </row>
    <row r="471" spans="1:6" s="23" customFormat="1">
      <c r="A471">
        <f>IFERROR(VLOOKUP(B471,[1]銷貨單品號主檔!$A:$D,4,0),"學習周邊")</f>
        <v>0</v>
      </c>
      <c r="C471"/>
      <c r="E471"/>
      <c r="F471" s="26" t="s">
        <v>309</v>
      </c>
    </row>
    <row r="472" spans="1:6" s="23" customFormat="1">
      <c r="A472">
        <f>IFERROR(VLOOKUP(B472,[1]銷貨單品號主檔!$A:$D,4,0),"學習周邊")</f>
        <v>0</v>
      </c>
      <c r="C472"/>
      <c r="E472"/>
      <c r="F472" s="26" t="s">
        <v>309</v>
      </c>
    </row>
    <row r="473" spans="1:6" s="23" customFormat="1">
      <c r="A473">
        <f>IFERROR(VLOOKUP(B473,[1]銷貨單品號主檔!$A:$D,4,0),"學習周邊")</f>
        <v>0</v>
      </c>
      <c r="C473"/>
      <c r="E473"/>
      <c r="F473" s="26" t="s">
        <v>309</v>
      </c>
    </row>
    <row r="474" spans="1:6" s="23" customFormat="1">
      <c r="A474">
        <f>IFERROR(VLOOKUP(B474,[1]銷貨單品號主檔!$A:$D,4,0),"學習周邊")</f>
        <v>0</v>
      </c>
      <c r="C474"/>
      <c r="E474"/>
      <c r="F474" s="26" t="s">
        <v>309</v>
      </c>
    </row>
    <row r="475" spans="1:6" s="23" customFormat="1">
      <c r="A475">
        <f>IFERROR(VLOOKUP(B475,[1]銷貨單品號主檔!$A:$D,4,0),"學習周邊")</f>
        <v>0</v>
      </c>
      <c r="C475"/>
      <c r="E475"/>
      <c r="F475" s="26" t="s">
        <v>309</v>
      </c>
    </row>
    <row r="476" spans="1:6" s="23" customFormat="1">
      <c r="A476">
        <f>IFERROR(VLOOKUP(B476,[1]銷貨單品號主檔!$A:$D,4,0),"學習周邊")</f>
        <v>0</v>
      </c>
      <c r="C476"/>
      <c r="E476"/>
      <c r="F476" s="26" t="s">
        <v>309</v>
      </c>
    </row>
    <row r="477" spans="1:6" s="23" customFormat="1">
      <c r="A477">
        <f>IFERROR(VLOOKUP(B477,[1]銷貨單品號主檔!$A:$D,4,0),"學習周邊")</f>
        <v>0</v>
      </c>
      <c r="C477"/>
      <c r="E477"/>
      <c r="F477" s="26" t="s">
        <v>309</v>
      </c>
    </row>
    <row r="478" spans="1:6" s="23" customFormat="1">
      <c r="A478">
        <f>IFERROR(VLOOKUP(B478,[1]銷貨單品號主檔!$A:$D,4,0),"學習周邊")</f>
        <v>0</v>
      </c>
      <c r="C478"/>
      <c r="E478"/>
      <c r="F478" s="26" t="s">
        <v>309</v>
      </c>
    </row>
    <row r="479" spans="1:6" s="23" customFormat="1">
      <c r="A479">
        <f>IFERROR(VLOOKUP(B479,[1]銷貨單品號主檔!$A:$D,4,0),"學習周邊")</f>
        <v>0</v>
      </c>
      <c r="C479"/>
      <c r="E479"/>
      <c r="F479" s="26" t="s">
        <v>309</v>
      </c>
    </row>
    <row r="480" spans="1:6" s="23" customFormat="1">
      <c r="A480">
        <f>IFERROR(VLOOKUP(B480,[1]銷貨單品號主檔!$A:$D,4,0),"學習周邊")</f>
        <v>0</v>
      </c>
      <c r="C480"/>
      <c r="E480"/>
      <c r="F480" s="26" t="s">
        <v>309</v>
      </c>
    </row>
    <row r="481" spans="1:6" s="23" customFormat="1">
      <c r="A481">
        <f>IFERROR(VLOOKUP(B481,[1]銷貨單品號主檔!$A:$D,4,0),"學習周邊")</f>
        <v>0</v>
      </c>
      <c r="C481"/>
      <c r="E481"/>
      <c r="F481" s="26" t="s">
        <v>309</v>
      </c>
    </row>
    <row r="482" spans="1:6" s="23" customFormat="1">
      <c r="A482">
        <f>IFERROR(VLOOKUP(B482,[1]銷貨單品號主檔!$A:$D,4,0),"學習周邊")</f>
        <v>0</v>
      </c>
      <c r="C482"/>
      <c r="E482"/>
      <c r="F482" s="26" t="s">
        <v>309</v>
      </c>
    </row>
    <row r="483" spans="1:6" s="23" customFormat="1">
      <c r="A483">
        <f>IFERROR(VLOOKUP(B483,[1]銷貨單品號主檔!$A:$D,4,0),"學習周邊")</f>
        <v>0</v>
      </c>
      <c r="C483"/>
      <c r="E483"/>
      <c r="F483" s="26" t="s">
        <v>309</v>
      </c>
    </row>
    <row r="484" spans="1:6" s="23" customFormat="1">
      <c r="A484">
        <f>IFERROR(VLOOKUP(B484,[1]銷貨單品號主檔!$A:$D,4,0),"學習周邊")</f>
        <v>0</v>
      </c>
      <c r="C484"/>
      <c r="E484"/>
      <c r="F484" s="26" t="s">
        <v>309</v>
      </c>
    </row>
    <row r="485" spans="1:6" s="23" customFormat="1">
      <c r="A485">
        <f>IFERROR(VLOOKUP(B485,[1]銷貨單品號主檔!$A:$D,4,0),"學習周邊")</f>
        <v>0</v>
      </c>
      <c r="C485"/>
      <c r="E485"/>
      <c r="F485" s="26" t="s">
        <v>309</v>
      </c>
    </row>
    <row r="486" spans="1:6" s="23" customFormat="1">
      <c r="A486">
        <f>IFERROR(VLOOKUP(B486,[1]銷貨單品號主檔!$A:$D,4,0),"學習周邊")</f>
        <v>0</v>
      </c>
      <c r="C486"/>
      <c r="E486"/>
      <c r="F486" s="26" t="s">
        <v>309</v>
      </c>
    </row>
    <row r="487" spans="1:6" s="23" customFormat="1">
      <c r="A487">
        <f>IFERROR(VLOOKUP(B487,[1]銷貨單品號主檔!$A:$D,4,0),"學習周邊")</f>
        <v>0</v>
      </c>
      <c r="C487"/>
      <c r="E487"/>
      <c r="F487" s="26" t="s">
        <v>309</v>
      </c>
    </row>
    <row r="488" spans="1:6" s="23" customFormat="1">
      <c r="A488">
        <f>IFERROR(VLOOKUP(B488,[1]銷貨單品號主檔!$A:$D,4,0),"學習周邊")</f>
        <v>0</v>
      </c>
      <c r="C488"/>
      <c r="E488"/>
      <c r="F488" s="26" t="s">
        <v>309</v>
      </c>
    </row>
    <row r="489" spans="1:6" s="23" customFormat="1">
      <c r="A489">
        <f>IFERROR(VLOOKUP(B489,[1]銷貨單品號主檔!$A:$D,4,0),"學習周邊")</f>
        <v>0</v>
      </c>
      <c r="C489"/>
      <c r="E489"/>
      <c r="F489" s="26" t="s">
        <v>309</v>
      </c>
    </row>
    <row r="490" spans="1:6" s="23" customFormat="1">
      <c r="A490">
        <f>IFERROR(VLOOKUP(B490,[1]銷貨單品號主檔!$A:$D,4,0),"學習周邊")</f>
        <v>0</v>
      </c>
      <c r="C490"/>
      <c r="E490"/>
      <c r="F490" s="26" t="s">
        <v>309</v>
      </c>
    </row>
    <row r="491" spans="1:6" s="23" customFormat="1">
      <c r="A491">
        <f>IFERROR(VLOOKUP(B491,[1]銷貨單品號主檔!$A:$D,4,0),"學習周邊")</f>
        <v>0</v>
      </c>
      <c r="C491"/>
      <c r="E491"/>
      <c r="F491" s="26" t="s">
        <v>309</v>
      </c>
    </row>
    <row r="492" spans="1:6" s="23" customFormat="1">
      <c r="A492">
        <f>IFERROR(VLOOKUP(B492,[1]銷貨單品號主檔!$A:$D,4,0),"學習周邊")</f>
        <v>0</v>
      </c>
      <c r="C492"/>
      <c r="E492"/>
      <c r="F492" s="26" t="s">
        <v>309</v>
      </c>
    </row>
    <row r="493" spans="1:6" s="23" customFormat="1">
      <c r="A493">
        <f>IFERROR(VLOOKUP(B493,[1]銷貨單品號主檔!$A:$D,4,0),"學習周邊")</f>
        <v>0</v>
      </c>
      <c r="C493"/>
      <c r="E493"/>
      <c r="F493" s="26" t="s">
        <v>309</v>
      </c>
    </row>
    <row r="494" spans="1:6" s="23" customFormat="1">
      <c r="A494">
        <f>IFERROR(VLOOKUP(B494,[1]銷貨單品號主檔!$A:$D,4,0),"學習周邊")</f>
        <v>0</v>
      </c>
      <c r="C494"/>
      <c r="E494"/>
      <c r="F494" s="26" t="s">
        <v>309</v>
      </c>
    </row>
    <row r="495" spans="1:6" s="23" customFormat="1">
      <c r="A495"/>
      <c r="C495"/>
      <c r="E495"/>
      <c r="F495"/>
    </row>
    <row r="496" spans="1:6" s="23" customFormat="1">
      <c r="A496"/>
      <c r="C496"/>
      <c r="E496"/>
      <c r="F496"/>
    </row>
    <row r="497" spans="1:6" s="23" customFormat="1">
      <c r="A497"/>
      <c r="C497"/>
      <c r="E497"/>
      <c r="F497"/>
    </row>
    <row r="498" spans="1:6" s="23" customFormat="1">
      <c r="A498"/>
      <c r="C498"/>
      <c r="E498"/>
      <c r="F498"/>
    </row>
    <row r="499" spans="1:6" s="23" customFormat="1">
      <c r="A499"/>
      <c r="C499"/>
      <c r="E499"/>
      <c r="F499"/>
    </row>
    <row r="500" spans="1:6" s="23" customFormat="1">
      <c r="A500"/>
      <c r="C500"/>
      <c r="E500"/>
      <c r="F500"/>
    </row>
    <row r="501" spans="1:6" s="23" customFormat="1">
      <c r="A501"/>
      <c r="C501"/>
      <c r="E501"/>
      <c r="F501"/>
    </row>
    <row r="502" spans="1:6" s="23" customFormat="1">
      <c r="A502"/>
      <c r="C502"/>
      <c r="E502"/>
      <c r="F502"/>
    </row>
    <row r="503" spans="1:6" s="23" customFormat="1">
      <c r="A503"/>
      <c r="C503"/>
      <c r="E503"/>
      <c r="F503"/>
    </row>
  </sheetData>
  <phoneticPr fontId="4" type="noConversion"/>
  <conditionalFormatting sqref="A2:A494">
    <cfRule type="cellIs" dxfId="68" priority="8" operator="equal">
      <formula>"生活周邊"</formula>
    </cfRule>
    <cfRule type="cellIs" dxfId="67" priority="9" operator="equal">
      <formula>"Mirafeel"</formula>
    </cfRule>
    <cfRule type="cellIs" dxfId="66" priority="10" operator="equal">
      <formula>"學習"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BC5A-324F-4C8F-9368-113FAA591433}">
  <sheetPr>
    <tabColor theme="5" tint="-0.249977111117893"/>
  </sheetPr>
  <dimension ref="A1:H699"/>
  <sheetViews>
    <sheetView topLeftCell="A41" workbookViewId="0">
      <selection activeCell="A4" sqref="A4"/>
    </sheetView>
  </sheetViews>
  <sheetFormatPr defaultRowHeight="15.75"/>
  <cols>
    <col min="1" max="1" width="9.5546875" bestFit="1" customWidth="1"/>
    <col min="2" max="2" width="14.21875" bestFit="1" customWidth="1"/>
    <col min="3" max="3" width="12.21875" bestFit="1" customWidth="1"/>
    <col min="4" max="4" width="15.44140625" bestFit="1" customWidth="1"/>
    <col min="5" max="5" width="17.109375" bestFit="1" customWidth="1"/>
    <col min="7" max="7" width="13.21875" style="30" bestFit="1" customWidth="1"/>
    <col min="8" max="8" width="10.109375" bestFit="1" customWidth="1"/>
  </cols>
  <sheetData>
    <row r="1" spans="1:8">
      <c r="B1" s="34" t="s">
        <v>63</v>
      </c>
      <c r="C1" s="34" t="s" vm="2">
        <v>362</v>
      </c>
      <c r="D1" s="27"/>
    </row>
    <row r="2" spans="1:8">
      <c r="D2" s="23"/>
      <c r="E2" s="23"/>
      <c r="H2" s="29"/>
    </row>
    <row r="3" spans="1:8">
      <c r="A3" t="s">
        <v>47</v>
      </c>
      <c r="B3" s="34" t="s">
        <v>68</v>
      </c>
      <c r="C3" s="34" t="s">
        <v>69</v>
      </c>
      <c r="D3" s="34" t="s">
        <v>320</v>
      </c>
      <c r="E3" s="34" t="s">
        <v>70</v>
      </c>
      <c r="F3" s="35" t="s">
        <v>348</v>
      </c>
      <c r="G3" s="31" t="s">
        <v>347</v>
      </c>
      <c r="H3" s="28" t="s">
        <v>346</v>
      </c>
    </row>
    <row r="4" spans="1:8">
      <c r="A4" t="str">
        <f>IFERROR(VLOOKUP(B4,[1]銷貨單品號主檔!$A:$D,4,0),"學習周邊")</f>
        <v>學習周邊</v>
      </c>
      <c r="B4" s="34" t="s">
        <v>311</v>
      </c>
      <c r="C4" s="34" t="s">
        <v>361</v>
      </c>
      <c r="D4" s="34" t="s">
        <v>319</v>
      </c>
      <c r="E4" s="36">
        <v>2</v>
      </c>
      <c r="F4" s="35">
        <v>0</v>
      </c>
      <c r="G4" s="30">
        <f>F4/1.05</f>
        <v>0</v>
      </c>
      <c r="H4" s="11">
        <f>IF(C4="","",TEXT(C4,"YYYY/M/D")*1)</f>
        <v>46143</v>
      </c>
    </row>
    <row r="5" spans="1:8">
      <c r="A5" t="str">
        <f>IFERROR(VLOOKUP(B5,[1]銷貨單品號主檔!$A:$D,4,0),"學習周邊")</f>
        <v>學習周邊</v>
      </c>
      <c r="B5" s="34" t="s">
        <v>311</v>
      </c>
      <c r="C5" s="34" t="s">
        <v>374</v>
      </c>
      <c r="D5" s="34" t="s">
        <v>319</v>
      </c>
      <c r="E5" s="36">
        <v>2</v>
      </c>
      <c r="F5" s="35">
        <v>0</v>
      </c>
      <c r="G5" s="30">
        <f t="shared" ref="G5:G68" si="0">F5/1.05</f>
        <v>0</v>
      </c>
      <c r="H5" s="11">
        <f t="shared" ref="H5:H68" si="1">IF(C5="","",TEXT(C5,"YYYY/M/D")*1)</f>
        <v>46146</v>
      </c>
    </row>
    <row r="6" spans="1:8">
      <c r="A6" t="str">
        <f>IFERROR(VLOOKUP(B6,[1]銷貨單品號主檔!$A:$D,4,0),"學習周邊")</f>
        <v>學習周邊</v>
      </c>
      <c r="B6" s="34" t="s">
        <v>84</v>
      </c>
      <c r="C6" s="34" t="s">
        <v>374</v>
      </c>
      <c r="D6" s="34" t="s">
        <v>319</v>
      </c>
      <c r="E6" s="36">
        <v>1</v>
      </c>
      <c r="F6" s="35">
        <v>0</v>
      </c>
      <c r="G6" s="30">
        <f t="shared" si="0"/>
        <v>0</v>
      </c>
      <c r="H6" s="11">
        <f t="shared" si="1"/>
        <v>46146</v>
      </c>
    </row>
    <row r="7" spans="1:8">
      <c r="A7" t="str">
        <f>IFERROR(VLOOKUP(B7,[1]銷貨單品號主檔!$A:$D,4,0),"學習周邊")</f>
        <v>學習</v>
      </c>
      <c r="B7" s="34" t="s">
        <v>383</v>
      </c>
      <c r="C7" s="34" t="s">
        <v>384</v>
      </c>
      <c r="D7" s="34" t="s">
        <v>319</v>
      </c>
      <c r="E7" s="36">
        <v>1</v>
      </c>
      <c r="F7" s="35">
        <v>800</v>
      </c>
      <c r="G7" s="30">
        <f t="shared" si="0"/>
        <v>761.90476190476193</v>
      </c>
      <c r="H7" s="11">
        <f t="shared" si="1"/>
        <v>46148</v>
      </c>
    </row>
    <row r="8" spans="1:8">
      <c r="A8" t="str">
        <f>IFERROR(VLOOKUP(B8,[1]銷貨單品號主檔!$A:$D,4,0),"學習周邊")</f>
        <v>學習</v>
      </c>
      <c r="B8" s="34" t="s">
        <v>111</v>
      </c>
      <c r="C8" s="34" t="s">
        <v>374</v>
      </c>
      <c r="D8" s="34" t="s">
        <v>319</v>
      </c>
      <c r="E8" s="36">
        <v>1</v>
      </c>
      <c r="F8" s="35">
        <v>4500</v>
      </c>
      <c r="G8" s="30">
        <f t="shared" si="0"/>
        <v>4285.7142857142853</v>
      </c>
      <c r="H8" s="11">
        <f t="shared" si="1"/>
        <v>46146</v>
      </c>
    </row>
    <row r="9" spans="1:8">
      <c r="A9" t="str">
        <f>IFERROR(VLOOKUP(B9,[1]銷貨單品號主檔!$A:$D,4,0),"學習周邊")</f>
        <v>學習周邊</v>
      </c>
      <c r="B9" s="34" t="s">
        <v>115</v>
      </c>
      <c r="C9" s="34" t="s">
        <v>374</v>
      </c>
      <c r="D9" s="34" t="s">
        <v>319</v>
      </c>
      <c r="E9" s="36">
        <v>1</v>
      </c>
      <c r="F9" s="35">
        <v>0</v>
      </c>
      <c r="G9" s="30">
        <f t="shared" si="0"/>
        <v>0</v>
      </c>
      <c r="H9" s="11">
        <f t="shared" si="1"/>
        <v>46146</v>
      </c>
    </row>
    <row r="10" spans="1:8">
      <c r="A10" t="str">
        <f>IFERROR(VLOOKUP(B10,[1]銷貨單品號主檔!$A:$D,4,0),"學習周邊")</f>
        <v>學習周邊</v>
      </c>
      <c r="B10" s="34" t="s">
        <v>184</v>
      </c>
      <c r="C10" s="34" t="s">
        <v>374</v>
      </c>
      <c r="D10" s="34" t="s">
        <v>319</v>
      </c>
      <c r="E10" s="36">
        <v>2</v>
      </c>
      <c r="F10" s="35">
        <v>0</v>
      </c>
      <c r="G10" s="30">
        <f t="shared" si="0"/>
        <v>0</v>
      </c>
      <c r="H10" s="11">
        <f t="shared" si="1"/>
        <v>46146</v>
      </c>
    </row>
    <row r="11" spans="1:8">
      <c r="A11" t="str">
        <f>IFERROR(VLOOKUP(B11,[1]銷貨單品號主檔!$A:$D,4,0),"學習周邊")</f>
        <v>學習</v>
      </c>
      <c r="B11" s="34" t="s">
        <v>133</v>
      </c>
      <c r="C11" s="34" t="s">
        <v>374</v>
      </c>
      <c r="D11" s="34" t="s">
        <v>319</v>
      </c>
      <c r="E11" s="36">
        <v>3</v>
      </c>
      <c r="F11" s="35">
        <v>14400</v>
      </c>
      <c r="G11" s="30">
        <f t="shared" si="0"/>
        <v>13714.285714285714</v>
      </c>
      <c r="H11" s="11">
        <f t="shared" si="1"/>
        <v>46146</v>
      </c>
    </row>
    <row r="12" spans="1:8">
      <c r="A12" t="str">
        <f>IFERROR(VLOOKUP(B12,[1]銷貨單品號主檔!$A:$D,4,0),"學習周邊")</f>
        <v>學習</v>
      </c>
      <c r="B12" s="34" t="s">
        <v>133</v>
      </c>
      <c r="C12" s="34" t="s">
        <v>375</v>
      </c>
      <c r="D12" s="34" t="s">
        <v>319</v>
      </c>
      <c r="E12" s="36">
        <v>1</v>
      </c>
      <c r="F12" s="35">
        <v>4800</v>
      </c>
      <c r="G12" s="30">
        <f t="shared" si="0"/>
        <v>4571.4285714285716</v>
      </c>
      <c r="H12" s="11">
        <f t="shared" si="1"/>
        <v>46147</v>
      </c>
    </row>
    <row r="13" spans="1:8">
      <c r="A13" t="str">
        <f>IFERROR(VLOOKUP(B13,[1]銷貨單品號主檔!$A:$D,4,0),"學習周邊")</f>
        <v>學習</v>
      </c>
      <c r="B13" s="34" t="s">
        <v>133</v>
      </c>
      <c r="C13" s="34" t="s">
        <v>384</v>
      </c>
      <c r="D13" s="34" t="s">
        <v>319</v>
      </c>
      <c r="E13" s="36">
        <v>2</v>
      </c>
      <c r="F13" s="35">
        <v>9600</v>
      </c>
      <c r="G13" s="30">
        <f t="shared" si="0"/>
        <v>9142.8571428571431</v>
      </c>
      <c r="H13" s="11">
        <f t="shared" si="1"/>
        <v>46148</v>
      </c>
    </row>
    <row r="14" spans="1:8">
      <c r="A14" t="str">
        <f>IFERROR(VLOOKUP(B14,[1]銷貨單品號主檔!$A:$D,4,0),"學習周邊")</f>
        <v>學習周邊</v>
      </c>
      <c r="B14" s="34" t="s">
        <v>143</v>
      </c>
      <c r="C14" s="34" t="s">
        <v>361</v>
      </c>
      <c r="D14" s="34" t="s">
        <v>319</v>
      </c>
      <c r="E14" s="36">
        <v>1</v>
      </c>
      <c r="F14" s="35">
        <v>0</v>
      </c>
      <c r="G14" s="30">
        <f t="shared" si="0"/>
        <v>0</v>
      </c>
      <c r="H14" s="11">
        <f t="shared" si="1"/>
        <v>46143</v>
      </c>
    </row>
    <row r="15" spans="1:8">
      <c r="A15" t="str">
        <f>IFERROR(VLOOKUP(B15,[1]銷貨單品號主檔!$A:$D,4,0),"學習周邊")</f>
        <v>學習周邊</v>
      </c>
      <c r="B15" s="34" t="s">
        <v>143</v>
      </c>
      <c r="C15" s="34" t="s">
        <v>374</v>
      </c>
      <c r="D15" s="34" t="s">
        <v>319</v>
      </c>
      <c r="E15" s="36">
        <v>2</v>
      </c>
      <c r="F15" s="35">
        <v>0</v>
      </c>
      <c r="G15" s="30">
        <f t="shared" si="0"/>
        <v>0</v>
      </c>
      <c r="H15" s="11">
        <f t="shared" si="1"/>
        <v>46146</v>
      </c>
    </row>
    <row r="16" spans="1:8">
      <c r="A16" t="str">
        <f>IFERROR(VLOOKUP(B16,[1]銷貨單品號主檔!$A:$D,4,0),"學習周邊")</f>
        <v>學習周邊</v>
      </c>
      <c r="B16" s="34" t="s">
        <v>143</v>
      </c>
      <c r="C16" s="34" t="s">
        <v>375</v>
      </c>
      <c r="D16" s="34" t="s">
        <v>319</v>
      </c>
      <c r="E16" s="36">
        <v>1</v>
      </c>
      <c r="F16" s="35">
        <v>0</v>
      </c>
      <c r="G16" s="30">
        <f t="shared" si="0"/>
        <v>0</v>
      </c>
      <c r="H16" s="11">
        <f t="shared" si="1"/>
        <v>46147</v>
      </c>
    </row>
    <row r="17" spans="1:8">
      <c r="A17" t="str">
        <f>IFERROR(VLOOKUP(B17,[1]銷貨單品號主檔!$A:$D,4,0),"學習周邊")</f>
        <v>學習周邊</v>
      </c>
      <c r="B17" s="34" t="s">
        <v>161</v>
      </c>
      <c r="C17" s="34" t="s">
        <v>374</v>
      </c>
      <c r="D17" s="34" t="s">
        <v>319</v>
      </c>
      <c r="E17" s="36">
        <v>1</v>
      </c>
      <c r="F17" s="35">
        <v>0</v>
      </c>
      <c r="G17" s="30">
        <f t="shared" si="0"/>
        <v>0</v>
      </c>
      <c r="H17" s="11">
        <f t="shared" si="1"/>
        <v>46146</v>
      </c>
    </row>
    <row r="18" spans="1:8">
      <c r="A18" t="str">
        <f>IFERROR(VLOOKUP(B18,[1]銷貨單品號主檔!$A:$D,4,0),"學習周邊")</f>
        <v>學習周邊</v>
      </c>
      <c r="B18" s="34" t="s">
        <v>162</v>
      </c>
      <c r="C18" s="34" t="s">
        <v>374</v>
      </c>
      <c r="D18" s="34" t="s">
        <v>319</v>
      </c>
      <c r="E18" s="36">
        <v>1</v>
      </c>
      <c r="F18" s="35">
        <v>0</v>
      </c>
      <c r="G18" s="30">
        <f t="shared" si="0"/>
        <v>0</v>
      </c>
      <c r="H18" s="11">
        <f t="shared" si="1"/>
        <v>46146</v>
      </c>
    </row>
    <row r="19" spans="1:8">
      <c r="A19" t="str">
        <f>IFERROR(VLOOKUP(B19,[1]銷貨單品號主檔!$A:$D,4,0),"學習周邊")</f>
        <v>學習周邊</v>
      </c>
      <c r="B19" s="34" t="s">
        <v>163</v>
      </c>
      <c r="C19" s="34" t="s">
        <v>374</v>
      </c>
      <c r="D19" s="34" t="s">
        <v>319</v>
      </c>
      <c r="E19" s="36">
        <v>1</v>
      </c>
      <c r="F19" s="35">
        <v>0</v>
      </c>
      <c r="G19" s="30">
        <f t="shared" si="0"/>
        <v>0</v>
      </c>
      <c r="H19" s="11">
        <f t="shared" si="1"/>
        <v>46146</v>
      </c>
    </row>
    <row r="20" spans="1:8">
      <c r="A20" t="str">
        <f>IFERROR(VLOOKUP(B20,[1]銷貨單品號主檔!$A:$D,4,0),"學習周邊")</f>
        <v>學習周邊</v>
      </c>
      <c r="B20" s="34" t="s">
        <v>165</v>
      </c>
      <c r="C20" s="34" t="s">
        <v>374</v>
      </c>
      <c r="D20" s="34" t="s">
        <v>319</v>
      </c>
      <c r="E20" s="36">
        <v>2</v>
      </c>
      <c r="F20" s="35">
        <v>0</v>
      </c>
      <c r="G20" s="30">
        <f t="shared" si="0"/>
        <v>0</v>
      </c>
      <c r="H20" s="11">
        <f t="shared" si="1"/>
        <v>46146</v>
      </c>
    </row>
    <row r="21" spans="1:8">
      <c r="A21" t="str">
        <f>IFERROR(VLOOKUP(B21,[1]銷貨單品號主檔!$A:$D,4,0),"學習周邊")</f>
        <v>學習周邊</v>
      </c>
      <c r="B21" s="34" t="s">
        <v>165</v>
      </c>
      <c r="C21" s="34" t="s">
        <v>375</v>
      </c>
      <c r="D21" s="34" t="s">
        <v>319</v>
      </c>
      <c r="E21" s="36">
        <v>1</v>
      </c>
      <c r="F21" s="35">
        <v>0</v>
      </c>
      <c r="G21" s="30">
        <f t="shared" si="0"/>
        <v>0</v>
      </c>
      <c r="H21" s="11">
        <f t="shared" si="1"/>
        <v>46147</v>
      </c>
    </row>
    <row r="22" spans="1:8">
      <c r="A22" t="str">
        <f>IFERROR(VLOOKUP(B22,[1]銷貨單品號主檔!$A:$D,4,0),"學習周邊")</f>
        <v>學習</v>
      </c>
      <c r="B22" s="34" t="s">
        <v>145</v>
      </c>
      <c r="C22" s="34" t="s">
        <v>374</v>
      </c>
      <c r="D22" s="34" t="s">
        <v>319</v>
      </c>
      <c r="E22" s="36">
        <v>1</v>
      </c>
      <c r="F22" s="35">
        <v>4299</v>
      </c>
      <c r="G22" s="30">
        <f t="shared" si="0"/>
        <v>4094.2857142857142</v>
      </c>
      <c r="H22" s="11">
        <f t="shared" si="1"/>
        <v>46146</v>
      </c>
    </row>
    <row r="23" spans="1:8">
      <c r="A23" t="str">
        <f>IFERROR(VLOOKUP(B23,[1]銷貨單品號主檔!$A:$D,4,0),"學習周邊")</f>
        <v>學習周邊</v>
      </c>
      <c r="B23" s="34" t="s">
        <v>101</v>
      </c>
      <c r="C23" s="34" t="s">
        <v>375</v>
      </c>
      <c r="D23" s="34" t="s">
        <v>319</v>
      </c>
      <c r="E23" s="36">
        <v>1</v>
      </c>
      <c r="F23" s="35">
        <v>999</v>
      </c>
      <c r="G23" s="30">
        <f t="shared" si="0"/>
        <v>951.42857142857144</v>
      </c>
      <c r="H23" s="11">
        <f t="shared" si="1"/>
        <v>46147</v>
      </c>
    </row>
    <row r="24" spans="1:8">
      <c r="A24" t="str">
        <f>IFERROR(VLOOKUP(B24,[1]銷貨單品號主檔!$A:$D,4,0),"學習周邊")</f>
        <v>學習周邊</v>
      </c>
      <c r="B24" s="34" t="s">
        <v>120</v>
      </c>
      <c r="C24" s="34" t="s">
        <v>374</v>
      </c>
      <c r="D24" s="34" t="s">
        <v>319</v>
      </c>
      <c r="E24" s="36">
        <v>1</v>
      </c>
      <c r="F24" s="35">
        <v>699</v>
      </c>
      <c r="G24" s="30">
        <f t="shared" si="0"/>
        <v>665.71428571428567</v>
      </c>
      <c r="H24" s="11">
        <f t="shared" si="1"/>
        <v>46146</v>
      </c>
    </row>
    <row r="25" spans="1:8">
      <c r="A25" t="str">
        <f>IFERROR(VLOOKUP(B25,[1]銷貨單品號主檔!$A:$D,4,0),"學習周邊")</f>
        <v>Mirafeel</v>
      </c>
      <c r="B25" s="34" t="s">
        <v>188</v>
      </c>
      <c r="C25" s="34" t="s">
        <v>375</v>
      </c>
      <c r="D25" s="34" t="s">
        <v>319</v>
      </c>
      <c r="E25" s="36">
        <v>2</v>
      </c>
      <c r="F25" s="35">
        <v>2730</v>
      </c>
      <c r="G25" s="30">
        <f t="shared" si="0"/>
        <v>2600</v>
      </c>
      <c r="H25" s="11">
        <f t="shared" si="1"/>
        <v>46147</v>
      </c>
    </row>
    <row r="26" spans="1:8">
      <c r="A26" t="str">
        <f>IFERROR(VLOOKUP(B26,[1]銷貨單品號主檔!$A:$D,4,0),"學習周邊")</f>
        <v>Mirafeel</v>
      </c>
      <c r="B26" s="34" t="s">
        <v>189</v>
      </c>
      <c r="C26" s="34" t="s">
        <v>375</v>
      </c>
      <c r="D26" s="34" t="s">
        <v>319</v>
      </c>
      <c r="E26" s="36">
        <v>1</v>
      </c>
      <c r="F26" s="35">
        <v>1365</v>
      </c>
      <c r="G26" s="30">
        <f t="shared" si="0"/>
        <v>1300</v>
      </c>
      <c r="H26" s="11">
        <f t="shared" si="1"/>
        <v>46147</v>
      </c>
    </row>
    <row r="27" spans="1:8">
      <c r="A27" t="str">
        <f>IFERROR(VLOOKUP(B27,[1]銷貨單品號主檔!$A:$D,4,0),"學習周邊")</f>
        <v>Mirafeel</v>
      </c>
      <c r="B27" s="34" t="s">
        <v>280</v>
      </c>
      <c r="C27" s="34" t="s">
        <v>384</v>
      </c>
      <c r="D27" s="34" t="s">
        <v>319</v>
      </c>
      <c r="E27" s="36">
        <v>3</v>
      </c>
      <c r="F27" s="35">
        <v>5460</v>
      </c>
      <c r="G27" s="30">
        <f t="shared" si="0"/>
        <v>5200</v>
      </c>
      <c r="H27" s="11">
        <f t="shared" si="1"/>
        <v>46148</v>
      </c>
    </row>
    <row r="28" spans="1:8">
      <c r="A28" t="str">
        <f>IFERROR(VLOOKUP(B28,[1]銷貨單品號主檔!$A:$D,4,0),"學習周邊")</f>
        <v>學習</v>
      </c>
      <c r="B28" s="34" t="s">
        <v>118</v>
      </c>
      <c r="C28" s="34" t="s">
        <v>375</v>
      </c>
      <c r="D28" s="34" t="s">
        <v>319</v>
      </c>
      <c r="E28" s="36">
        <v>1</v>
      </c>
      <c r="F28" s="35">
        <v>2199</v>
      </c>
      <c r="G28" s="30">
        <f t="shared" si="0"/>
        <v>2094.2857142857142</v>
      </c>
      <c r="H28" s="11">
        <f t="shared" si="1"/>
        <v>46147</v>
      </c>
    </row>
    <row r="29" spans="1:8">
      <c r="A29" t="str">
        <f>IFERROR(VLOOKUP(B29,[1]銷貨單品號主檔!$A:$D,4,0),"學習周邊")</f>
        <v>學習</v>
      </c>
      <c r="B29" s="34" t="s">
        <v>141</v>
      </c>
      <c r="C29" s="34" t="s">
        <v>374</v>
      </c>
      <c r="D29" s="34" t="s">
        <v>319</v>
      </c>
      <c r="E29" s="36">
        <v>4</v>
      </c>
      <c r="F29" s="35">
        <v>19600</v>
      </c>
      <c r="G29" s="30">
        <f t="shared" si="0"/>
        <v>18666.666666666664</v>
      </c>
      <c r="H29" s="11">
        <f t="shared" si="1"/>
        <v>46146</v>
      </c>
    </row>
    <row r="30" spans="1:8">
      <c r="A30" t="str">
        <f>IFERROR(VLOOKUP(B30,[1]銷貨單品號主檔!$A:$D,4,0),"學習周邊")</f>
        <v>學習</v>
      </c>
      <c r="B30" s="34" t="s">
        <v>141</v>
      </c>
      <c r="C30" s="34" t="s">
        <v>375</v>
      </c>
      <c r="D30" s="34" t="s">
        <v>319</v>
      </c>
      <c r="E30" s="36">
        <v>3</v>
      </c>
      <c r="F30" s="35">
        <v>14700</v>
      </c>
      <c r="G30" s="30">
        <f t="shared" si="0"/>
        <v>14000</v>
      </c>
      <c r="H30" s="11">
        <f t="shared" si="1"/>
        <v>46147</v>
      </c>
    </row>
    <row r="31" spans="1:8">
      <c r="A31" t="str">
        <f>IFERROR(VLOOKUP(B31,[1]銷貨單品號主檔!$A:$D,4,0),"學習周邊")</f>
        <v>學習</v>
      </c>
      <c r="B31" s="34" t="s">
        <v>141</v>
      </c>
      <c r="C31" s="34" t="s">
        <v>384</v>
      </c>
      <c r="D31" s="34" t="s">
        <v>319</v>
      </c>
      <c r="E31" s="36">
        <v>3</v>
      </c>
      <c r="F31" s="35">
        <v>14700</v>
      </c>
      <c r="G31" s="30">
        <f t="shared" si="0"/>
        <v>14000</v>
      </c>
      <c r="H31" s="11">
        <f t="shared" si="1"/>
        <v>46148</v>
      </c>
    </row>
    <row r="32" spans="1:8">
      <c r="A32" t="str">
        <f>IFERROR(VLOOKUP(B32,[1]銷貨單品號主檔!$A:$D,4,0),"學習周邊")</f>
        <v>學習</v>
      </c>
      <c r="B32" s="34" t="s">
        <v>158</v>
      </c>
      <c r="C32" s="34" t="s">
        <v>361</v>
      </c>
      <c r="D32" s="34" t="s">
        <v>319</v>
      </c>
      <c r="E32" s="36">
        <v>2</v>
      </c>
      <c r="F32" s="35">
        <v>4798</v>
      </c>
      <c r="G32" s="30">
        <f t="shared" si="0"/>
        <v>4569.5238095238092</v>
      </c>
      <c r="H32" s="11">
        <f t="shared" si="1"/>
        <v>46143</v>
      </c>
    </row>
    <row r="33" spans="1:8">
      <c r="A33" t="str">
        <f>IFERROR(VLOOKUP(B33,[1]銷貨單品號主檔!$A:$D,4,0),"學習周邊")</f>
        <v>學習</v>
      </c>
      <c r="B33" s="34" t="s">
        <v>158</v>
      </c>
      <c r="C33" s="34" t="s">
        <v>374</v>
      </c>
      <c r="D33" s="34" t="s">
        <v>319</v>
      </c>
      <c r="E33" s="36">
        <v>4</v>
      </c>
      <c r="F33" s="35">
        <v>9596</v>
      </c>
      <c r="G33" s="30">
        <f t="shared" si="0"/>
        <v>9139.0476190476184</v>
      </c>
      <c r="H33" s="11">
        <f t="shared" si="1"/>
        <v>46146</v>
      </c>
    </row>
    <row r="34" spans="1:8">
      <c r="A34" t="str">
        <f>IFERROR(VLOOKUP(B34,[1]銷貨單品號主檔!$A:$D,4,0),"學習周邊")</f>
        <v>學習</v>
      </c>
      <c r="B34" s="34" t="s">
        <v>158</v>
      </c>
      <c r="C34" s="34" t="s">
        <v>375</v>
      </c>
      <c r="D34" s="34" t="s">
        <v>319</v>
      </c>
      <c r="E34" s="36">
        <v>2</v>
      </c>
      <c r="F34" s="35">
        <v>4798</v>
      </c>
      <c r="G34" s="30">
        <f t="shared" si="0"/>
        <v>4569.5238095238092</v>
      </c>
      <c r="H34" s="11">
        <f t="shared" si="1"/>
        <v>46147</v>
      </c>
    </row>
    <row r="35" spans="1:8">
      <c r="A35" t="str">
        <f>IFERROR(VLOOKUP(B35,[1]銷貨單品號主檔!$A:$D,4,0),"學習周邊")</f>
        <v>學習</v>
      </c>
      <c r="B35" s="34" t="s">
        <v>158</v>
      </c>
      <c r="C35" s="34" t="s">
        <v>384</v>
      </c>
      <c r="D35" s="34" t="s">
        <v>319</v>
      </c>
      <c r="E35" s="36">
        <v>4</v>
      </c>
      <c r="F35" s="35">
        <v>9596</v>
      </c>
      <c r="G35" s="30">
        <f t="shared" si="0"/>
        <v>9139.0476190476184</v>
      </c>
      <c r="H35" s="11">
        <f t="shared" si="1"/>
        <v>46148</v>
      </c>
    </row>
    <row r="36" spans="1:8">
      <c r="A36" t="str">
        <f>IFERROR(VLOOKUP(B36,[1]銷貨單品號主檔!$A:$D,4,0),"學習周邊")</f>
        <v>學習</v>
      </c>
      <c r="B36" s="34" t="s">
        <v>214</v>
      </c>
      <c r="C36" s="34" t="s">
        <v>374</v>
      </c>
      <c r="D36" s="34" t="s">
        <v>319</v>
      </c>
      <c r="E36" s="36">
        <v>4</v>
      </c>
      <c r="F36" s="35">
        <v>11996</v>
      </c>
      <c r="G36" s="30">
        <f t="shared" si="0"/>
        <v>11424.761904761905</v>
      </c>
      <c r="H36" s="11">
        <f t="shared" si="1"/>
        <v>46146</v>
      </c>
    </row>
    <row r="37" spans="1:8">
      <c r="A37" t="str">
        <f>IFERROR(VLOOKUP(B37,[1]銷貨單品號主檔!$A:$D,4,0),"學習周邊")</f>
        <v>學習</v>
      </c>
      <c r="B37" s="34" t="s">
        <v>214</v>
      </c>
      <c r="C37" s="34" t="s">
        <v>375</v>
      </c>
      <c r="D37" s="34" t="s">
        <v>319</v>
      </c>
      <c r="E37" s="36">
        <v>3</v>
      </c>
      <c r="F37" s="35">
        <v>8997</v>
      </c>
      <c r="G37" s="30">
        <f t="shared" si="0"/>
        <v>8568.5714285714275</v>
      </c>
      <c r="H37" s="11">
        <f t="shared" si="1"/>
        <v>46147</v>
      </c>
    </row>
    <row r="38" spans="1:8">
      <c r="A38" t="str">
        <f>IFERROR(VLOOKUP(B38,[1]銷貨單品號主檔!$A:$D,4,0),"學習周邊")</f>
        <v>學習</v>
      </c>
      <c r="B38" s="34" t="s">
        <v>214</v>
      </c>
      <c r="C38" s="34" t="s">
        <v>384</v>
      </c>
      <c r="D38" s="34" t="s">
        <v>319</v>
      </c>
      <c r="E38" s="36">
        <v>3</v>
      </c>
      <c r="F38" s="35">
        <v>8997</v>
      </c>
      <c r="G38" s="30">
        <f t="shared" si="0"/>
        <v>8568.5714285714275</v>
      </c>
      <c r="H38" s="11">
        <f t="shared" si="1"/>
        <v>46148</v>
      </c>
    </row>
    <row r="39" spans="1:8">
      <c r="A39" t="str">
        <f>IFERROR(VLOOKUP(B39,[1]銷貨單品號主檔!$A:$D,4,0),"學習周邊")</f>
        <v>學習</v>
      </c>
      <c r="B39" s="34" t="s">
        <v>222</v>
      </c>
      <c r="C39" s="34" t="s">
        <v>361</v>
      </c>
      <c r="D39" s="34" t="s">
        <v>319</v>
      </c>
      <c r="E39" s="36">
        <v>1</v>
      </c>
      <c r="F39" s="35">
        <v>3200</v>
      </c>
      <c r="G39" s="30">
        <f t="shared" si="0"/>
        <v>3047.6190476190477</v>
      </c>
      <c r="H39" s="11">
        <f t="shared" si="1"/>
        <v>46143</v>
      </c>
    </row>
    <row r="40" spans="1:8">
      <c r="A40" t="str">
        <f>IFERROR(VLOOKUP(B40,[1]銷貨單品號主檔!$A:$D,4,0),"學習周邊")</f>
        <v>學習</v>
      </c>
      <c r="B40" s="34" t="s">
        <v>222</v>
      </c>
      <c r="C40" s="34" t="s">
        <v>374</v>
      </c>
      <c r="D40" s="34" t="s">
        <v>319</v>
      </c>
      <c r="E40" s="36">
        <v>4</v>
      </c>
      <c r="F40" s="35">
        <v>12800</v>
      </c>
      <c r="G40" s="30">
        <f t="shared" si="0"/>
        <v>12190.476190476191</v>
      </c>
      <c r="H40" s="11">
        <f t="shared" si="1"/>
        <v>46146</v>
      </c>
    </row>
    <row r="41" spans="1:8">
      <c r="A41" t="str">
        <f>IFERROR(VLOOKUP(B41,[1]銷貨單品號主檔!$A:$D,4,0),"學習周邊")</f>
        <v>學習</v>
      </c>
      <c r="B41" s="34" t="s">
        <v>222</v>
      </c>
      <c r="C41" s="34" t="s">
        <v>375</v>
      </c>
      <c r="D41" s="34" t="s">
        <v>319</v>
      </c>
      <c r="E41" s="36">
        <v>8</v>
      </c>
      <c r="F41" s="35">
        <v>25600</v>
      </c>
      <c r="G41" s="30">
        <f t="shared" si="0"/>
        <v>24380.952380952382</v>
      </c>
      <c r="H41" s="11">
        <f t="shared" si="1"/>
        <v>46147</v>
      </c>
    </row>
    <row r="42" spans="1:8">
      <c r="A42" t="str">
        <f>IFERROR(VLOOKUP(B42,[1]銷貨單品號主檔!$A:$D,4,0),"學習周邊")</f>
        <v>學習</v>
      </c>
      <c r="B42" s="34" t="s">
        <v>222</v>
      </c>
      <c r="C42" s="34" t="s">
        <v>384</v>
      </c>
      <c r="D42" s="34" t="s">
        <v>319</v>
      </c>
      <c r="E42" s="36">
        <v>6</v>
      </c>
      <c r="F42" s="35">
        <v>19200</v>
      </c>
      <c r="G42" s="30">
        <f t="shared" si="0"/>
        <v>18285.714285714286</v>
      </c>
      <c r="H42" s="11">
        <f t="shared" si="1"/>
        <v>46148</v>
      </c>
    </row>
    <row r="43" spans="1:8">
      <c r="A43" t="str">
        <f>IFERROR(VLOOKUP(B43,[1]銷貨單品號主檔!$A:$D,4,0),"學習周邊")</f>
        <v>學習</v>
      </c>
      <c r="B43" s="34" t="s">
        <v>339</v>
      </c>
      <c r="C43" s="34" t="s">
        <v>384</v>
      </c>
      <c r="D43" s="34" t="s">
        <v>319</v>
      </c>
      <c r="E43" s="36">
        <v>1</v>
      </c>
      <c r="F43" s="35">
        <v>3300</v>
      </c>
      <c r="G43" s="30">
        <f t="shared" si="0"/>
        <v>3142.8571428571427</v>
      </c>
      <c r="H43" s="11">
        <f t="shared" si="1"/>
        <v>46148</v>
      </c>
    </row>
    <row r="44" spans="1:8">
      <c r="A44" t="str">
        <f>IFERROR(VLOOKUP(B44,[1]銷貨單品號主檔!$A:$D,4,0),"學習周邊")</f>
        <v>學習</v>
      </c>
      <c r="B44" s="34" t="s">
        <v>226</v>
      </c>
      <c r="C44" s="34" t="s">
        <v>384</v>
      </c>
      <c r="D44" s="34" t="s">
        <v>319</v>
      </c>
      <c r="E44" s="36">
        <v>1</v>
      </c>
      <c r="F44" s="35">
        <v>2400</v>
      </c>
      <c r="G44" s="30">
        <f t="shared" si="0"/>
        <v>2285.7142857142858</v>
      </c>
      <c r="H44" s="11">
        <f t="shared" si="1"/>
        <v>46148</v>
      </c>
    </row>
    <row r="45" spans="1:8">
      <c r="A45" t="str">
        <f>IFERROR(VLOOKUP(B45,[1]銷貨單品號主檔!$A:$D,4,0),"學習周邊")</f>
        <v>學習周邊</v>
      </c>
      <c r="B45" s="34" t="s">
        <v>55</v>
      </c>
      <c r="C45" s="34" t="s">
        <v>361</v>
      </c>
      <c r="D45" s="34" t="s">
        <v>319</v>
      </c>
      <c r="E45" s="36">
        <v>1</v>
      </c>
      <c r="F45" s="35">
        <v>199</v>
      </c>
      <c r="G45" s="30">
        <f t="shared" si="0"/>
        <v>189.52380952380952</v>
      </c>
      <c r="H45" s="11">
        <f t="shared" si="1"/>
        <v>46143</v>
      </c>
    </row>
    <row r="46" spans="1:8">
      <c r="A46" t="str">
        <f>IFERROR(VLOOKUP(B46,[1]銷貨單品號主檔!$A:$D,4,0),"學習周邊")</f>
        <v>學習周邊</v>
      </c>
      <c r="B46" s="34" t="s">
        <v>55</v>
      </c>
      <c r="C46" s="34" t="s">
        <v>374</v>
      </c>
      <c r="D46" s="34" t="s">
        <v>319</v>
      </c>
      <c r="E46" s="36">
        <v>3</v>
      </c>
      <c r="F46" s="35">
        <v>597</v>
      </c>
      <c r="G46" s="30">
        <f t="shared" si="0"/>
        <v>568.57142857142856</v>
      </c>
      <c r="H46" s="11">
        <f t="shared" si="1"/>
        <v>46146</v>
      </c>
    </row>
    <row r="47" spans="1:8">
      <c r="A47" t="str">
        <f>IFERROR(VLOOKUP(B47,[1]銷貨單品號主檔!$A:$D,4,0),"學習周邊")</f>
        <v>學習周邊</v>
      </c>
      <c r="B47" s="34" t="s">
        <v>55</v>
      </c>
      <c r="C47" s="34" t="s">
        <v>375</v>
      </c>
      <c r="D47" s="34" t="s">
        <v>319</v>
      </c>
      <c r="E47" s="36">
        <v>2</v>
      </c>
      <c r="F47" s="35">
        <v>398</v>
      </c>
      <c r="G47" s="30">
        <f t="shared" si="0"/>
        <v>379.04761904761904</v>
      </c>
      <c r="H47" s="11">
        <f t="shared" si="1"/>
        <v>46147</v>
      </c>
    </row>
    <row r="48" spans="1:8">
      <c r="A48" t="str">
        <f>IFERROR(VLOOKUP(B48,[1]銷貨單品號主檔!$A:$D,4,0),"學習周邊")</f>
        <v>學習周邊</v>
      </c>
      <c r="B48" s="34" t="s">
        <v>55</v>
      </c>
      <c r="C48" s="34" t="s">
        <v>384</v>
      </c>
      <c r="D48" s="34" t="s">
        <v>319</v>
      </c>
      <c r="E48" s="36">
        <v>2</v>
      </c>
      <c r="F48" s="35">
        <v>398</v>
      </c>
      <c r="G48" s="30">
        <f t="shared" si="0"/>
        <v>379.04761904761904</v>
      </c>
      <c r="H48" s="11">
        <f t="shared" si="1"/>
        <v>46148</v>
      </c>
    </row>
    <row r="49" spans="1:8">
      <c r="A49" t="str">
        <f>IFERROR(VLOOKUP(B49,[1]銷貨單品號主檔!$A:$D,4,0),"學習周邊")</f>
        <v>學習周邊</v>
      </c>
      <c r="B49" s="34" t="s">
        <v>228</v>
      </c>
      <c r="C49" s="34" t="s">
        <v>374</v>
      </c>
      <c r="D49" s="34" t="s">
        <v>319</v>
      </c>
      <c r="E49" s="36">
        <v>1</v>
      </c>
      <c r="F49" s="35">
        <v>5199</v>
      </c>
      <c r="G49" s="30">
        <f t="shared" si="0"/>
        <v>4951.4285714285716</v>
      </c>
      <c r="H49" s="11">
        <f t="shared" si="1"/>
        <v>46146</v>
      </c>
    </row>
    <row r="50" spans="1:8">
      <c r="A50" t="str">
        <f>IFERROR(VLOOKUP(B50,[1]銷貨單品號主檔!$A:$D,4,0),"學習周邊")</f>
        <v>生活周邊</v>
      </c>
      <c r="B50" s="34" t="s">
        <v>234</v>
      </c>
      <c r="C50" s="34" t="s">
        <v>384</v>
      </c>
      <c r="D50" s="34" t="s">
        <v>319</v>
      </c>
      <c r="E50" s="36">
        <v>1</v>
      </c>
      <c r="F50" s="35">
        <v>1099</v>
      </c>
      <c r="G50" s="30">
        <f t="shared" si="0"/>
        <v>1046.6666666666665</v>
      </c>
      <c r="H50" s="11">
        <f t="shared" si="1"/>
        <v>46148</v>
      </c>
    </row>
    <row r="51" spans="1:8">
      <c r="A51" t="str">
        <f>IFERROR(VLOOKUP(B51,[1]銷貨單品號主檔!$A:$D,4,0),"學習周邊")</f>
        <v>數位經典</v>
      </c>
      <c r="B51" s="34" t="s">
        <v>316</v>
      </c>
      <c r="C51" s="34" t="s">
        <v>374</v>
      </c>
      <c r="D51" s="34" t="s">
        <v>319</v>
      </c>
      <c r="E51" s="36">
        <v>1</v>
      </c>
      <c r="F51" s="35">
        <v>4788</v>
      </c>
      <c r="G51" s="30">
        <f t="shared" si="0"/>
        <v>4560</v>
      </c>
      <c r="H51" s="11">
        <f t="shared" si="1"/>
        <v>46146</v>
      </c>
    </row>
    <row r="52" spans="1:8">
      <c r="A52" t="str">
        <f>IFERROR(VLOOKUP(B52,[1]銷貨單品號主檔!$A:$D,4,0),"學習周邊")</f>
        <v>數位經典</v>
      </c>
      <c r="B52" s="34" t="s">
        <v>316</v>
      </c>
      <c r="C52" s="34" t="s">
        <v>384</v>
      </c>
      <c r="D52" s="34" t="s">
        <v>319</v>
      </c>
      <c r="E52" s="36">
        <v>2</v>
      </c>
      <c r="F52" s="35">
        <v>9576</v>
      </c>
      <c r="G52" s="30">
        <f t="shared" si="0"/>
        <v>9120</v>
      </c>
      <c r="H52" s="11">
        <f t="shared" si="1"/>
        <v>46148</v>
      </c>
    </row>
    <row r="53" spans="1:8">
      <c r="A53" t="str">
        <f>IFERROR(VLOOKUP(B53,[1]銷貨單品號主檔!$A:$D,4,0),"學習周邊")</f>
        <v>學習周邊</v>
      </c>
      <c r="B53" s="34" t="s">
        <v>229</v>
      </c>
      <c r="C53" s="34" t="s">
        <v>384</v>
      </c>
      <c r="D53" s="34" t="s">
        <v>319</v>
      </c>
      <c r="E53" s="36">
        <v>1</v>
      </c>
      <c r="F53" s="35">
        <v>399</v>
      </c>
      <c r="G53" s="30">
        <f t="shared" si="0"/>
        <v>380</v>
      </c>
      <c r="H53" s="11">
        <f t="shared" si="1"/>
        <v>46148</v>
      </c>
    </row>
    <row r="54" spans="1:8">
      <c r="A54" t="str">
        <f>IFERROR(VLOOKUP(B54,[1]銷貨單品號主檔!$A:$D,4,0),"學習周邊")</f>
        <v>學習</v>
      </c>
      <c r="B54" s="34" t="s">
        <v>376</v>
      </c>
      <c r="C54" s="34" t="s">
        <v>375</v>
      </c>
      <c r="D54" s="34" t="s">
        <v>319</v>
      </c>
      <c r="E54" s="36">
        <v>6</v>
      </c>
      <c r="F54" s="35">
        <v>35994</v>
      </c>
      <c r="G54" s="30">
        <f t="shared" si="0"/>
        <v>34280</v>
      </c>
      <c r="H54" s="11">
        <f t="shared" si="1"/>
        <v>46147</v>
      </c>
    </row>
    <row r="55" spans="1:8">
      <c r="A55" t="str">
        <f>IFERROR(VLOOKUP(B55,[1]銷貨單品號主檔!$A:$D,4,0),"學習周邊")</f>
        <v>學習</v>
      </c>
      <c r="B55" s="34" t="s">
        <v>376</v>
      </c>
      <c r="C55" s="34" t="s">
        <v>384</v>
      </c>
      <c r="D55" s="34" t="s">
        <v>319</v>
      </c>
      <c r="E55" s="36">
        <v>3</v>
      </c>
      <c r="F55" s="35">
        <v>17997</v>
      </c>
      <c r="G55" s="30">
        <f t="shared" si="0"/>
        <v>17140</v>
      </c>
      <c r="H55" s="11">
        <f t="shared" si="1"/>
        <v>46148</v>
      </c>
    </row>
    <row r="56" spans="1:8">
      <c r="A56" t="str">
        <f>IFERROR(VLOOKUP(B56,[1]銷貨單品號主檔!$A:$D,4,0),"學習周邊")</f>
        <v>生活周邊</v>
      </c>
      <c r="B56" s="34" t="s">
        <v>230</v>
      </c>
      <c r="C56" s="34" t="s">
        <v>384</v>
      </c>
      <c r="D56" s="34" t="s">
        <v>319</v>
      </c>
      <c r="E56" s="36">
        <v>1</v>
      </c>
      <c r="F56" s="35">
        <v>1199</v>
      </c>
      <c r="G56" s="30">
        <f t="shared" si="0"/>
        <v>1141.9047619047619</v>
      </c>
      <c r="H56" s="11">
        <f t="shared" si="1"/>
        <v>46148</v>
      </c>
    </row>
    <row r="57" spans="1:8">
      <c r="A57" t="str">
        <f>IFERROR(VLOOKUP(B57,[1]銷貨單品號主檔!$A:$D,4,0),"學習周邊")</f>
        <v>生活周邊</v>
      </c>
      <c r="B57" s="34" t="s">
        <v>231</v>
      </c>
      <c r="C57" s="34" t="s">
        <v>374</v>
      </c>
      <c r="D57" s="34" t="s">
        <v>319</v>
      </c>
      <c r="E57" s="36">
        <v>1</v>
      </c>
      <c r="F57" s="35">
        <v>1099</v>
      </c>
      <c r="G57" s="30">
        <f t="shared" si="0"/>
        <v>1046.6666666666665</v>
      </c>
      <c r="H57" s="11">
        <f t="shared" si="1"/>
        <v>46146</v>
      </c>
    </row>
    <row r="58" spans="1:8">
      <c r="A58" t="str">
        <f>IFERROR(VLOOKUP(B58,[1]銷貨單品號主檔!$A:$D,4,0),"學習周邊")</f>
        <v>生活周邊</v>
      </c>
      <c r="B58" s="34" t="s">
        <v>231</v>
      </c>
      <c r="C58" s="34" t="s">
        <v>375</v>
      </c>
      <c r="D58" s="34" t="s">
        <v>319</v>
      </c>
      <c r="E58" s="36">
        <v>1</v>
      </c>
      <c r="F58" s="35">
        <v>1099</v>
      </c>
      <c r="G58" s="30">
        <f t="shared" si="0"/>
        <v>1046.6666666666665</v>
      </c>
      <c r="H58" s="11">
        <f t="shared" si="1"/>
        <v>46147</v>
      </c>
    </row>
    <row r="59" spans="1:8">
      <c r="A59" t="str">
        <f>IFERROR(VLOOKUP(B59,[1]銷貨單品號主檔!$A:$D,4,0),"學習周邊")</f>
        <v>生活周邊</v>
      </c>
      <c r="B59" s="34" t="s">
        <v>231</v>
      </c>
      <c r="C59" s="34" t="s">
        <v>384</v>
      </c>
      <c r="D59" s="34" t="s">
        <v>319</v>
      </c>
      <c r="E59" s="36">
        <v>1</v>
      </c>
      <c r="F59" s="35">
        <v>1099</v>
      </c>
      <c r="G59" s="30">
        <f t="shared" si="0"/>
        <v>1046.6666666666665</v>
      </c>
      <c r="H59" s="11">
        <f t="shared" si="1"/>
        <v>46148</v>
      </c>
    </row>
    <row r="60" spans="1:8">
      <c r="A60" t="str">
        <f>IFERROR(VLOOKUP(B60,[1]銷貨單品號主檔!$A:$D,4,0),"學習周邊")</f>
        <v>生活周邊</v>
      </c>
      <c r="B60" s="34" t="s">
        <v>235</v>
      </c>
      <c r="C60" s="34" t="s">
        <v>384</v>
      </c>
      <c r="D60" s="34" t="s">
        <v>319</v>
      </c>
      <c r="E60" s="36">
        <v>1</v>
      </c>
      <c r="F60" s="35">
        <v>1780</v>
      </c>
      <c r="G60" s="30">
        <f t="shared" si="0"/>
        <v>1695.2380952380952</v>
      </c>
      <c r="H60" s="11">
        <f t="shared" si="1"/>
        <v>46148</v>
      </c>
    </row>
    <row r="61" spans="1:8">
      <c r="A61" t="str">
        <f>IFERROR(VLOOKUP(B61,[1]銷貨單品號主檔!$A:$D,4,0),"學習周邊")</f>
        <v>學習周邊</v>
      </c>
      <c r="B61" s="34" t="s">
        <v>237</v>
      </c>
      <c r="C61" s="34" t="s">
        <v>384</v>
      </c>
      <c r="D61" s="34" t="s">
        <v>319</v>
      </c>
      <c r="E61" s="36">
        <v>1</v>
      </c>
      <c r="F61" s="35">
        <v>0</v>
      </c>
      <c r="G61" s="30">
        <f t="shared" si="0"/>
        <v>0</v>
      </c>
      <c r="H61" s="11">
        <f t="shared" si="1"/>
        <v>46148</v>
      </c>
    </row>
    <row r="62" spans="1:8">
      <c r="A62">
        <f>IFERROR(VLOOKUP(B62,[1]銷貨單品號主檔!$A:$D,4,0),"學習周邊")</f>
        <v>0</v>
      </c>
      <c r="G62" s="30">
        <f t="shared" si="0"/>
        <v>0</v>
      </c>
      <c r="H62" s="11" t="str">
        <f t="shared" si="1"/>
        <v/>
      </c>
    </row>
    <row r="63" spans="1:8">
      <c r="A63">
        <f>IFERROR(VLOOKUP(B63,[1]銷貨單品號主檔!$A:$D,4,0),"學習周邊")</f>
        <v>0</v>
      </c>
      <c r="G63" s="30">
        <f t="shared" si="0"/>
        <v>0</v>
      </c>
      <c r="H63" s="11" t="str">
        <f t="shared" si="1"/>
        <v/>
      </c>
    </row>
    <row r="64" spans="1:8">
      <c r="A64">
        <f>IFERROR(VLOOKUP(B64,[1]銷貨單品號主檔!$A:$D,4,0),"學習周邊")</f>
        <v>0</v>
      </c>
      <c r="G64" s="30">
        <f t="shared" si="0"/>
        <v>0</v>
      </c>
      <c r="H64" s="11" t="str">
        <f t="shared" si="1"/>
        <v/>
      </c>
    </row>
    <row r="65" spans="1:8">
      <c r="A65">
        <f>IFERROR(VLOOKUP(B65,[1]銷貨單品號主檔!$A:$D,4,0),"學習周邊")</f>
        <v>0</v>
      </c>
      <c r="G65" s="30">
        <f t="shared" si="0"/>
        <v>0</v>
      </c>
      <c r="H65" s="11" t="str">
        <f t="shared" si="1"/>
        <v/>
      </c>
    </row>
    <row r="66" spans="1:8">
      <c r="A66">
        <f>IFERROR(VLOOKUP(B66,[1]銷貨單品號主檔!$A:$D,4,0),"學習周邊")</f>
        <v>0</v>
      </c>
      <c r="G66" s="30">
        <f t="shared" si="0"/>
        <v>0</v>
      </c>
      <c r="H66" s="11" t="str">
        <f t="shared" si="1"/>
        <v/>
      </c>
    </row>
    <row r="67" spans="1:8">
      <c r="A67">
        <f>IFERROR(VLOOKUP(B67,[1]銷貨單品號主檔!$A:$D,4,0),"學習周邊")</f>
        <v>0</v>
      </c>
      <c r="G67" s="30">
        <f t="shared" si="0"/>
        <v>0</v>
      </c>
      <c r="H67" s="11" t="str">
        <f t="shared" si="1"/>
        <v/>
      </c>
    </row>
    <row r="68" spans="1:8">
      <c r="A68">
        <f>IFERROR(VLOOKUP(B68,[1]銷貨單品號主檔!$A:$D,4,0),"學習周邊")</f>
        <v>0</v>
      </c>
      <c r="G68" s="30">
        <f t="shared" si="0"/>
        <v>0</v>
      </c>
      <c r="H68" s="11" t="str">
        <f t="shared" si="1"/>
        <v/>
      </c>
    </row>
    <row r="69" spans="1:8">
      <c r="A69">
        <f>IFERROR(VLOOKUP(B69,[1]銷貨單品號主檔!$A:$D,4,0),"學習周邊")</f>
        <v>0</v>
      </c>
      <c r="G69" s="30">
        <f t="shared" ref="G69:G132" si="2">F69/1.05</f>
        <v>0</v>
      </c>
      <c r="H69" s="11" t="str">
        <f t="shared" ref="H69:H132" si="3">IF(C69="","",TEXT(C69,"YYYY/M/D")*1)</f>
        <v/>
      </c>
    </row>
    <row r="70" spans="1:8">
      <c r="A70">
        <f>IFERROR(VLOOKUP(B70,[1]銷貨單品號主檔!$A:$D,4,0),"學習周邊")</f>
        <v>0</v>
      </c>
      <c r="G70" s="30">
        <f t="shared" si="2"/>
        <v>0</v>
      </c>
      <c r="H70" s="11" t="str">
        <f t="shared" si="3"/>
        <v/>
      </c>
    </row>
    <row r="71" spans="1:8">
      <c r="A71">
        <f>IFERROR(VLOOKUP(B71,[1]銷貨單品號主檔!$A:$D,4,0),"學習周邊")</f>
        <v>0</v>
      </c>
      <c r="G71" s="30">
        <f t="shared" si="2"/>
        <v>0</v>
      </c>
      <c r="H71" s="11" t="str">
        <f t="shared" si="3"/>
        <v/>
      </c>
    </row>
    <row r="72" spans="1:8">
      <c r="A72">
        <f>IFERROR(VLOOKUP(B72,[1]銷貨單品號主檔!$A:$D,4,0),"學習周邊")</f>
        <v>0</v>
      </c>
      <c r="G72" s="30">
        <f t="shared" si="2"/>
        <v>0</v>
      </c>
      <c r="H72" s="11" t="str">
        <f t="shared" si="3"/>
        <v/>
      </c>
    </row>
    <row r="73" spans="1:8">
      <c r="A73">
        <f>IFERROR(VLOOKUP(B73,[1]銷貨單品號主檔!$A:$D,4,0),"學習周邊")</f>
        <v>0</v>
      </c>
      <c r="G73" s="30">
        <f t="shared" si="2"/>
        <v>0</v>
      </c>
      <c r="H73" s="11" t="str">
        <f t="shared" si="3"/>
        <v/>
      </c>
    </row>
    <row r="74" spans="1:8">
      <c r="A74">
        <f>IFERROR(VLOOKUP(B74,[1]銷貨單品號主檔!$A:$D,4,0),"學習周邊")</f>
        <v>0</v>
      </c>
      <c r="G74" s="30">
        <f t="shared" si="2"/>
        <v>0</v>
      </c>
      <c r="H74" s="11" t="str">
        <f t="shared" si="3"/>
        <v/>
      </c>
    </row>
    <row r="75" spans="1:8">
      <c r="A75">
        <f>IFERROR(VLOOKUP(B75,[1]銷貨單品號主檔!$A:$D,4,0),"學習周邊")</f>
        <v>0</v>
      </c>
      <c r="G75" s="30">
        <f t="shared" si="2"/>
        <v>0</v>
      </c>
      <c r="H75" s="11" t="str">
        <f t="shared" si="3"/>
        <v/>
      </c>
    </row>
    <row r="76" spans="1:8">
      <c r="A76">
        <f>IFERROR(VLOOKUP(B76,[1]銷貨單品號主檔!$A:$D,4,0),"學習周邊")</f>
        <v>0</v>
      </c>
      <c r="G76" s="30">
        <f t="shared" si="2"/>
        <v>0</v>
      </c>
      <c r="H76" s="11" t="str">
        <f t="shared" si="3"/>
        <v/>
      </c>
    </row>
    <row r="77" spans="1:8">
      <c r="A77">
        <f>IFERROR(VLOOKUP(B77,[1]銷貨單品號主檔!$A:$D,4,0),"學習周邊")</f>
        <v>0</v>
      </c>
      <c r="G77" s="30">
        <f t="shared" si="2"/>
        <v>0</v>
      </c>
      <c r="H77" s="11" t="str">
        <f t="shared" si="3"/>
        <v/>
      </c>
    </row>
    <row r="78" spans="1:8">
      <c r="A78">
        <f>IFERROR(VLOOKUP(B78,[1]銷貨單品號主檔!$A:$D,4,0),"學習周邊")</f>
        <v>0</v>
      </c>
      <c r="G78" s="30">
        <f t="shared" si="2"/>
        <v>0</v>
      </c>
      <c r="H78" s="11" t="str">
        <f t="shared" si="3"/>
        <v/>
      </c>
    </row>
    <row r="79" spans="1:8">
      <c r="A79">
        <f>IFERROR(VLOOKUP(B79,[1]銷貨單品號主檔!$A:$D,4,0),"學習周邊")</f>
        <v>0</v>
      </c>
      <c r="G79" s="30">
        <f t="shared" si="2"/>
        <v>0</v>
      </c>
      <c r="H79" s="11" t="str">
        <f t="shared" si="3"/>
        <v/>
      </c>
    </row>
    <row r="80" spans="1:8">
      <c r="A80">
        <f>IFERROR(VLOOKUP(B80,[1]銷貨單品號主檔!$A:$D,4,0),"學習周邊")</f>
        <v>0</v>
      </c>
      <c r="G80" s="30">
        <f t="shared" si="2"/>
        <v>0</v>
      </c>
      <c r="H80" s="11" t="str">
        <f t="shared" si="3"/>
        <v/>
      </c>
    </row>
    <row r="81" spans="1:8">
      <c r="A81">
        <f>IFERROR(VLOOKUP(B81,[1]銷貨單品號主檔!$A:$D,4,0),"學習周邊")</f>
        <v>0</v>
      </c>
      <c r="G81" s="30">
        <f t="shared" si="2"/>
        <v>0</v>
      </c>
      <c r="H81" s="11" t="str">
        <f t="shared" si="3"/>
        <v/>
      </c>
    </row>
    <row r="82" spans="1:8">
      <c r="A82">
        <f>IFERROR(VLOOKUP(B82,[1]銷貨單品號主檔!$A:$D,4,0),"學習周邊")</f>
        <v>0</v>
      </c>
      <c r="G82" s="30">
        <f t="shared" si="2"/>
        <v>0</v>
      </c>
      <c r="H82" s="11" t="str">
        <f t="shared" si="3"/>
        <v/>
      </c>
    </row>
    <row r="83" spans="1:8">
      <c r="A83">
        <f>IFERROR(VLOOKUP(B83,[1]銷貨單品號主檔!$A:$D,4,0),"學習周邊")</f>
        <v>0</v>
      </c>
      <c r="G83" s="30">
        <f t="shared" si="2"/>
        <v>0</v>
      </c>
      <c r="H83" s="11" t="str">
        <f t="shared" si="3"/>
        <v/>
      </c>
    </row>
    <row r="84" spans="1:8">
      <c r="A84">
        <f>IFERROR(VLOOKUP(B84,[1]銷貨單品號主檔!$A:$D,4,0),"學習周邊")</f>
        <v>0</v>
      </c>
      <c r="G84" s="30">
        <f t="shared" si="2"/>
        <v>0</v>
      </c>
      <c r="H84" s="11" t="str">
        <f t="shared" si="3"/>
        <v/>
      </c>
    </row>
    <row r="85" spans="1:8">
      <c r="A85">
        <f>IFERROR(VLOOKUP(B85,[1]銷貨單品號主檔!$A:$D,4,0),"學習周邊")</f>
        <v>0</v>
      </c>
      <c r="G85" s="30">
        <f t="shared" si="2"/>
        <v>0</v>
      </c>
      <c r="H85" s="11" t="str">
        <f t="shared" si="3"/>
        <v/>
      </c>
    </row>
    <row r="86" spans="1:8">
      <c r="A86">
        <f>IFERROR(VLOOKUP(B86,[1]銷貨單品號主檔!$A:$D,4,0),"學習周邊")</f>
        <v>0</v>
      </c>
      <c r="G86" s="30">
        <f t="shared" si="2"/>
        <v>0</v>
      </c>
      <c r="H86" s="11" t="str">
        <f t="shared" si="3"/>
        <v/>
      </c>
    </row>
    <row r="87" spans="1:8">
      <c r="A87">
        <f>IFERROR(VLOOKUP(B87,[1]銷貨單品號主檔!$A:$D,4,0),"學習周邊")</f>
        <v>0</v>
      </c>
      <c r="G87" s="30">
        <f t="shared" si="2"/>
        <v>0</v>
      </c>
      <c r="H87" s="11" t="str">
        <f t="shared" si="3"/>
        <v/>
      </c>
    </row>
    <row r="88" spans="1:8">
      <c r="A88">
        <f>IFERROR(VLOOKUP(B88,[1]銷貨單品號主檔!$A:$D,4,0),"學習周邊")</f>
        <v>0</v>
      </c>
      <c r="G88" s="30">
        <f t="shared" si="2"/>
        <v>0</v>
      </c>
      <c r="H88" s="11" t="str">
        <f t="shared" si="3"/>
        <v/>
      </c>
    </row>
    <row r="89" spans="1:8">
      <c r="A89">
        <f>IFERROR(VLOOKUP(B89,[1]銷貨單品號主檔!$A:$D,4,0),"學習周邊")</f>
        <v>0</v>
      </c>
      <c r="G89" s="30">
        <f t="shared" si="2"/>
        <v>0</v>
      </c>
      <c r="H89" s="11" t="str">
        <f t="shared" si="3"/>
        <v/>
      </c>
    </row>
    <row r="90" spans="1:8">
      <c r="A90">
        <f>IFERROR(VLOOKUP(B90,[1]銷貨單品號主檔!$A:$D,4,0),"學習周邊")</f>
        <v>0</v>
      </c>
      <c r="G90" s="30">
        <f t="shared" si="2"/>
        <v>0</v>
      </c>
      <c r="H90" s="11" t="str">
        <f t="shared" si="3"/>
        <v/>
      </c>
    </row>
    <row r="91" spans="1:8">
      <c r="A91">
        <f>IFERROR(VLOOKUP(B91,[1]銷貨單品號主檔!$A:$D,4,0),"學習周邊")</f>
        <v>0</v>
      </c>
      <c r="G91" s="30">
        <f t="shared" si="2"/>
        <v>0</v>
      </c>
      <c r="H91" s="11" t="str">
        <f t="shared" si="3"/>
        <v/>
      </c>
    </row>
    <row r="92" spans="1:8">
      <c r="A92">
        <f>IFERROR(VLOOKUP(B92,[1]銷貨單品號主檔!$A:$D,4,0),"學習周邊")</f>
        <v>0</v>
      </c>
      <c r="G92" s="30">
        <f t="shared" si="2"/>
        <v>0</v>
      </c>
      <c r="H92" s="11" t="str">
        <f t="shared" si="3"/>
        <v/>
      </c>
    </row>
    <row r="93" spans="1:8">
      <c r="A93">
        <f>IFERROR(VLOOKUP(B93,[1]銷貨單品號主檔!$A:$D,4,0),"學習周邊")</f>
        <v>0</v>
      </c>
      <c r="G93" s="30">
        <f t="shared" si="2"/>
        <v>0</v>
      </c>
      <c r="H93" s="11" t="str">
        <f t="shared" si="3"/>
        <v/>
      </c>
    </row>
    <row r="94" spans="1:8">
      <c r="A94">
        <f>IFERROR(VLOOKUP(B94,[1]銷貨單品號主檔!$A:$D,4,0),"學習周邊")</f>
        <v>0</v>
      </c>
      <c r="G94" s="30">
        <f t="shared" si="2"/>
        <v>0</v>
      </c>
      <c r="H94" s="11" t="str">
        <f t="shared" si="3"/>
        <v/>
      </c>
    </row>
    <row r="95" spans="1:8">
      <c r="A95">
        <f>IFERROR(VLOOKUP(B95,[1]銷貨單品號主檔!$A:$D,4,0),"學習周邊")</f>
        <v>0</v>
      </c>
      <c r="G95" s="30">
        <f t="shared" si="2"/>
        <v>0</v>
      </c>
      <c r="H95" s="11" t="str">
        <f t="shared" si="3"/>
        <v/>
      </c>
    </row>
    <row r="96" spans="1:8">
      <c r="A96">
        <f>IFERROR(VLOOKUP(B96,[1]銷貨單品號主檔!$A:$D,4,0),"學習周邊")</f>
        <v>0</v>
      </c>
      <c r="G96" s="30">
        <f t="shared" si="2"/>
        <v>0</v>
      </c>
      <c r="H96" s="11" t="str">
        <f t="shared" si="3"/>
        <v/>
      </c>
    </row>
    <row r="97" spans="1:8">
      <c r="A97">
        <f>IFERROR(VLOOKUP(B97,[1]銷貨單品號主檔!$A:$D,4,0),"學習周邊")</f>
        <v>0</v>
      </c>
      <c r="G97" s="30">
        <f t="shared" si="2"/>
        <v>0</v>
      </c>
      <c r="H97" s="11" t="str">
        <f t="shared" si="3"/>
        <v/>
      </c>
    </row>
    <row r="98" spans="1:8">
      <c r="A98">
        <f>IFERROR(VLOOKUP(B98,[1]銷貨單品號主檔!$A:$D,4,0),"學習周邊")</f>
        <v>0</v>
      </c>
      <c r="G98" s="30">
        <f t="shared" si="2"/>
        <v>0</v>
      </c>
      <c r="H98" s="11" t="str">
        <f t="shared" si="3"/>
        <v/>
      </c>
    </row>
    <row r="99" spans="1:8">
      <c r="A99">
        <f>IFERROR(VLOOKUP(B99,[1]銷貨單品號主檔!$A:$D,4,0),"學習周邊")</f>
        <v>0</v>
      </c>
      <c r="G99" s="30">
        <f t="shared" si="2"/>
        <v>0</v>
      </c>
      <c r="H99" s="11" t="str">
        <f t="shared" si="3"/>
        <v/>
      </c>
    </row>
    <row r="100" spans="1:8">
      <c r="A100">
        <f>IFERROR(VLOOKUP(B100,[1]銷貨單品號主檔!$A:$D,4,0),"學習周邊")</f>
        <v>0</v>
      </c>
      <c r="G100" s="30">
        <f t="shared" si="2"/>
        <v>0</v>
      </c>
      <c r="H100" s="11" t="str">
        <f t="shared" si="3"/>
        <v/>
      </c>
    </row>
    <row r="101" spans="1:8">
      <c r="A101">
        <f>IFERROR(VLOOKUP(B101,[1]銷貨單品號主檔!$A:$D,4,0),"學習周邊")</f>
        <v>0</v>
      </c>
      <c r="G101" s="30">
        <f t="shared" si="2"/>
        <v>0</v>
      </c>
      <c r="H101" s="11" t="str">
        <f t="shared" si="3"/>
        <v/>
      </c>
    </row>
    <row r="102" spans="1:8">
      <c r="A102">
        <f>IFERROR(VLOOKUP(B102,[1]銷貨單品號主檔!$A:$D,4,0),"學習周邊")</f>
        <v>0</v>
      </c>
      <c r="G102" s="30">
        <f t="shared" si="2"/>
        <v>0</v>
      </c>
      <c r="H102" s="11" t="str">
        <f t="shared" si="3"/>
        <v/>
      </c>
    </row>
    <row r="103" spans="1:8">
      <c r="A103">
        <f>IFERROR(VLOOKUP(B103,[1]銷貨單品號主檔!$A:$D,4,0),"學習周邊")</f>
        <v>0</v>
      </c>
      <c r="G103" s="30">
        <f t="shared" si="2"/>
        <v>0</v>
      </c>
      <c r="H103" s="11" t="str">
        <f t="shared" si="3"/>
        <v/>
      </c>
    </row>
    <row r="104" spans="1:8">
      <c r="A104">
        <f>IFERROR(VLOOKUP(B104,[1]銷貨單品號主檔!$A:$D,4,0),"學習周邊")</f>
        <v>0</v>
      </c>
      <c r="G104" s="30">
        <f t="shared" si="2"/>
        <v>0</v>
      </c>
      <c r="H104" s="11" t="str">
        <f t="shared" si="3"/>
        <v/>
      </c>
    </row>
    <row r="105" spans="1:8">
      <c r="A105">
        <f>IFERROR(VLOOKUP(B105,[1]銷貨單品號主檔!$A:$D,4,0),"學習周邊")</f>
        <v>0</v>
      </c>
      <c r="G105" s="30">
        <f t="shared" si="2"/>
        <v>0</v>
      </c>
      <c r="H105" s="11" t="str">
        <f t="shared" si="3"/>
        <v/>
      </c>
    </row>
    <row r="106" spans="1:8">
      <c r="A106">
        <f>IFERROR(VLOOKUP(B106,[1]銷貨單品號主檔!$A:$D,4,0),"學習周邊")</f>
        <v>0</v>
      </c>
      <c r="G106" s="30">
        <f t="shared" si="2"/>
        <v>0</v>
      </c>
      <c r="H106" s="11" t="str">
        <f t="shared" si="3"/>
        <v/>
      </c>
    </row>
    <row r="107" spans="1:8">
      <c r="A107">
        <f>IFERROR(VLOOKUP(B107,[1]銷貨單品號主檔!$A:$D,4,0),"學習周邊")</f>
        <v>0</v>
      </c>
      <c r="G107" s="30">
        <f t="shared" si="2"/>
        <v>0</v>
      </c>
      <c r="H107" s="11" t="str">
        <f t="shared" si="3"/>
        <v/>
      </c>
    </row>
    <row r="108" spans="1:8">
      <c r="A108">
        <f>IFERROR(VLOOKUP(B108,[1]銷貨單品號主檔!$A:$D,4,0),"學習周邊")</f>
        <v>0</v>
      </c>
      <c r="G108" s="30">
        <f t="shared" si="2"/>
        <v>0</v>
      </c>
      <c r="H108" s="11" t="str">
        <f t="shared" si="3"/>
        <v/>
      </c>
    </row>
    <row r="109" spans="1:8">
      <c r="A109">
        <f>IFERROR(VLOOKUP(B109,[1]銷貨單品號主檔!$A:$D,4,0),"學習周邊")</f>
        <v>0</v>
      </c>
      <c r="G109" s="30">
        <f t="shared" si="2"/>
        <v>0</v>
      </c>
      <c r="H109" s="11" t="str">
        <f t="shared" si="3"/>
        <v/>
      </c>
    </row>
    <row r="110" spans="1:8">
      <c r="A110">
        <f>IFERROR(VLOOKUP(B110,[1]銷貨單品號主檔!$A:$D,4,0),"學習周邊")</f>
        <v>0</v>
      </c>
      <c r="G110" s="30">
        <f t="shared" si="2"/>
        <v>0</v>
      </c>
      <c r="H110" s="11" t="str">
        <f t="shared" si="3"/>
        <v/>
      </c>
    </row>
    <row r="111" spans="1:8">
      <c r="A111">
        <f>IFERROR(VLOOKUP(B111,[1]銷貨單品號主檔!$A:$D,4,0),"學習周邊")</f>
        <v>0</v>
      </c>
      <c r="G111" s="30">
        <f t="shared" si="2"/>
        <v>0</v>
      </c>
      <c r="H111" s="11" t="str">
        <f t="shared" si="3"/>
        <v/>
      </c>
    </row>
    <row r="112" spans="1:8">
      <c r="A112">
        <f>IFERROR(VLOOKUP(B112,[1]銷貨單品號主檔!$A:$D,4,0),"學習周邊")</f>
        <v>0</v>
      </c>
      <c r="G112" s="30">
        <f t="shared" si="2"/>
        <v>0</v>
      </c>
      <c r="H112" s="11" t="str">
        <f t="shared" si="3"/>
        <v/>
      </c>
    </row>
    <row r="113" spans="1:8">
      <c r="A113">
        <f>IFERROR(VLOOKUP(B113,[1]銷貨單品號主檔!$A:$D,4,0),"學習周邊")</f>
        <v>0</v>
      </c>
      <c r="G113" s="30">
        <f t="shared" si="2"/>
        <v>0</v>
      </c>
      <c r="H113" s="11" t="str">
        <f t="shared" si="3"/>
        <v/>
      </c>
    </row>
    <row r="114" spans="1:8">
      <c r="A114">
        <f>IFERROR(VLOOKUP(B114,[1]銷貨單品號主檔!$A:$D,4,0),"學習周邊")</f>
        <v>0</v>
      </c>
      <c r="G114" s="30">
        <f t="shared" si="2"/>
        <v>0</v>
      </c>
      <c r="H114" s="11" t="str">
        <f t="shared" si="3"/>
        <v/>
      </c>
    </row>
    <row r="115" spans="1:8">
      <c r="A115">
        <f>IFERROR(VLOOKUP(B115,[1]銷貨單品號主檔!$A:$D,4,0),"學習周邊")</f>
        <v>0</v>
      </c>
      <c r="G115" s="30">
        <f t="shared" si="2"/>
        <v>0</v>
      </c>
      <c r="H115" s="11" t="str">
        <f t="shared" si="3"/>
        <v/>
      </c>
    </row>
    <row r="116" spans="1:8">
      <c r="A116">
        <f>IFERROR(VLOOKUP(B116,[1]銷貨單品號主檔!$A:$D,4,0),"學習周邊")</f>
        <v>0</v>
      </c>
      <c r="G116" s="30">
        <f t="shared" si="2"/>
        <v>0</v>
      </c>
      <c r="H116" s="11" t="str">
        <f t="shared" si="3"/>
        <v/>
      </c>
    </row>
    <row r="117" spans="1:8">
      <c r="A117">
        <f>IFERROR(VLOOKUP(B117,[1]銷貨單品號主檔!$A:$D,4,0),"學習周邊")</f>
        <v>0</v>
      </c>
      <c r="G117" s="30">
        <f t="shared" si="2"/>
        <v>0</v>
      </c>
      <c r="H117" s="11" t="str">
        <f t="shared" si="3"/>
        <v/>
      </c>
    </row>
    <row r="118" spans="1:8">
      <c r="A118">
        <f>IFERROR(VLOOKUP(B118,[1]銷貨單品號主檔!$A:$D,4,0),"學習周邊")</f>
        <v>0</v>
      </c>
      <c r="G118" s="30">
        <f t="shared" si="2"/>
        <v>0</v>
      </c>
      <c r="H118" s="11" t="str">
        <f t="shared" si="3"/>
        <v/>
      </c>
    </row>
    <row r="119" spans="1:8">
      <c r="A119">
        <f>IFERROR(VLOOKUP(B119,[1]銷貨單品號主檔!$A:$D,4,0),"學習周邊")</f>
        <v>0</v>
      </c>
      <c r="G119" s="30">
        <f t="shared" si="2"/>
        <v>0</v>
      </c>
      <c r="H119" s="11" t="str">
        <f t="shared" si="3"/>
        <v/>
      </c>
    </row>
    <row r="120" spans="1:8">
      <c r="A120">
        <f>IFERROR(VLOOKUP(B120,[1]銷貨單品號主檔!$A:$D,4,0),"學習周邊")</f>
        <v>0</v>
      </c>
      <c r="G120" s="30">
        <f t="shared" si="2"/>
        <v>0</v>
      </c>
      <c r="H120" s="11" t="str">
        <f t="shared" si="3"/>
        <v/>
      </c>
    </row>
    <row r="121" spans="1:8">
      <c r="A121">
        <f>IFERROR(VLOOKUP(B121,[1]銷貨單品號主檔!$A:$D,4,0),"學習周邊")</f>
        <v>0</v>
      </c>
      <c r="G121" s="30">
        <f t="shared" si="2"/>
        <v>0</v>
      </c>
      <c r="H121" s="11" t="str">
        <f t="shared" si="3"/>
        <v/>
      </c>
    </row>
    <row r="122" spans="1:8">
      <c r="A122">
        <f>IFERROR(VLOOKUP(B122,[1]銷貨單品號主檔!$A:$D,4,0),"學習周邊")</f>
        <v>0</v>
      </c>
      <c r="G122" s="30">
        <f t="shared" si="2"/>
        <v>0</v>
      </c>
      <c r="H122" s="11" t="str">
        <f t="shared" si="3"/>
        <v/>
      </c>
    </row>
    <row r="123" spans="1:8">
      <c r="A123">
        <f>IFERROR(VLOOKUP(B123,[1]銷貨單品號主檔!$A:$D,4,0),"學習周邊")</f>
        <v>0</v>
      </c>
      <c r="G123" s="30">
        <f t="shared" si="2"/>
        <v>0</v>
      </c>
      <c r="H123" s="11" t="str">
        <f t="shared" si="3"/>
        <v/>
      </c>
    </row>
    <row r="124" spans="1:8">
      <c r="A124">
        <f>IFERROR(VLOOKUP(B124,[1]銷貨單品號主檔!$A:$D,4,0),"學習周邊")</f>
        <v>0</v>
      </c>
      <c r="G124" s="30">
        <f t="shared" si="2"/>
        <v>0</v>
      </c>
      <c r="H124" s="11" t="str">
        <f t="shared" si="3"/>
        <v/>
      </c>
    </row>
    <row r="125" spans="1:8">
      <c r="A125">
        <f>IFERROR(VLOOKUP(B125,[1]銷貨單品號主檔!$A:$D,4,0),"學習周邊")</f>
        <v>0</v>
      </c>
      <c r="G125" s="30">
        <f t="shared" si="2"/>
        <v>0</v>
      </c>
      <c r="H125" s="11" t="str">
        <f t="shared" si="3"/>
        <v/>
      </c>
    </row>
    <row r="126" spans="1:8">
      <c r="A126">
        <f>IFERROR(VLOOKUP(B126,[1]銷貨單品號主檔!$A:$D,4,0),"學習周邊")</f>
        <v>0</v>
      </c>
      <c r="G126" s="30">
        <f t="shared" si="2"/>
        <v>0</v>
      </c>
      <c r="H126" s="11" t="str">
        <f t="shared" si="3"/>
        <v/>
      </c>
    </row>
    <row r="127" spans="1:8">
      <c r="A127">
        <f>IFERROR(VLOOKUP(B127,[1]銷貨單品號主檔!$A:$D,4,0),"學習周邊")</f>
        <v>0</v>
      </c>
      <c r="G127" s="30">
        <f t="shared" si="2"/>
        <v>0</v>
      </c>
      <c r="H127" s="11" t="str">
        <f t="shared" si="3"/>
        <v/>
      </c>
    </row>
    <row r="128" spans="1:8">
      <c r="A128">
        <f>IFERROR(VLOOKUP(B128,[1]銷貨單品號主檔!$A:$D,4,0),"學習周邊")</f>
        <v>0</v>
      </c>
      <c r="G128" s="30">
        <f t="shared" si="2"/>
        <v>0</v>
      </c>
      <c r="H128" s="11" t="str">
        <f t="shared" si="3"/>
        <v/>
      </c>
    </row>
    <row r="129" spans="1:8">
      <c r="A129">
        <f>IFERROR(VLOOKUP(B129,[1]銷貨單品號主檔!$A:$D,4,0),"學習周邊")</f>
        <v>0</v>
      </c>
      <c r="G129" s="30">
        <f t="shared" si="2"/>
        <v>0</v>
      </c>
      <c r="H129" s="11" t="str">
        <f t="shared" si="3"/>
        <v/>
      </c>
    </row>
    <row r="130" spans="1:8">
      <c r="A130">
        <f>IFERROR(VLOOKUP(B130,[1]銷貨單品號主檔!$A:$D,4,0),"學習周邊")</f>
        <v>0</v>
      </c>
      <c r="G130" s="30">
        <f t="shared" si="2"/>
        <v>0</v>
      </c>
      <c r="H130" s="11" t="str">
        <f t="shared" si="3"/>
        <v/>
      </c>
    </row>
    <row r="131" spans="1:8">
      <c r="A131">
        <f>IFERROR(VLOOKUP(B131,[1]銷貨單品號主檔!$A:$D,4,0),"學習周邊")</f>
        <v>0</v>
      </c>
      <c r="G131" s="30">
        <f t="shared" si="2"/>
        <v>0</v>
      </c>
      <c r="H131" s="11" t="str">
        <f t="shared" si="3"/>
        <v/>
      </c>
    </row>
    <row r="132" spans="1:8">
      <c r="A132">
        <f>IFERROR(VLOOKUP(B132,[1]銷貨單品號主檔!$A:$D,4,0),"學習周邊")</f>
        <v>0</v>
      </c>
      <c r="G132" s="30">
        <f t="shared" si="2"/>
        <v>0</v>
      </c>
      <c r="H132" s="11" t="str">
        <f t="shared" si="3"/>
        <v/>
      </c>
    </row>
    <row r="133" spans="1:8">
      <c r="A133">
        <f>IFERROR(VLOOKUP(B133,[1]銷貨單品號主檔!$A:$D,4,0),"學習周邊")</f>
        <v>0</v>
      </c>
      <c r="G133" s="30">
        <f t="shared" ref="G133:G196" si="4">F133/1.05</f>
        <v>0</v>
      </c>
      <c r="H133" s="11" t="str">
        <f t="shared" ref="H133:H196" si="5">IF(C133="","",TEXT(C133,"YYYY/M/D")*1)</f>
        <v/>
      </c>
    </row>
    <row r="134" spans="1:8">
      <c r="A134">
        <f>IFERROR(VLOOKUP(B134,[1]銷貨單品號主檔!$A:$D,4,0),"學習周邊")</f>
        <v>0</v>
      </c>
      <c r="G134" s="30">
        <f t="shared" si="4"/>
        <v>0</v>
      </c>
      <c r="H134" s="11" t="str">
        <f t="shared" si="5"/>
        <v/>
      </c>
    </row>
    <row r="135" spans="1:8">
      <c r="A135">
        <f>IFERROR(VLOOKUP(B135,[1]銷貨單品號主檔!$A:$D,4,0),"學習周邊")</f>
        <v>0</v>
      </c>
      <c r="G135" s="30">
        <f t="shared" si="4"/>
        <v>0</v>
      </c>
      <c r="H135" s="11" t="str">
        <f t="shared" si="5"/>
        <v/>
      </c>
    </row>
    <row r="136" spans="1:8">
      <c r="A136">
        <f>IFERROR(VLOOKUP(B136,[1]銷貨單品號主檔!$A:$D,4,0),"學習周邊")</f>
        <v>0</v>
      </c>
      <c r="G136" s="30">
        <f t="shared" si="4"/>
        <v>0</v>
      </c>
      <c r="H136" s="11" t="str">
        <f t="shared" si="5"/>
        <v/>
      </c>
    </row>
    <row r="137" spans="1:8">
      <c r="A137">
        <f>IFERROR(VLOOKUP(B137,[1]銷貨單品號主檔!$A:$D,4,0),"學習周邊")</f>
        <v>0</v>
      </c>
      <c r="G137" s="30">
        <f t="shared" si="4"/>
        <v>0</v>
      </c>
      <c r="H137" s="11" t="str">
        <f t="shared" si="5"/>
        <v/>
      </c>
    </row>
    <row r="138" spans="1:8">
      <c r="A138">
        <f>IFERROR(VLOOKUP(B138,[1]銷貨單品號主檔!$A:$D,4,0),"學習周邊")</f>
        <v>0</v>
      </c>
      <c r="G138" s="30">
        <f t="shared" si="4"/>
        <v>0</v>
      </c>
      <c r="H138" s="11" t="str">
        <f t="shared" si="5"/>
        <v/>
      </c>
    </row>
    <row r="139" spans="1:8">
      <c r="A139">
        <f>IFERROR(VLOOKUP(B139,[1]銷貨單品號主檔!$A:$D,4,0),"學習周邊")</f>
        <v>0</v>
      </c>
      <c r="G139" s="30">
        <f t="shared" si="4"/>
        <v>0</v>
      </c>
      <c r="H139" s="11" t="str">
        <f t="shared" si="5"/>
        <v/>
      </c>
    </row>
    <row r="140" spans="1:8">
      <c r="A140">
        <f>IFERROR(VLOOKUP(B140,[1]銷貨單品號主檔!$A:$D,4,0),"學習周邊")</f>
        <v>0</v>
      </c>
      <c r="G140" s="30">
        <f t="shared" si="4"/>
        <v>0</v>
      </c>
      <c r="H140" s="11" t="str">
        <f t="shared" si="5"/>
        <v/>
      </c>
    </row>
    <row r="141" spans="1:8">
      <c r="A141">
        <f>IFERROR(VLOOKUP(B141,[1]銷貨單品號主檔!$A:$D,4,0),"學習周邊")</f>
        <v>0</v>
      </c>
      <c r="G141" s="30">
        <f t="shared" si="4"/>
        <v>0</v>
      </c>
      <c r="H141" s="11" t="str">
        <f t="shared" si="5"/>
        <v/>
      </c>
    </row>
    <row r="142" spans="1:8">
      <c r="A142">
        <f>IFERROR(VLOOKUP(B142,[1]銷貨單品號主檔!$A:$D,4,0),"學習周邊")</f>
        <v>0</v>
      </c>
      <c r="G142" s="30">
        <f t="shared" si="4"/>
        <v>0</v>
      </c>
      <c r="H142" s="11" t="str">
        <f t="shared" si="5"/>
        <v/>
      </c>
    </row>
    <row r="143" spans="1:8">
      <c r="A143">
        <f>IFERROR(VLOOKUP(B143,[1]銷貨單品號主檔!$A:$D,4,0),"學習周邊")</f>
        <v>0</v>
      </c>
      <c r="G143" s="30">
        <f t="shared" si="4"/>
        <v>0</v>
      </c>
      <c r="H143" s="11" t="str">
        <f t="shared" si="5"/>
        <v/>
      </c>
    </row>
    <row r="144" spans="1:8">
      <c r="A144">
        <f>IFERROR(VLOOKUP(B144,[1]銷貨單品號主檔!$A:$D,4,0),"學習周邊")</f>
        <v>0</v>
      </c>
      <c r="G144" s="30">
        <f t="shared" si="4"/>
        <v>0</v>
      </c>
      <c r="H144" s="11" t="str">
        <f t="shared" si="5"/>
        <v/>
      </c>
    </row>
    <row r="145" spans="1:8">
      <c r="A145">
        <f>IFERROR(VLOOKUP(B145,[1]銷貨單品號主檔!$A:$D,4,0),"學習周邊")</f>
        <v>0</v>
      </c>
      <c r="G145" s="30">
        <f t="shared" si="4"/>
        <v>0</v>
      </c>
      <c r="H145" s="11" t="str">
        <f t="shared" si="5"/>
        <v/>
      </c>
    </row>
    <row r="146" spans="1:8">
      <c r="A146">
        <f>IFERROR(VLOOKUP(B146,[1]銷貨單品號主檔!$A:$D,4,0),"學習周邊")</f>
        <v>0</v>
      </c>
      <c r="G146" s="30">
        <f t="shared" si="4"/>
        <v>0</v>
      </c>
      <c r="H146" s="11" t="str">
        <f t="shared" si="5"/>
        <v/>
      </c>
    </row>
    <row r="147" spans="1:8">
      <c r="A147">
        <f>IFERROR(VLOOKUP(B147,[1]銷貨單品號主檔!$A:$D,4,0),"學習周邊")</f>
        <v>0</v>
      </c>
      <c r="G147" s="30">
        <f t="shared" si="4"/>
        <v>0</v>
      </c>
      <c r="H147" s="11" t="str">
        <f t="shared" si="5"/>
        <v/>
      </c>
    </row>
    <row r="148" spans="1:8">
      <c r="A148">
        <f>IFERROR(VLOOKUP(B148,[1]銷貨單品號主檔!$A:$D,4,0),"學習周邊")</f>
        <v>0</v>
      </c>
      <c r="G148" s="30">
        <f t="shared" si="4"/>
        <v>0</v>
      </c>
      <c r="H148" s="11" t="str">
        <f t="shared" si="5"/>
        <v/>
      </c>
    </row>
    <row r="149" spans="1:8">
      <c r="A149">
        <f>IFERROR(VLOOKUP(B149,[1]銷貨單品號主檔!$A:$D,4,0),"學習周邊")</f>
        <v>0</v>
      </c>
      <c r="G149" s="30">
        <f t="shared" si="4"/>
        <v>0</v>
      </c>
      <c r="H149" s="11" t="str">
        <f t="shared" si="5"/>
        <v/>
      </c>
    </row>
    <row r="150" spans="1:8">
      <c r="A150">
        <f>IFERROR(VLOOKUP(B150,[1]銷貨單品號主檔!$A:$D,4,0),"學習周邊")</f>
        <v>0</v>
      </c>
      <c r="G150" s="30">
        <f t="shared" si="4"/>
        <v>0</v>
      </c>
      <c r="H150" s="11" t="str">
        <f t="shared" si="5"/>
        <v/>
      </c>
    </row>
    <row r="151" spans="1:8">
      <c r="A151">
        <f>IFERROR(VLOOKUP(B151,[1]銷貨單品號主檔!$A:$D,4,0),"學習周邊")</f>
        <v>0</v>
      </c>
      <c r="G151" s="30">
        <f t="shared" si="4"/>
        <v>0</v>
      </c>
      <c r="H151" s="11" t="str">
        <f t="shared" si="5"/>
        <v/>
      </c>
    </row>
    <row r="152" spans="1:8">
      <c r="A152">
        <f>IFERROR(VLOOKUP(B152,[1]銷貨單品號主檔!$A:$D,4,0),"學習周邊")</f>
        <v>0</v>
      </c>
      <c r="G152" s="30">
        <f t="shared" si="4"/>
        <v>0</v>
      </c>
      <c r="H152" s="11" t="str">
        <f t="shared" si="5"/>
        <v/>
      </c>
    </row>
    <row r="153" spans="1:8">
      <c r="A153">
        <f>IFERROR(VLOOKUP(B153,[1]銷貨單品號主檔!$A:$D,4,0),"學習周邊")</f>
        <v>0</v>
      </c>
      <c r="G153" s="30">
        <f t="shared" si="4"/>
        <v>0</v>
      </c>
      <c r="H153" s="11" t="str">
        <f t="shared" si="5"/>
        <v/>
      </c>
    </row>
    <row r="154" spans="1:8">
      <c r="A154">
        <f>IFERROR(VLOOKUP(B154,[1]銷貨單品號主檔!$A:$D,4,0),"學習周邊")</f>
        <v>0</v>
      </c>
      <c r="G154" s="30">
        <f t="shared" si="4"/>
        <v>0</v>
      </c>
      <c r="H154" s="11" t="str">
        <f t="shared" si="5"/>
        <v/>
      </c>
    </row>
    <row r="155" spans="1:8">
      <c r="A155">
        <f>IFERROR(VLOOKUP(B155,[1]銷貨單品號主檔!$A:$D,4,0),"學習周邊")</f>
        <v>0</v>
      </c>
      <c r="G155" s="30">
        <f t="shared" si="4"/>
        <v>0</v>
      </c>
      <c r="H155" s="11" t="str">
        <f t="shared" si="5"/>
        <v/>
      </c>
    </row>
    <row r="156" spans="1:8">
      <c r="A156">
        <f>IFERROR(VLOOKUP(B156,[1]銷貨單品號主檔!$A:$D,4,0),"學習周邊")</f>
        <v>0</v>
      </c>
      <c r="G156" s="30">
        <f t="shared" si="4"/>
        <v>0</v>
      </c>
      <c r="H156" s="11" t="str">
        <f t="shared" si="5"/>
        <v/>
      </c>
    </row>
    <row r="157" spans="1:8">
      <c r="A157">
        <f>IFERROR(VLOOKUP(B157,[1]銷貨單品號主檔!$A:$D,4,0),"學習周邊")</f>
        <v>0</v>
      </c>
      <c r="G157" s="30">
        <f t="shared" si="4"/>
        <v>0</v>
      </c>
      <c r="H157" s="11" t="str">
        <f t="shared" si="5"/>
        <v/>
      </c>
    </row>
    <row r="158" spans="1:8">
      <c r="A158">
        <f>IFERROR(VLOOKUP(B158,[1]銷貨單品號主檔!$A:$D,4,0),"學習周邊")</f>
        <v>0</v>
      </c>
      <c r="G158" s="30">
        <f t="shared" si="4"/>
        <v>0</v>
      </c>
      <c r="H158" s="11" t="str">
        <f t="shared" si="5"/>
        <v/>
      </c>
    </row>
    <row r="159" spans="1:8">
      <c r="A159">
        <f>IFERROR(VLOOKUP(B159,[1]銷貨單品號主檔!$A:$D,4,0),"學習周邊")</f>
        <v>0</v>
      </c>
      <c r="G159" s="30">
        <f t="shared" si="4"/>
        <v>0</v>
      </c>
      <c r="H159" s="11" t="str">
        <f t="shared" si="5"/>
        <v/>
      </c>
    </row>
    <row r="160" spans="1:8">
      <c r="A160">
        <f>IFERROR(VLOOKUP(B160,[1]銷貨單品號主檔!$A:$D,4,0),"學習周邊")</f>
        <v>0</v>
      </c>
      <c r="G160" s="30">
        <f t="shared" si="4"/>
        <v>0</v>
      </c>
      <c r="H160" s="11" t="str">
        <f t="shared" si="5"/>
        <v/>
      </c>
    </row>
    <row r="161" spans="1:8">
      <c r="A161">
        <f>IFERROR(VLOOKUP(B161,[1]銷貨單品號主檔!$A:$D,4,0),"學習周邊")</f>
        <v>0</v>
      </c>
      <c r="G161" s="30">
        <f t="shared" si="4"/>
        <v>0</v>
      </c>
      <c r="H161" s="11" t="str">
        <f t="shared" si="5"/>
        <v/>
      </c>
    </row>
    <row r="162" spans="1:8">
      <c r="A162">
        <f>IFERROR(VLOOKUP(B162,[1]銷貨單品號主檔!$A:$D,4,0),"學習周邊")</f>
        <v>0</v>
      </c>
      <c r="G162" s="30">
        <f t="shared" si="4"/>
        <v>0</v>
      </c>
      <c r="H162" s="11" t="str">
        <f t="shared" si="5"/>
        <v/>
      </c>
    </row>
    <row r="163" spans="1:8">
      <c r="A163">
        <f>IFERROR(VLOOKUP(B163,[1]銷貨單品號主檔!$A:$D,4,0),"學習周邊")</f>
        <v>0</v>
      </c>
      <c r="G163" s="30">
        <f t="shared" si="4"/>
        <v>0</v>
      </c>
      <c r="H163" s="11" t="str">
        <f t="shared" si="5"/>
        <v/>
      </c>
    </row>
    <row r="164" spans="1:8">
      <c r="A164">
        <f>IFERROR(VLOOKUP(B164,[1]銷貨單品號主檔!$A:$D,4,0),"學習周邊")</f>
        <v>0</v>
      </c>
      <c r="G164" s="30">
        <f t="shared" si="4"/>
        <v>0</v>
      </c>
      <c r="H164" s="11" t="str">
        <f t="shared" si="5"/>
        <v/>
      </c>
    </row>
    <row r="165" spans="1:8">
      <c r="A165">
        <f>IFERROR(VLOOKUP(B165,[1]銷貨單品號主檔!$A:$D,4,0),"學習周邊")</f>
        <v>0</v>
      </c>
      <c r="G165" s="30">
        <f t="shared" si="4"/>
        <v>0</v>
      </c>
      <c r="H165" s="11" t="str">
        <f t="shared" si="5"/>
        <v/>
      </c>
    </row>
    <row r="166" spans="1:8">
      <c r="A166">
        <f>IFERROR(VLOOKUP(B166,[1]銷貨單品號主檔!$A:$D,4,0),"學習周邊")</f>
        <v>0</v>
      </c>
      <c r="G166" s="30">
        <f t="shared" si="4"/>
        <v>0</v>
      </c>
      <c r="H166" s="11" t="str">
        <f t="shared" si="5"/>
        <v/>
      </c>
    </row>
    <row r="167" spans="1:8">
      <c r="A167">
        <f>IFERROR(VLOOKUP(B167,[1]銷貨單品號主檔!$A:$D,4,0),"學習周邊")</f>
        <v>0</v>
      </c>
      <c r="G167" s="30">
        <f t="shared" si="4"/>
        <v>0</v>
      </c>
      <c r="H167" s="11" t="str">
        <f t="shared" si="5"/>
        <v/>
      </c>
    </row>
    <row r="168" spans="1:8">
      <c r="A168">
        <f>IFERROR(VLOOKUP(B168,[1]銷貨單品號主檔!$A:$D,4,0),"學習周邊")</f>
        <v>0</v>
      </c>
      <c r="G168" s="30">
        <f t="shared" si="4"/>
        <v>0</v>
      </c>
      <c r="H168" s="11" t="str">
        <f t="shared" si="5"/>
        <v/>
      </c>
    </row>
    <row r="169" spans="1:8">
      <c r="A169">
        <f>IFERROR(VLOOKUP(B169,[1]銷貨單品號主檔!$A:$D,4,0),"學習周邊")</f>
        <v>0</v>
      </c>
      <c r="G169" s="30">
        <f t="shared" si="4"/>
        <v>0</v>
      </c>
      <c r="H169" s="11" t="str">
        <f t="shared" si="5"/>
        <v/>
      </c>
    </row>
    <row r="170" spans="1:8">
      <c r="A170">
        <f>IFERROR(VLOOKUP(B170,[1]銷貨單品號主檔!$A:$D,4,0),"學習周邊")</f>
        <v>0</v>
      </c>
      <c r="G170" s="30">
        <f t="shared" si="4"/>
        <v>0</v>
      </c>
      <c r="H170" s="11" t="str">
        <f t="shared" si="5"/>
        <v/>
      </c>
    </row>
    <row r="171" spans="1:8">
      <c r="A171">
        <f>IFERROR(VLOOKUP(B171,[1]銷貨單品號主檔!$A:$D,4,0),"學習周邊")</f>
        <v>0</v>
      </c>
      <c r="G171" s="30">
        <f t="shared" si="4"/>
        <v>0</v>
      </c>
      <c r="H171" s="11" t="str">
        <f t="shared" si="5"/>
        <v/>
      </c>
    </row>
    <row r="172" spans="1:8">
      <c r="A172">
        <f>IFERROR(VLOOKUP(B172,[1]銷貨單品號主檔!$A:$D,4,0),"學習周邊")</f>
        <v>0</v>
      </c>
      <c r="G172" s="30">
        <f t="shared" si="4"/>
        <v>0</v>
      </c>
      <c r="H172" s="11" t="str">
        <f t="shared" si="5"/>
        <v/>
      </c>
    </row>
    <row r="173" spans="1:8">
      <c r="A173">
        <f>IFERROR(VLOOKUP(B173,[1]銷貨單品號主檔!$A:$D,4,0),"學習周邊")</f>
        <v>0</v>
      </c>
      <c r="G173" s="30">
        <f t="shared" si="4"/>
        <v>0</v>
      </c>
      <c r="H173" s="11" t="str">
        <f t="shared" si="5"/>
        <v/>
      </c>
    </row>
    <row r="174" spans="1:8">
      <c r="A174">
        <f>IFERROR(VLOOKUP(B174,[1]銷貨單品號主檔!$A:$D,4,0),"學習周邊")</f>
        <v>0</v>
      </c>
      <c r="G174" s="30">
        <f t="shared" si="4"/>
        <v>0</v>
      </c>
      <c r="H174" s="11" t="str">
        <f t="shared" si="5"/>
        <v/>
      </c>
    </row>
    <row r="175" spans="1:8">
      <c r="A175">
        <f>IFERROR(VLOOKUP(B175,[1]銷貨單品號主檔!$A:$D,4,0),"學習周邊")</f>
        <v>0</v>
      </c>
      <c r="G175" s="30">
        <f t="shared" si="4"/>
        <v>0</v>
      </c>
      <c r="H175" s="11" t="str">
        <f t="shared" si="5"/>
        <v/>
      </c>
    </row>
    <row r="176" spans="1:8">
      <c r="A176">
        <f>IFERROR(VLOOKUP(B176,[1]銷貨單品號主檔!$A:$D,4,0),"學習周邊")</f>
        <v>0</v>
      </c>
      <c r="G176" s="30">
        <f t="shared" si="4"/>
        <v>0</v>
      </c>
      <c r="H176" s="11" t="str">
        <f t="shared" si="5"/>
        <v/>
      </c>
    </row>
    <row r="177" spans="1:8">
      <c r="A177">
        <f>IFERROR(VLOOKUP(B177,[1]銷貨單品號主檔!$A:$D,4,0),"學習周邊")</f>
        <v>0</v>
      </c>
      <c r="G177" s="30">
        <f t="shared" si="4"/>
        <v>0</v>
      </c>
      <c r="H177" s="11" t="str">
        <f t="shared" si="5"/>
        <v/>
      </c>
    </row>
    <row r="178" spans="1:8">
      <c r="A178">
        <f>IFERROR(VLOOKUP(B178,[1]銷貨單品號主檔!$A:$D,4,0),"學習周邊")</f>
        <v>0</v>
      </c>
      <c r="G178" s="30">
        <f t="shared" si="4"/>
        <v>0</v>
      </c>
      <c r="H178" s="11" t="str">
        <f t="shared" si="5"/>
        <v/>
      </c>
    </row>
    <row r="179" spans="1:8">
      <c r="A179">
        <f>IFERROR(VLOOKUP(B179,[1]銷貨單品號主檔!$A:$D,4,0),"學習周邊")</f>
        <v>0</v>
      </c>
      <c r="G179" s="30">
        <f t="shared" si="4"/>
        <v>0</v>
      </c>
      <c r="H179" s="11" t="str">
        <f t="shared" si="5"/>
        <v/>
      </c>
    </row>
    <row r="180" spans="1:8">
      <c r="A180">
        <f>IFERROR(VLOOKUP(B180,[1]銷貨單品號主檔!$A:$D,4,0),"學習周邊")</f>
        <v>0</v>
      </c>
      <c r="G180" s="30">
        <f t="shared" si="4"/>
        <v>0</v>
      </c>
      <c r="H180" s="11" t="str">
        <f t="shared" si="5"/>
        <v/>
      </c>
    </row>
    <row r="181" spans="1:8">
      <c r="A181">
        <f>IFERROR(VLOOKUP(B181,[1]銷貨單品號主檔!$A:$D,4,0),"學習周邊")</f>
        <v>0</v>
      </c>
      <c r="G181" s="30">
        <f t="shared" si="4"/>
        <v>0</v>
      </c>
      <c r="H181" s="11" t="str">
        <f t="shared" si="5"/>
        <v/>
      </c>
    </row>
    <row r="182" spans="1:8">
      <c r="A182">
        <f>IFERROR(VLOOKUP(B182,[1]銷貨單品號主檔!$A:$D,4,0),"學習周邊")</f>
        <v>0</v>
      </c>
      <c r="G182" s="30">
        <f t="shared" si="4"/>
        <v>0</v>
      </c>
      <c r="H182" s="11" t="str">
        <f t="shared" si="5"/>
        <v/>
      </c>
    </row>
    <row r="183" spans="1:8">
      <c r="A183">
        <f>IFERROR(VLOOKUP(B183,[1]銷貨單品號主檔!$A:$D,4,0),"學習周邊")</f>
        <v>0</v>
      </c>
      <c r="G183" s="30">
        <f t="shared" si="4"/>
        <v>0</v>
      </c>
      <c r="H183" s="11" t="str">
        <f t="shared" si="5"/>
        <v/>
      </c>
    </row>
    <row r="184" spans="1:8">
      <c r="A184">
        <f>IFERROR(VLOOKUP(B184,[1]銷貨單品號主檔!$A:$D,4,0),"學習周邊")</f>
        <v>0</v>
      </c>
      <c r="G184" s="30">
        <f t="shared" si="4"/>
        <v>0</v>
      </c>
      <c r="H184" s="11" t="str">
        <f t="shared" si="5"/>
        <v/>
      </c>
    </row>
    <row r="185" spans="1:8">
      <c r="A185">
        <f>IFERROR(VLOOKUP(B185,[1]銷貨單品號主檔!$A:$D,4,0),"學習周邊")</f>
        <v>0</v>
      </c>
      <c r="G185" s="30">
        <f t="shared" si="4"/>
        <v>0</v>
      </c>
      <c r="H185" s="11" t="str">
        <f t="shared" si="5"/>
        <v/>
      </c>
    </row>
    <row r="186" spans="1:8">
      <c r="A186">
        <f>IFERROR(VLOOKUP(B186,[1]銷貨單品號主檔!$A:$D,4,0),"學習周邊")</f>
        <v>0</v>
      </c>
      <c r="G186" s="30">
        <f t="shared" si="4"/>
        <v>0</v>
      </c>
      <c r="H186" s="11" t="str">
        <f t="shared" si="5"/>
        <v/>
      </c>
    </row>
    <row r="187" spans="1:8">
      <c r="A187">
        <f>IFERROR(VLOOKUP(B187,[1]銷貨單品號主檔!$A:$D,4,0),"學習周邊")</f>
        <v>0</v>
      </c>
      <c r="G187" s="30">
        <f t="shared" si="4"/>
        <v>0</v>
      </c>
      <c r="H187" s="11" t="str">
        <f t="shared" si="5"/>
        <v/>
      </c>
    </row>
    <row r="188" spans="1:8">
      <c r="A188">
        <f>IFERROR(VLOOKUP(B188,[1]銷貨單品號主檔!$A:$D,4,0),"學習周邊")</f>
        <v>0</v>
      </c>
      <c r="G188" s="30">
        <f t="shared" si="4"/>
        <v>0</v>
      </c>
      <c r="H188" s="11" t="str">
        <f t="shared" si="5"/>
        <v/>
      </c>
    </row>
    <row r="189" spans="1:8">
      <c r="A189">
        <f>IFERROR(VLOOKUP(B189,[1]銷貨單品號主檔!$A:$D,4,0),"學習周邊")</f>
        <v>0</v>
      </c>
      <c r="G189" s="30">
        <f t="shared" si="4"/>
        <v>0</v>
      </c>
      <c r="H189" s="11" t="str">
        <f t="shared" si="5"/>
        <v/>
      </c>
    </row>
    <row r="190" spans="1:8">
      <c r="A190">
        <f>IFERROR(VLOOKUP(B190,[1]銷貨單品號主檔!$A:$D,4,0),"學習周邊")</f>
        <v>0</v>
      </c>
      <c r="G190" s="30">
        <f t="shared" si="4"/>
        <v>0</v>
      </c>
      <c r="H190" s="11" t="str">
        <f t="shared" si="5"/>
        <v/>
      </c>
    </row>
    <row r="191" spans="1:8">
      <c r="A191">
        <f>IFERROR(VLOOKUP(B191,[1]銷貨單品號主檔!$A:$D,4,0),"學習周邊")</f>
        <v>0</v>
      </c>
      <c r="G191" s="30">
        <f t="shared" si="4"/>
        <v>0</v>
      </c>
      <c r="H191" s="11" t="str">
        <f t="shared" si="5"/>
        <v/>
      </c>
    </row>
    <row r="192" spans="1:8">
      <c r="A192">
        <f>IFERROR(VLOOKUP(B192,[1]銷貨單品號主檔!$A:$D,4,0),"學習周邊")</f>
        <v>0</v>
      </c>
      <c r="G192" s="30">
        <f t="shared" si="4"/>
        <v>0</v>
      </c>
      <c r="H192" s="11" t="str">
        <f t="shared" si="5"/>
        <v/>
      </c>
    </row>
    <row r="193" spans="1:8">
      <c r="A193">
        <f>IFERROR(VLOOKUP(B193,[1]銷貨單品號主檔!$A:$D,4,0),"學習周邊")</f>
        <v>0</v>
      </c>
      <c r="G193" s="30">
        <f t="shared" si="4"/>
        <v>0</v>
      </c>
      <c r="H193" s="11" t="str">
        <f t="shared" si="5"/>
        <v/>
      </c>
    </row>
    <row r="194" spans="1:8">
      <c r="A194">
        <f>IFERROR(VLOOKUP(B194,[1]銷貨單品號主檔!$A:$D,4,0),"學習周邊")</f>
        <v>0</v>
      </c>
      <c r="G194" s="30">
        <f t="shared" si="4"/>
        <v>0</v>
      </c>
      <c r="H194" s="11" t="str">
        <f t="shared" si="5"/>
        <v/>
      </c>
    </row>
    <row r="195" spans="1:8">
      <c r="A195">
        <f>IFERROR(VLOOKUP(B195,[1]銷貨單品號主檔!$A:$D,4,0),"學習周邊")</f>
        <v>0</v>
      </c>
      <c r="G195" s="30">
        <f t="shared" si="4"/>
        <v>0</v>
      </c>
      <c r="H195" s="11" t="str">
        <f t="shared" si="5"/>
        <v/>
      </c>
    </row>
    <row r="196" spans="1:8">
      <c r="A196">
        <f>IFERROR(VLOOKUP(B196,[1]銷貨單品號主檔!$A:$D,4,0),"學習周邊")</f>
        <v>0</v>
      </c>
      <c r="G196" s="30">
        <f t="shared" si="4"/>
        <v>0</v>
      </c>
      <c r="H196" s="11" t="str">
        <f t="shared" si="5"/>
        <v/>
      </c>
    </row>
    <row r="197" spans="1:8">
      <c r="A197">
        <f>IFERROR(VLOOKUP(B197,[1]銷貨單品號主檔!$A:$D,4,0),"學習周邊")</f>
        <v>0</v>
      </c>
      <c r="G197" s="30">
        <f t="shared" ref="G197:G260" si="6">F197/1.05</f>
        <v>0</v>
      </c>
      <c r="H197" s="11" t="str">
        <f t="shared" ref="H197:H260" si="7">IF(C197="","",TEXT(C197,"YYYY/M/D")*1)</f>
        <v/>
      </c>
    </row>
    <row r="198" spans="1:8">
      <c r="A198">
        <f>IFERROR(VLOOKUP(B198,[1]銷貨單品號主檔!$A:$D,4,0),"學習周邊")</f>
        <v>0</v>
      </c>
      <c r="G198" s="30">
        <f t="shared" si="6"/>
        <v>0</v>
      </c>
      <c r="H198" s="11" t="str">
        <f t="shared" si="7"/>
        <v/>
      </c>
    </row>
    <row r="199" spans="1:8">
      <c r="A199">
        <f>IFERROR(VLOOKUP(B199,[1]銷貨單品號主檔!$A:$D,4,0),"學習周邊")</f>
        <v>0</v>
      </c>
      <c r="G199" s="30">
        <f t="shared" si="6"/>
        <v>0</v>
      </c>
      <c r="H199" s="11" t="str">
        <f t="shared" si="7"/>
        <v/>
      </c>
    </row>
    <row r="200" spans="1:8">
      <c r="A200">
        <f>IFERROR(VLOOKUP(B200,[1]銷貨單品號主檔!$A:$D,4,0),"學習周邊")</f>
        <v>0</v>
      </c>
      <c r="G200" s="30">
        <f t="shared" si="6"/>
        <v>0</v>
      </c>
      <c r="H200" s="11" t="str">
        <f t="shared" si="7"/>
        <v/>
      </c>
    </row>
    <row r="201" spans="1:8">
      <c r="A201">
        <f>IFERROR(VLOOKUP(B201,[1]銷貨單品號主檔!$A:$D,4,0),"學習周邊")</f>
        <v>0</v>
      </c>
      <c r="G201" s="30">
        <f t="shared" si="6"/>
        <v>0</v>
      </c>
      <c r="H201" s="11" t="str">
        <f t="shared" si="7"/>
        <v/>
      </c>
    </row>
    <row r="202" spans="1:8">
      <c r="A202">
        <f>IFERROR(VLOOKUP(B202,[1]銷貨單品號主檔!$A:$D,4,0),"學習周邊")</f>
        <v>0</v>
      </c>
      <c r="G202" s="30">
        <f t="shared" si="6"/>
        <v>0</v>
      </c>
      <c r="H202" s="11" t="str">
        <f t="shared" si="7"/>
        <v/>
      </c>
    </row>
    <row r="203" spans="1:8">
      <c r="A203">
        <f>IFERROR(VLOOKUP(B203,[1]銷貨單品號主檔!$A:$D,4,0),"學習周邊")</f>
        <v>0</v>
      </c>
      <c r="G203" s="30">
        <f t="shared" si="6"/>
        <v>0</v>
      </c>
      <c r="H203" s="11" t="str">
        <f t="shared" si="7"/>
        <v/>
      </c>
    </row>
    <row r="204" spans="1:8">
      <c r="A204">
        <f>IFERROR(VLOOKUP(B204,[1]銷貨單品號主檔!$A:$D,4,0),"學習周邊")</f>
        <v>0</v>
      </c>
      <c r="G204" s="30">
        <f t="shared" si="6"/>
        <v>0</v>
      </c>
      <c r="H204" s="11" t="str">
        <f t="shared" si="7"/>
        <v/>
      </c>
    </row>
    <row r="205" spans="1:8">
      <c r="A205">
        <f>IFERROR(VLOOKUP(B205,[1]銷貨單品號主檔!$A:$D,4,0),"學習周邊")</f>
        <v>0</v>
      </c>
      <c r="G205" s="30">
        <f t="shared" si="6"/>
        <v>0</v>
      </c>
      <c r="H205" s="11" t="str">
        <f t="shared" si="7"/>
        <v/>
      </c>
    </row>
    <row r="206" spans="1:8">
      <c r="A206">
        <f>IFERROR(VLOOKUP(B206,[1]銷貨單品號主檔!$A:$D,4,0),"學習周邊")</f>
        <v>0</v>
      </c>
      <c r="G206" s="30">
        <f t="shared" si="6"/>
        <v>0</v>
      </c>
      <c r="H206" s="11" t="str">
        <f t="shared" si="7"/>
        <v/>
      </c>
    </row>
    <row r="207" spans="1:8">
      <c r="A207">
        <f>IFERROR(VLOOKUP(B207,[1]銷貨單品號主檔!$A:$D,4,0),"學習周邊")</f>
        <v>0</v>
      </c>
      <c r="G207" s="30">
        <f t="shared" si="6"/>
        <v>0</v>
      </c>
      <c r="H207" s="11" t="str">
        <f t="shared" si="7"/>
        <v/>
      </c>
    </row>
    <row r="208" spans="1:8">
      <c r="A208">
        <f>IFERROR(VLOOKUP(B208,[1]銷貨單品號主檔!$A:$D,4,0),"學習周邊")</f>
        <v>0</v>
      </c>
      <c r="G208" s="30">
        <f t="shared" si="6"/>
        <v>0</v>
      </c>
      <c r="H208" s="11" t="str">
        <f t="shared" si="7"/>
        <v/>
      </c>
    </row>
    <row r="209" spans="1:8">
      <c r="A209">
        <f>IFERROR(VLOOKUP(B209,[1]銷貨單品號主檔!$A:$D,4,0),"學習周邊")</f>
        <v>0</v>
      </c>
      <c r="G209" s="30">
        <f t="shared" si="6"/>
        <v>0</v>
      </c>
      <c r="H209" s="11" t="str">
        <f t="shared" si="7"/>
        <v/>
      </c>
    </row>
    <row r="210" spans="1:8">
      <c r="A210">
        <f>IFERROR(VLOOKUP(B210,[1]銷貨單品號主檔!$A:$D,4,0),"學習周邊")</f>
        <v>0</v>
      </c>
      <c r="G210" s="30">
        <f t="shared" si="6"/>
        <v>0</v>
      </c>
      <c r="H210" s="11" t="str">
        <f t="shared" si="7"/>
        <v/>
      </c>
    </row>
    <row r="211" spans="1:8">
      <c r="A211">
        <f>IFERROR(VLOOKUP(B211,[1]銷貨單品號主檔!$A:$D,4,0),"學習周邊")</f>
        <v>0</v>
      </c>
      <c r="G211" s="30">
        <f t="shared" si="6"/>
        <v>0</v>
      </c>
      <c r="H211" s="11" t="str">
        <f t="shared" si="7"/>
        <v/>
      </c>
    </row>
    <row r="212" spans="1:8">
      <c r="A212">
        <f>IFERROR(VLOOKUP(B212,[1]銷貨單品號主檔!$A:$D,4,0),"學習周邊")</f>
        <v>0</v>
      </c>
      <c r="G212" s="30">
        <f t="shared" si="6"/>
        <v>0</v>
      </c>
      <c r="H212" s="11" t="str">
        <f t="shared" si="7"/>
        <v/>
      </c>
    </row>
    <row r="213" spans="1:8">
      <c r="A213">
        <f>IFERROR(VLOOKUP(B213,[1]銷貨單品號主檔!$A:$D,4,0),"學習周邊")</f>
        <v>0</v>
      </c>
      <c r="G213" s="30">
        <f t="shared" si="6"/>
        <v>0</v>
      </c>
      <c r="H213" s="11" t="str">
        <f t="shared" si="7"/>
        <v/>
      </c>
    </row>
    <row r="214" spans="1:8">
      <c r="A214">
        <f>IFERROR(VLOOKUP(B214,[1]銷貨單品號主檔!$A:$D,4,0),"學習周邊")</f>
        <v>0</v>
      </c>
      <c r="G214" s="30">
        <f t="shared" si="6"/>
        <v>0</v>
      </c>
      <c r="H214" s="11" t="str">
        <f t="shared" si="7"/>
        <v/>
      </c>
    </row>
    <row r="215" spans="1:8">
      <c r="A215">
        <f>IFERROR(VLOOKUP(B215,[1]銷貨單品號主檔!$A:$D,4,0),"學習周邊")</f>
        <v>0</v>
      </c>
      <c r="G215" s="30">
        <f t="shared" si="6"/>
        <v>0</v>
      </c>
      <c r="H215" s="11" t="str">
        <f t="shared" si="7"/>
        <v/>
      </c>
    </row>
    <row r="216" spans="1:8">
      <c r="A216">
        <f>IFERROR(VLOOKUP(B216,[1]銷貨單品號主檔!$A:$D,4,0),"學習周邊")</f>
        <v>0</v>
      </c>
      <c r="G216" s="30">
        <f t="shared" si="6"/>
        <v>0</v>
      </c>
      <c r="H216" s="11" t="str">
        <f t="shared" si="7"/>
        <v/>
      </c>
    </row>
    <row r="217" spans="1:8">
      <c r="A217">
        <f>IFERROR(VLOOKUP(B217,[1]銷貨單品號主檔!$A:$D,4,0),"學習周邊")</f>
        <v>0</v>
      </c>
      <c r="G217" s="30">
        <f t="shared" si="6"/>
        <v>0</v>
      </c>
      <c r="H217" s="11" t="str">
        <f t="shared" si="7"/>
        <v/>
      </c>
    </row>
    <row r="218" spans="1:8">
      <c r="A218">
        <f>IFERROR(VLOOKUP(B218,[1]銷貨單品號主檔!$A:$D,4,0),"學習周邊")</f>
        <v>0</v>
      </c>
      <c r="G218" s="30">
        <f t="shared" si="6"/>
        <v>0</v>
      </c>
      <c r="H218" s="11" t="str">
        <f t="shared" si="7"/>
        <v/>
      </c>
    </row>
    <row r="219" spans="1:8">
      <c r="A219">
        <f>IFERROR(VLOOKUP(B219,[1]銷貨單品號主檔!$A:$D,4,0),"學習周邊")</f>
        <v>0</v>
      </c>
      <c r="G219" s="30">
        <f t="shared" si="6"/>
        <v>0</v>
      </c>
      <c r="H219" s="11" t="str">
        <f t="shared" si="7"/>
        <v/>
      </c>
    </row>
    <row r="220" spans="1:8">
      <c r="A220">
        <f>IFERROR(VLOOKUP(B220,[1]銷貨單品號主檔!$A:$D,4,0),"學習周邊")</f>
        <v>0</v>
      </c>
      <c r="G220" s="30">
        <f t="shared" si="6"/>
        <v>0</v>
      </c>
      <c r="H220" s="11" t="str">
        <f t="shared" si="7"/>
        <v/>
      </c>
    </row>
    <row r="221" spans="1:8">
      <c r="A221">
        <f>IFERROR(VLOOKUP(B221,[1]銷貨單品號主檔!$A:$D,4,0),"學習周邊")</f>
        <v>0</v>
      </c>
      <c r="G221" s="30">
        <f t="shared" si="6"/>
        <v>0</v>
      </c>
      <c r="H221" s="11" t="str">
        <f t="shared" si="7"/>
        <v/>
      </c>
    </row>
    <row r="222" spans="1:8">
      <c r="A222">
        <f>IFERROR(VLOOKUP(B222,[1]銷貨單品號主檔!$A:$D,4,0),"學習周邊")</f>
        <v>0</v>
      </c>
      <c r="G222" s="30">
        <f t="shared" si="6"/>
        <v>0</v>
      </c>
      <c r="H222" s="11" t="str">
        <f t="shared" si="7"/>
        <v/>
      </c>
    </row>
    <row r="223" spans="1:8">
      <c r="A223">
        <f>IFERROR(VLOOKUP(B223,[1]銷貨單品號主檔!$A:$D,4,0),"學習周邊")</f>
        <v>0</v>
      </c>
      <c r="G223" s="30">
        <f t="shared" si="6"/>
        <v>0</v>
      </c>
      <c r="H223" s="11" t="str">
        <f t="shared" si="7"/>
        <v/>
      </c>
    </row>
    <row r="224" spans="1:8">
      <c r="A224">
        <f>IFERROR(VLOOKUP(B224,[1]銷貨單品號主檔!$A:$D,4,0),"學習周邊")</f>
        <v>0</v>
      </c>
      <c r="G224" s="30">
        <f t="shared" si="6"/>
        <v>0</v>
      </c>
      <c r="H224" s="11" t="str">
        <f t="shared" si="7"/>
        <v/>
      </c>
    </row>
    <row r="225" spans="1:8">
      <c r="A225">
        <f>IFERROR(VLOOKUP(B225,[1]銷貨單品號主檔!$A:$D,4,0),"學習周邊")</f>
        <v>0</v>
      </c>
      <c r="G225" s="30">
        <f t="shared" si="6"/>
        <v>0</v>
      </c>
      <c r="H225" s="11" t="str">
        <f t="shared" si="7"/>
        <v/>
      </c>
    </row>
    <row r="226" spans="1:8">
      <c r="A226">
        <f>IFERROR(VLOOKUP(B226,[1]銷貨單品號主檔!$A:$D,4,0),"學習周邊")</f>
        <v>0</v>
      </c>
      <c r="G226" s="30">
        <f t="shared" si="6"/>
        <v>0</v>
      </c>
      <c r="H226" s="11" t="str">
        <f t="shared" si="7"/>
        <v/>
      </c>
    </row>
    <row r="227" spans="1:8">
      <c r="A227">
        <f>IFERROR(VLOOKUP(B227,[1]銷貨單品號主檔!$A:$D,4,0),"學習周邊")</f>
        <v>0</v>
      </c>
      <c r="G227" s="30">
        <f t="shared" si="6"/>
        <v>0</v>
      </c>
      <c r="H227" s="11" t="str">
        <f t="shared" si="7"/>
        <v/>
      </c>
    </row>
    <row r="228" spans="1:8">
      <c r="A228">
        <f>IFERROR(VLOOKUP(B228,[1]銷貨單品號主檔!$A:$D,4,0),"學習周邊")</f>
        <v>0</v>
      </c>
      <c r="G228" s="30">
        <f t="shared" si="6"/>
        <v>0</v>
      </c>
      <c r="H228" s="11" t="str">
        <f t="shared" si="7"/>
        <v/>
      </c>
    </row>
    <row r="229" spans="1:8">
      <c r="A229">
        <f>IFERROR(VLOOKUP(B229,[1]銷貨單品號主檔!$A:$D,4,0),"學習周邊")</f>
        <v>0</v>
      </c>
      <c r="G229" s="30">
        <f t="shared" si="6"/>
        <v>0</v>
      </c>
      <c r="H229" s="11" t="str">
        <f t="shared" si="7"/>
        <v/>
      </c>
    </row>
    <row r="230" spans="1:8">
      <c r="A230">
        <f>IFERROR(VLOOKUP(B230,[1]銷貨單品號主檔!$A:$D,4,0),"學習周邊")</f>
        <v>0</v>
      </c>
      <c r="G230" s="30">
        <f t="shared" si="6"/>
        <v>0</v>
      </c>
      <c r="H230" s="11" t="str">
        <f t="shared" si="7"/>
        <v/>
      </c>
    </row>
    <row r="231" spans="1:8">
      <c r="A231">
        <f>IFERROR(VLOOKUP(B231,[1]銷貨單品號主檔!$A:$D,4,0),"學習周邊")</f>
        <v>0</v>
      </c>
      <c r="G231" s="30">
        <f t="shared" si="6"/>
        <v>0</v>
      </c>
      <c r="H231" s="11" t="str">
        <f t="shared" si="7"/>
        <v/>
      </c>
    </row>
    <row r="232" spans="1:8">
      <c r="A232">
        <f>IFERROR(VLOOKUP(B232,[1]銷貨單品號主檔!$A:$D,4,0),"學習周邊")</f>
        <v>0</v>
      </c>
      <c r="G232" s="30">
        <f t="shared" si="6"/>
        <v>0</v>
      </c>
      <c r="H232" s="11" t="str">
        <f t="shared" si="7"/>
        <v/>
      </c>
    </row>
    <row r="233" spans="1:8">
      <c r="A233">
        <f>IFERROR(VLOOKUP(B233,[1]銷貨單品號主檔!$A:$D,4,0),"學習周邊")</f>
        <v>0</v>
      </c>
      <c r="G233" s="30">
        <f t="shared" si="6"/>
        <v>0</v>
      </c>
      <c r="H233" s="11" t="str">
        <f t="shared" si="7"/>
        <v/>
      </c>
    </row>
    <row r="234" spans="1:8">
      <c r="A234">
        <f>IFERROR(VLOOKUP(B234,[1]銷貨單品號主檔!$A:$D,4,0),"學習周邊")</f>
        <v>0</v>
      </c>
      <c r="G234" s="30">
        <f t="shared" si="6"/>
        <v>0</v>
      </c>
      <c r="H234" s="11" t="str">
        <f t="shared" si="7"/>
        <v/>
      </c>
    </row>
    <row r="235" spans="1:8">
      <c r="A235">
        <f>IFERROR(VLOOKUP(B235,[1]銷貨單品號主檔!$A:$D,4,0),"學習周邊")</f>
        <v>0</v>
      </c>
      <c r="G235" s="30">
        <f t="shared" si="6"/>
        <v>0</v>
      </c>
      <c r="H235" s="11" t="str">
        <f t="shared" si="7"/>
        <v/>
      </c>
    </row>
    <row r="236" spans="1:8">
      <c r="A236">
        <f>IFERROR(VLOOKUP(B236,[1]銷貨單品號主檔!$A:$D,4,0),"學習周邊")</f>
        <v>0</v>
      </c>
      <c r="G236" s="30">
        <f t="shared" si="6"/>
        <v>0</v>
      </c>
      <c r="H236" s="11" t="str">
        <f t="shared" si="7"/>
        <v/>
      </c>
    </row>
    <row r="237" spans="1:8">
      <c r="A237">
        <f>IFERROR(VLOOKUP(B237,[1]銷貨單品號主檔!$A:$D,4,0),"學習周邊")</f>
        <v>0</v>
      </c>
      <c r="G237" s="30">
        <f t="shared" si="6"/>
        <v>0</v>
      </c>
      <c r="H237" s="11" t="str">
        <f t="shared" si="7"/>
        <v/>
      </c>
    </row>
    <row r="238" spans="1:8">
      <c r="A238">
        <f>IFERROR(VLOOKUP(B238,[1]銷貨單品號主檔!$A:$D,4,0),"學習周邊")</f>
        <v>0</v>
      </c>
      <c r="G238" s="30">
        <f t="shared" si="6"/>
        <v>0</v>
      </c>
      <c r="H238" s="11" t="str">
        <f t="shared" si="7"/>
        <v/>
      </c>
    </row>
    <row r="239" spans="1:8">
      <c r="A239">
        <f>IFERROR(VLOOKUP(B239,[1]銷貨單品號主檔!$A:$D,4,0),"學習周邊")</f>
        <v>0</v>
      </c>
      <c r="G239" s="30">
        <f t="shared" si="6"/>
        <v>0</v>
      </c>
      <c r="H239" s="11" t="str">
        <f t="shared" si="7"/>
        <v/>
      </c>
    </row>
    <row r="240" spans="1:8">
      <c r="A240">
        <f>IFERROR(VLOOKUP(B240,[1]銷貨單品號主檔!$A:$D,4,0),"學習周邊")</f>
        <v>0</v>
      </c>
      <c r="G240" s="30">
        <f t="shared" si="6"/>
        <v>0</v>
      </c>
      <c r="H240" s="11" t="str">
        <f t="shared" si="7"/>
        <v/>
      </c>
    </row>
    <row r="241" spans="1:8">
      <c r="A241">
        <f>IFERROR(VLOOKUP(B241,[1]銷貨單品號主檔!$A:$D,4,0),"學習周邊")</f>
        <v>0</v>
      </c>
      <c r="G241" s="30">
        <f t="shared" si="6"/>
        <v>0</v>
      </c>
      <c r="H241" s="11" t="str">
        <f t="shared" si="7"/>
        <v/>
      </c>
    </row>
    <row r="242" spans="1:8">
      <c r="A242">
        <f>IFERROR(VLOOKUP(B242,[1]銷貨單品號主檔!$A:$D,4,0),"學習周邊")</f>
        <v>0</v>
      </c>
      <c r="G242" s="30">
        <f t="shared" si="6"/>
        <v>0</v>
      </c>
      <c r="H242" s="11" t="str">
        <f t="shared" si="7"/>
        <v/>
      </c>
    </row>
    <row r="243" spans="1:8">
      <c r="A243">
        <f>IFERROR(VLOOKUP(B243,[1]銷貨單品號主檔!$A:$D,4,0),"學習周邊")</f>
        <v>0</v>
      </c>
      <c r="G243" s="30">
        <f t="shared" si="6"/>
        <v>0</v>
      </c>
      <c r="H243" s="11" t="str">
        <f t="shared" si="7"/>
        <v/>
      </c>
    </row>
    <row r="244" spans="1:8">
      <c r="A244">
        <f>IFERROR(VLOOKUP(B244,[1]銷貨單品號主檔!$A:$D,4,0),"學習周邊")</f>
        <v>0</v>
      </c>
      <c r="G244" s="30">
        <f t="shared" si="6"/>
        <v>0</v>
      </c>
      <c r="H244" s="11" t="str">
        <f t="shared" si="7"/>
        <v/>
      </c>
    </row>
    <row r="245" spans="1:8">
      <c r="A245">
        <f>IFERROR(VLOOKUP(B245,[1]銷貨單品號主檔!$A:$D,4,0),"學習周邊")</f>
        <v>0</v>
      </c>
      <c r="G245" s="30">
        <f t="shared" si="6"/>
        <v>0</v>
      </c>
      <c r="H245" s="11" t="str">
        <f t="shared" si="7"/>
        <v/>
      </c>
    </row>
    <row r="246" spans="1:8">
      <c r="A246">
        <f>IFERROR(VLOOKUP(B246,[1]銷貨單品號主檔!$A:$D,4,0),"學習周邊")</f>
        <v>0</v>
      </c>
      <c r="G246" s="30">
        <f t="shared" si="6"/>
        <v>0</v>
      </c>
      <c r="H246" s="11" t="str">
        <f t="shared" si="7"/>
        <v/>
      </c>
    </row>
    <row r="247" spans="1:8">
      <c r="A247">
        <f>IFERROR(VLOOKUP(B247,[1]銷貨單品號主檔!$A:$D,4,0),"學習周邊")</f>
        <v>0</v>
      </c>
      <c r="G247" s="30">
        <f t="shared" si="6"/>
        <v>0</v>
      </c>
      <c r="H247" s="11" t="str">
        <f t="shared" si="7"/>
        <v/>
      </c>
    </row>
    <row r="248" spans="1:8">
      <c r="A248">
        <f>IFERROR(VLOOKUP(B248,[1]銷貨單品號主檔!$A:$D,4,0),"學習周邊")</f>
        <v>0</v>
      </c>
      <c r="G248" s="30">
        <f t="shared" si="6"/>
        <v>0</v>
      </c>
      <c r="H248" s="11" t="str">
        <f t="shared" si="7"/>
        <v/>
      </c>
    </row>
    <row r="249" spans="1:8">
      <c r="A249">
        <f>IFERROR(VLOOKUP(B249,[1]銷貨單品號主檔!$A:$D,4,0),"學習周邊")</f>
        <v>0</v>
      </c>
      <c r="G249" s="30">
        <f t="shared" si="6"/>
        <v>0</v>
      </c>
      <c r="H249" s="11" t="str">
        <f t="shared" si="7"/>
        <v/>
      </c>
    </row>
    <row r="250" spans="1:8">
      <c r="A250">
        <f>IFERROR(VLOOKUP(B250,[1]銷貨單品號主檔!$A:$D,4,0),"學習周邊")</f>
        <v>0</v>
      </c>
      <c r="G250" s="30">
        <f t="shared" si="6"/>
        <v>0</v>
      </c>
      <c r="H250" s="11" t="str">
        <f t="shared" si="7"/>
        <v/>
      </c>
    </row>
    <row r="251" spans="1:8">
      <c r="A251">
        <f>IFERROR(VLOOKUP(B251,[1]銷貨單品號主檔!$A:$D,4,0),"學習周邊")</f>
        <v>0</v>
      </c>
      <c r="G251" s="30">
        <f t="shared" si="6"/>
        <v>0</v>
      </c>
      <c r="H251" s="11" t="str">
        <f t="shared" si="7"/>
        <v/>
      </c>
    </row>
    <row r="252" spans="1:8">
      <c r="A252">
        <f>IFERROR(VLOOKUP(B252,[1]銷貨單品號主檔!$A:$D,4,0),"學習周邊")</f>
        <v>0</v>
      </c>
      <c r="G252" s="30">
        <f t="shared" si="6"/>
        <v>0</v>
      </c>
      <c r="H252" s="11" t="str">
        <f t="shared" si="7"/>
        <v/>
      </c>
    </row>
    <row r="253" spans="1:8">
      <c r="A253">
        <f>IFERROR(VLOOKUP(B253,[1]銷貨單品號主檔!$A:$D,4,0),"學習周邊")</f>
        <v>0</v>
      </c>
      <c r="G253" s="30">
        <f t="shared" si="6"/>
        <v>0</v>
      </c>
      <c r="H253" s="11" t="str">
        <f t="shared" si="7"/>
        <v/>
      </c>
    </row>
    <row r="254" spans="1:8">
      <c r="A254">
        <f>IFERROR(VLOOKUP(B254,[1]銷貨單品號主檔!$A:$D,4,0),"學習周邊")</f>
        <v>0</v>
      </c>
      <c r="G254" s="30">
        <f t="shared" si="6"/>
        <v>0</v>
      </c>
      <c r="H254" s="11" t="str">
        <f t="shared" si="7"/>
        <v/>
      </c>
    </row>
    <row r="255" spans="1:8">
      <c r="A255">
        <f>IFERROR(VLOOKUP(B255,[1]銷貨單品號主檔!$A:$D,4,0),"學習周邊")</f>
        <v>0</v>
      </c>
      <c r="G255" s="30">
        <f t="shared" si="6"/>
        <v>0</v>
      </c>
      <c r="H255" s="11" t="str">
        <f t="shared" si="7"/>
        <v/>
      </c>
    </row>
    <row r="256" spans="1:8">
      <c r="A256">
        <f>IFERROR(VLOOKUP(B256,[1]銷貨單品號主檔!$A:$D,4,0),"學習周邊")</f>
        <v>0</v>
      </c>
      <c r="G256" s="30">
        <f t="shared" si="6"/>
        <v>0</v>
      </c>
      <c r="H256" s="11" t="str">
        <f t="shared" si="7"/>
        <v/>
      </c>
    </row>
    <row r="257" spans="1:8">
      <c r="A257">
        <f>IFERROR(VLOOKUP(B257,[1]銷貨單品號主檔!$A:$D,4,0),"學習周邊")</f>
        <v>0</v>
      </c>
      <c r="G257" s="30">
        <f t="shared" si="6"/>
        <v>0</v>
      </c>
      <c r="H257" s="11" t="str">
        <f t="shared" si="7"/>
        <v/>
      </c>
    </row>
    <row r="258" spans="1:8">
      <c r="A258">
        <f>IFERROR(VLOOKUP(B258,[1]銷貨單品號主檔!$A:$D,4,0),"學習周邊")</f>
        <v>0</v>
      </c>
      <c r="G258" s="30">
        <f t="shared" si="6"/>
        <v>0</v>
      </c>
      <c r="H258" s="11" t="str">
        <f t="shared" si="7"/>
        <v/>
      </c>
    </row>
    <row r="259" spans="1:8">
      <c r="A259">
        <f>IFERROR(VLOOKUP(B259,[1]銷貨單品號主檔!$A:$D,4,0),"學習周邊")</f>
        <v>0</v>
      </c>
      <c r="G259" s="30">
        <f t="shared" si="6"/>
        <v>0</v>
      </c>
      <c r="H259" s="11" t="str">
        <f t="shared" si="7"/>
        <v/>
      </c>
    </row>
    <row r="260" spans="1:8">
      <c r="A260">
        <f>IFERROR(VLOOKUP(B260,[1]銷貨單品號主檔!$A:$D,4,0),"學習周邊")</f>
        <v>0</v>
      </c>
      <c r="G260" s="30">
        <f t="shared" si="6"/>
        <v>0</v>
      </c>
      <c r="H260" s="11" t="str">
        <f t="shared" si="7"/>
        <v/>
      </c>
    </row>
    <row r="261" spans="1:8">
      <c r="A261">
        <f>IFERROR(VLOOKUP(B261,[1]銷貨單品號主檔!$A:$D,4,0),"學習周邊")</f>
        <v>0</v>
      </c>
      <c r="G261" s="30">
        <f t="shared" ref="G261:G324" si="8">F261/1.05</f>
        <v>0</v>
      </c>
      <c r="H261" s="11" t="str">
        <f t="shared" ref="H261:H324" si="9">IF(C261="","",TEXT(C261,"YYYY/M/D")*1)</f>
        <v/>
      </c>
    </row>
    <row r="262" spans="1:8">
      <c r="A262">
        <f>IFERROR(VLOOKUP(B262,[1]銷貨單品號主檔!$A:$D,4,0),"學習周邊")</f>
        <v>0</v>
      </c>
      <c r="G262" s="30">
        <f t="shared" si="8"/>
        <v>0</v>
      </c>
      <c r="H262" s="11" t="str">
        <f t="shared" si="9"/>
        <v/>
      </c>
    </row>
    <row r="263" spans="1:8">
      <c r="A263">
        <f>IFERROR(VLOOKUP(B263,[1]銷貨單品號主檔!$A:$D,4,0),"學習周邊")</f>
        <v>0</v>
      </c>
      <c r="G263" s="30">
        <f t="shared" si="8"/>
        <v>0</v>
      </c>
      <c r="H263" s="11" t="str">
        <f t="shared" si="9"/>
        <v/>
      </c>
    </row>
    <row r="264" spans="1:8">
      <c r="A264">
        <f>IFERROR(VLOOKUP(B264,[1]銷貨單品號主檔!$A:$D,4,0),"學習周邊")</f>
        <v>0</v>
      </c>
      <c r="G264" s="30">
        <f t="shared" si="8"/>
        <v>0</v>
      </c>
      <c r="H264" s="11" t="str">
        <f t="shared" si="9"/>
        <v/>
      </c>
    </row>
    <row r="265" spans="1:8">
      <c r="A265">
        <f>IFERROR(VLOOKUP(B265,[1]銷貨單品號主檔!$A:$D,4,0),"學習周邊")</f>
        <v>0</v>
      </c>
      <c r="G265" s="30">
        <f t="shared" si="8"/>
        <v>0</v>
      </c>
      <c r="H265" s="11" t="str">
        <f t="shared" si="9"/>
        <v/>
      </c>
    </row>
    <row r="266" spans="1:8">
      <c r="A266">
        <f>IFERROR(VLOOKUP(B266,[1]銷貨單品號主檔!$A:$D,4,0),"學習周邊")</f>
        <v>0</v>
      </c>
      <c r="G266" s="30">
        <f t="shared" si="8"/>
        <v>0</v>
      </c>
      <c r="H266" s="11" t="str">
        <f t="shared" si="9"/>
        <v/>
      </c>
    </row>
    <row r="267" spans="1:8">
      <c r="A267">
        <f>IFERROR(VLOOKUP(B267,[1]銷貨單品號主檔!$A:$D,4,0),"學習周邊")</f>
        <v>0</v>
      </c>
      <c r="G267" s="30">
        <f t="shared" si="8"/>
        <v>0</v>
      </c>
      <c r="H267" s="11" t="str">
        <f t="shared" si="9"/>
        <v/>
      </c>
    </row>
    <row r="268" spans="1:8">
      <c r="A268">
        <f>IFERROR(VLOOKUP(B268,[1]銷貨單品號主檔!$A:$D,4,0),"學習周邊")</f>
        <v>0</v>
      </c>
      <c r="G268" s="30">
        <f t="shared" si="8"/>
        <v>0</v>
      </c>
      <c r="H268" s="11" t="str">
        <f t="shared" si="9"/>
        <v/>
      </c>
    </row>
    <row r="269" spans="1:8">
      <c r="A269">
        <f>IFERROR(VLOOKUP(B269,[1]銷貨單品號主檔!$A:$D,4,0),"學習周邊")</f>
        <v>0</v>
      </c>
      <c r="G269" s="30">
        <f t="shared" si="8"/>
        <v>0</v>
      </c>
      <c r="H269" s="11" t="str">
        <f t="shared" si="9"/>
        <v/>
      </c>
    </row>
    <row r="270" spans="1:8">
      <c r="A270">
        <f>IFERROR(VLOOKUP(B270,[1]銷貨單品號主檔!$A:$D,4,0),"學習周邊")</f>
        <v>0</v>
      </c>
      <c r="G270" s="30">
        <f t="shared" si="8"/>
        <v>0</v>
      </c>
      <c r="H270" s="11" t="str">
        <f t="shared" si="9"/>
        <v/>
      </c>
    </row>
    <row r="271" spans="1:8">
      <c r="A271">
        <f>IFERROR(VLOOKUP(B271,[1]銷貨單品號主檔!$A:$D,4,0),"學習周邊")</f>
        <v>0</v>
      </c>
      <c r="G271" s="30">
        <f t="shared" si="8"/>
        <v>0</v>
      </c>
      <c r="H271" s="11" t="str">
        <f t="shared" si="9"/>
        <v/>
      </c>
    </row>
    <row r="272" spans="1:8">
      <c r="A272">
        <f>IFERROR(VLOOKUP(B272,[1]銷貨單品號主檔!$A:$D,4,0),"學習周邊")</f>
        <v>0</v>
      </c>
      <c r="G272" s="30">
        <f t="shared" si="8"/>
        <v>0</v>
      </c>
      <c r="H272" s="11" t="str">
        <f t="shared" si="9"/>
        <v/>
      </c>
    </row>
    <row r="273" spans="1:8">
      <c r="A273">
        <f>IFERROR(VLOOKUP(B273,[1]銷貨單品號主檔!$A:$D,4,0),"學習周邊")</f>
        <v>0</v>
      </c>
      <c r="G273" s="30">
        <f t="shared" si="8"/>
        <v>0</v>
      </c>
      <c r="H273" s="11" t="str">
        <f t="shared" si="9"/>
        <v/>
      </c>
    </row>
    <row r="274" spans="1:8">
      <c r="A274">
        <f>IFERROR(VLOOKUP(B274,[1]銷貨單品號主檔!$A:$D,4,0),"學習周邊")</f>
        <v>0</v>
      </c>
      <c r="G274" s="30">
        <f t="shared" si="8"/>
        <v>0</v>
      </c>
      <c r="H274" s="11" t="str">
        <f t="shared" si="9"/>
        <v/>
      </c>
    </row>
    <row r="275" spans="1:8">
      <c r="A275">
        <f>IFERROR(VLOOKUP(B275,[1]銷貨單品號主檔!$A:$D,4,0),"學習周邊")</f>
        <v>0</v>
      </c>
      <c r="G275" s="30">
        <f t="shared" si="8"/>
        <v>0</v>
      </c>
      <c r="H275" s="11" t="str">
        <f t="shared" si="9"/>
        <v/>
      </c>
    </row>
    <row r="276" spans="1:8">
      <c r="A276">
        <f>IFERROR(VLOOKUP(B276,[1]銷貨單品號主檔!$A:$D,4,0),"學習周邊")</f>
        <v>0</v>
      </c>
      <c r="G276" s="30">
        <f t="shared" si="8"/>
        <v>0</v>
      </c>
      <c r="H276" s="11" t="str">
        <f t="shared" si="9"/>
        <v/>
      </c>
    </row>
    <row r="277" spans="1:8">
      <c r="A277">
        <f>IFERROR(VLOOKUP(B277,[1]銷貨單品號主檔!$A:$D,4,0),"學習周邊")</f>
        <v>0</v>
      </c>
      <c r="G277" s="30">
        <f t="shared" si="8"/>
        <v>0</v>
      </c>
      <c r="H277" s="11" t="str">
        <f t="shared" si="9"/>
        <v/>
      </c>
    </row>
    <row r="278" spans="1:8">
      <c r="A278">
        <f>IFERROR(VLOOKUP(B278,[1]銷貨單品號主檔!$A:$D,4,0),"學習周邊")</f>
        <v>0</v>
      </c>
      <c r="G278" s="30">
        <f t="shared" si="8"/>
        <v>0</v>
      </c>
      <c r="H278" s="11" t="str">
        <f t="shared" si="9"/>
        <v/>
      </c>
    </row>
    <row r="279" spans="1:8">
      <c r="A279">
        <f>IFERROR(VLOOKUP(B279,[1]銷貨單品號主檔!$A:$D,4,0),"學習周邊")</f>
        <v>0</v>
      </c>
      <c r="G279" s="30">
        <f t="shared" si="8"/>
        <v>0</v>
      </c>
      <c r="H279" s="11" t="str">
        <f t="shared" si="9"/>
        <v/>
      </c>
    </row>
    <row r="280" spans="1:8">
      <c r="A280">
        <f>IFERROR(VLOOKUP(B280,[1]銷貨單品號主檔!$A:$D,4,0),"學習周邊")</f>
        <v>0</v>
      </c>
      <c r="G280" s="30">
        <f t="shared" si="8"/>
        <v>0</v>
      </c>
      <c r="H280" s="11" t="str">
        <f t="shared" si="9"/>
        <v/>
      </c>
    </row>
    <row r="281" spans="1:8">
      <c r="A281">
        <f>IFERROR(VLOOKUP(B281,[1]銷貨單品號主檔!$A:$D,4,0),"學習周邊")</f>
        <v>0</v>
      </c>
      <c r="G281" s="30">
        <f t="shared" si="8"/>
        <v>0</v>
      </c>
      <c r="H281" s="11" t="str">
        <f t="shared" si="9"/>
        <v/>
      </c>
    </row>
    <row r="282" spans="1:8">
      <c r="A282">
        <f>IFERROR(VLOOKUP(B282,[1]銷貨單品號主檔!$A:$D,4,0),"學習周邊")</f>
        <v>0</v>
      </c>
      <c r="G282" s="30">
        <f t="shared" si="8"/>
        <v>0</v>
      </c>
      <c r="H282" s="11" t="str">
        <f t="shared" si="9"/>
        <v/>
      </c>
    </row>
    <row r="283" spans="1:8">
      <c r="A283">
        <f>IFERROR(VLOOKUP(B283,[1]銷貨單品號主檔!$A:$D,4,0),"學習周邊")</f>
        <v>0</v>
      </c>
      <c r="G283" s="30">
        <f t="shared" si="8"/>
        <v>0</v>
      </c>
      <c r="H283" s="11" t="str">
        <f t="shared" si="9"/>
        <v/>
      </c>
    </row>
    <row r="284" spans="1:8">
      <c r="A284">
        <f>IFERROR(VLOOKUP(B284,[1]銷貨單品號主檔!$A:$D,4,0),"學習周邊")</f>
        <v>0</v>
      </c>
      <c r="G284" s="30">
        <f t="shared" si="8"/>
        <v>0</v>
      </c>
      <c r="H284" s="11" t="str">
        <f t="shared" si="9"/>
        <v/>
      </c>
    </row>
    <row r="285" spans="1:8">
      <c r="A285">
        <f>IFERROR(VLOOKUP(B285,[1]銷貨單品號主檔!$A:$D,4,0),"學習周邊")</f>
        <v>0</v>
      </c>
      <c r="G285" s="30">
        <f t="shared" si="8"/>
        <v>0</v>
      </c>
      <c r="H285" s="11" t="str">
        <f t="shared" si="9"/>
        <v/>
      </c>
    </row>
    <row r="286" spans="1:8">
      <c r="A286">
        <f>IFERROR(VLOOKUP(B286,[1]銷貨單品號主檔!$A:$D,4,0),"學習周邊")</f>
        <v>0</v>
      </c>
      <c r="G286" s="30">
        <f t="shared" si="8"/>
        <v>0</v>
      </c>
      <c r="H286" s="11" t="str">
        <f t="shared" si="9"/>
        <v/>
      </c>
    </row>
    <row r="287" spans="1:8">
      <c r="A287">
        <f>IFERROR(VLOOKUP(B287,[1]銷貨單品號主檔!$A:$D,4,0),"學習周邊")</f>
        <v>0</v>
      </c>
      <c r="G287" s="30">
        <f t="shared" si="8"/>
        <v>0</v>
      </c>
      <c r="H287" s="11" t="str">
        <f t="shared" si="9"/>
        <v/>
      </c>
    </row>
    <row r="288" spans="1:8">
      <c r="A288">
        <f>IFERROR(VLOOKUP(B288,[1]銷貨單品號主檔!$A:$D,4,0),"學習周邊")</f>
        <v>0</v>
      </c>
      <c r="G288" s="30">
        <f t="shared" si="8"/>
        <v>0</v>
      </c>
      <c r="H288" s="11" t="str">
        <f t="shared" si="9"/>
        <v/>
      </c>
    </row>
    <row r="289" spans="1:8">
      <c r="A289">
        <f>IFERROR(VLOOKUP(B289,[1]銷貨單品號主檔!$A:$D,4,0),"學習周邊")</f>
        <v>0</v>
      </c>
      <c r="G289" s="30">
        <f t="shared" si="8"/>
        <v>0</v>
      </c>
      <c r="H289" s="11" t="str">
        <f t="shared" si="9"/>
        <v/>
      </c>
    </row>
    <row r="290" spans="1:8">
      <c r="A290">
        <f>IFERROR(VLOOKUP(B290,[1]銷貨單品號主檔!$A:$D,4,0),"學習周邊")</f>
        <v>0</v>
      </c>
      <c r="G290" s="30">
        <f t="shared" si="8"/>
        <v>0</v>
      </c>
      <c r="H290" s="11" t="str">
        <f t="shared" si="9"/>
        <v/>
      </c>
    </row>
    <row r="291" spans="1:8">
      <c r="A291">
        <f>IFERROR(VLOOKUP(B291,[1]銷貨單品號主檔!$A:$D,4,0),"學習周邊")</f>
        <v>0</v>
      </c>
      <c r="G291" s="30">
        <f t="shared" si="8"/>
        <v>0</v>
      </c>
      <c r="H291" s="11" t="str">
        <f t="shared" si="9"/>
        <v/>
      </c>
    </row>
    <row r="292" spans="1:8">
      <c r="A292">
        <f>IFERROR(VLOOKUP(B292,[1]銷貨單品號主檔!$A:$D,4,0),"學習周邊")</f>
        <v>0</v>
      </c>
      <c r="G292" s="30">
        <f t="shared" si="8"/>
        <v>0</v>
      </c>
      <c r="H292" s="11" t="str">
        <f t="shared" si="9"/>
        <v/>
      </c>
    </row>
    <row r="293" spans="1:8">
      <c r="A293">
        <f>IFERROR(VLOOKUP(B293,[1]銷貨單品號主檔!$A:$D,4,0),"學習周邊")</f>
        <v>0</v>
      </c>
      <c r="G293" s="30">
        <f t="shared" si="8"/>
        <v>0</v>
      </c>
      <c r="H293" s="11" t="str">
        <f t="shared" si="9"/>
        <v/>
      </c>
    </row>
    <row r="294" spans="1:8">
      <c r="A294">
        <f>IFERROR(VLOOKUP(B294,[1]銷貨單品號主檔!$A:$D,4,0),"學習周邊")</f>
        <v>0</v>
      </c>
      <c r="G294" s="30">
        <f t="shared" si="8"/>
        <v>0</v>
      </c>
      <c r="H294" s="11" t="str">
        <f t="shared" si="9"/>
        <v/>
      </c>
    </row>
    <row r="295" spans="1:8">
      <c r="A295">
        <f>IFERROR(VLOOKUP(B295,[1]銷貨單品號主檔!$A:$D,4,0),"學習周邊")</f>
        <v>0</v>
      </c>
      <c r="G295" s="30">
        <f t="shared" si="8"/>
        <v>0</v>
      </c>
      <c r="H295" s="11" t="str">
        <f t="shared" si="9"/>
        <v/>
      </c>
    </row>
    <row r="296" spans="1:8">
      <c r="A296">
        <f>IFERROR(VLOOKUP(B296,[1]銷貨單品號主檔!$A:$D,4,0),"學習周邊")</f>
        <v>0</v>
      </c>
      <c r="G296" s="30">
        <f t="shared" si="8"/>
        <v>0</v>
      </c>
      <c r="H296" s="11" t="str">
        <f t="shared" si="9"/>
        <v/>
      </c>
    </row>
    <row r="297" spans="1:8">
      <c r="A297">
        <f>IFERROR(VLOOKUP(B297,[1]銷貨單品號主檔!$A:$D,4,0),"學習周邊")</f>
        <v>0</v>
      </c>
      <c r="G297" s="30">
        <f t="shared" si="8"/>
        <v>0</v>
      </c>
      <c r="H297" s="11" t="str">
        <f t="shared" si="9"/>
        <v/>
      </c>
    </row>
    <row r="298" spans="1:8">
      <c r="A298">
        <f>IFERROR(VLOOKUP(B298,[1]銷貨單品號主檔!$A:$D,4,0),"學習周邊")</f>
        <v>0</v>
      </c>
      <c r="G298" s="30">
        <f t="shared" si="8"/>
        <v>0</v>
      </c>
      <c r="H298" s="11" t="str">
        <f t="shared" si="9"/>
        <v/>
      </c>
    </row>
    <row r="299" spans="1:8">
      <c r="A299">
        <f>IFERROR(VLOOKUP(B299,[1]銷貨單品號主檔!$A:$D,4,0),"學習周邊")</f>
        <v>0</v>
      </c>
      <c r="G299" s="30">
        <f t="shared" si="8"/>
        <v>0</v>
      </c>
      <c r="H299" s="11" t="str">
        <f t="shared" si="9"/>
        <v/>
      </c>
    </row>
    <row r="300" spans="1:8">
      <c r="A300">
        <f>IFERROR(VLOOKUP(B300,[1]銷貨單品號主檔!$A:$D,4,0),"學習周邊")</f>
        <v>0</v>
      </c>
      <c r="G300" s="30">
        <f t="shared" si="8"/>
        <v>0</v>
      </c>
      <c r="H300" s="11" t="str">
        <f t="shared" si="9"/>
        <v/>
      </c>
    </row>
    <row r="301" spans="1:8">
      <c r="A301">
        <f>IFERROR(VLOOKUP(B301,[1]銷貨單品號主檔!$A:$D,4,0),"學習周邊")</f>
        <v>0</v>
      </c>
      <c r="G301" s="30">
        <f t="shared" si="8"/>
        <v>0</v>
      </c>
      <c r="H301" s="11" t="str">
        <f t="shared" si="9"/>
        <v/>
      </c>
    </row>
    <row r="302" spans="1:8">
      <c r="A302">
        <f>IFERROR(VLOOKUP(B302,[1]銷貨單品號主檔!$A:$D,4,0),"學習周邊")</f>
        <v>0</v>
      </c>
      <c r="G302" s="30">
        <f t="shared" si="8"/>
        <v>0</v>
      </c>
      <c r="H302" s="11" t="str">
        <f t="shared" si="9"/>
        <v/>
      </c>
    </row>
    <row r="303" spans="1:8">
      <c r="A303">
        <f>IFERROR(VLOOKUP(B303,[1]銷貨單品號主檔!$A:$D,4,0),"學習周邊")</f>
        <v>0</v>
      </c>
      <c r="G303" s="30">
        <f t="shared" si="8"/>
        <v>0</v>
      </c>
      <c r="H303" s="11" t="str">
        <f t="shared" si="9"/>
        <v/>
      </c>
    </row>
    <row r="304" spans="1:8">
      <c r="A304">
        <f>IFERROR(VLOOKUP(B304,[1]銷貨單品號主檔!$A:$D,4,0),"學習周邊")</f>
        <v>0</v>
      </c>
      <c r="G304" s="30">
        <f t="shared" si="8"/>
        <v>0</v>
      </c>
      <c r="H304" s="11" t="str">
        <f t="shared" si="9"/>
        <v/>
      </c>
    </row>
    <row r="305" spans="1:8">
      <c r="A305">
        <f>IFERROR(VLOOKUP(B305,[1]銷貨單品號主檔!$A:$D,4,0),"學習周邊")</f>
        <v>0</v>
      </c>
      <c r="G305" s="30">
        <f t="shared" si="8"/>
        <v>0</v>
      </c>
      <c r="H305" s="11" t="str">
        <f t="shared" si="9"/>
        <v/>
      </c>
    </row>
    <row r="306" spans="1:8">
      <c r="A306">
        <f>IFERROR(VLOOKUP(B306,[1]銷貨單品號主檔!$A:$D,4,0),"學習周邊")</f>
        <v>0</v>
      </c>
      <c r="G306" s="30">
        <f t="shared" si="8"/>
        <v>0</v>
      </c>
      <c r="H306" s="11" t="str">
        <f t="shared" si="9"/>
        <v/>
      </c>
    </row>
    <row r="307" spans="1:8">
      <c r="A307">
        <f>IFERROR(VLOOKUP(B307,[1]銷貨單品號主檔!$A:$D,4,0),"學習周邊")</f>
        <v>0</v>
      </c>
      <c r="G307" s="30">
        <f t="shared" si="8"/>
        <v>0</v>
      </c>
      <c r="H307" s="11" t="str">
        <f t="shared" si="9"/>
        <v/>
      </c>
    </row>
    <row r="308" spans="1:8">
      <c r="A308">
        <f>IFERROR(VLOOKUP(B308,[1]銷貨單品號主檔!$A:$D,4,0),"學習周邊")</f>
        <v>0</v>
      </c>
      <c r="G308" s="30">
        <f t="shared" si="8"/>
        <v>0</v>
      </c>
      <c r="H308" s="11" t="str">
        <f t="shared" si="9"/>
        <v/>
      </c>
    </row>
    <row r="309" spans="1:8">
      <c r="A309">
        <f>IFERROR(VLOOKUP(B309,[1]銷貨單品號主檔!$A:$D,4,0),"學習周邊")</f>
        <v>0</v>
      </c>
      <c r="G309" s="30">
        <f t="shared" si="8"/>
        <v>0</v>
      </c>
      <c r="H309" s="11" t="str">
        <f t="shared" si="9"/>
        <v/>
      </c>
    </row>
    <row r="310" spans="1:8">
      <c r="A310">
        <f>IFERROR(VLOOKUP(B310,[1]銷貨單品號主檔!$A:$D,4,0),"學習周邊")</f>
        <v>0</v>
      </c>
      <c r="G310" s="30">
        <f t="shared" si="8"/>
        <v>0</v>
      </c>
      <c r="H310" s="11" t="str">
        <f t="shared" si="9"/>
        <v/>
      </c>
    </row>
    <row r="311" spans="1:8">
      <c r="A311">
        <f>IFERROR(VLOOKUP(B311,[1]銷貨單品號主檔!$A:$D,4,0),"學習周邊")</f>
        <v>0</v>
      </c>
      <c r="G311" s="30">
        <f t="shared" si="8"/>
        <v>0</v>
      </c>
      <c r="H311" s="11" t="str">
        <f t="shared" si="9"/>
        <v/>
      </c>
    </row>
    <row r="312" spans="1:8">
      <c r="A312">
        <f>IFERROR(VLOOKUP(B312,[1]銷貨單品號主檔!$A:$D,4,0),"學習周邊")</f>
        <v>0</v>
      </c>
      <c r="G312" s="30">
        <f t="shared" si="8"/>
        <v>0</v>
      </c>
      <c r="H312" s="11" t="str">
        <f t="shared" si="9"/>
        <v/>
      </c>
    </row>
    <row r="313" spans="1:8">
      <c r="A313">
        <f>IFERROR(VLOOKUP(B313,[1]銷貨單品號主檔!$A:$D,4,0),"學習周邊")</f>
        <v>0</v>
      </c>
      <c r="G313" s="30">
        <f t="shared" si="8"/>
        <v>0</v>
      </c>
      <c r="H313" s="11" t="str">
        <f t="shared" si="9"/>
        <v/>
      </c>
    </row>
    <row r="314" spans="1:8">
      <c r="A314">
        <f>IFERROR(VLOOKUP(B314,[1]銷貨單品號主檔!$A:$D,4,0),"學習周邊")</f>
        <v>0</v>
      </c>
      <c r="G314" s="30">
        <f t="shared" si="8"/>
        <v>0</v>
      </c>
      <c r="H314" s="11" t="str">
        <f t="shared" si="9"/>
        <v/>
      </c>
    </row>
    <row r="315" spans="1:8">
      <c r="A315">
        <f>IFERROR(VLOOKUP(B315,[1]銷貨單品號主檔!$A:$D,4,0),"學習周邊")</f>
        <v>0</v>
      </c>
      <c r="G315" s="30">
        <f t="shared" si="8"/>
        <v>0</v>
      </c>
      <c r="H315" s="11" t="str">
        <f t="shared" si="9"/>
        <v/>
      </c>
    </row>
    <row r="316" spans="1:8">
      <c r="A316">
        <f>IFERROR(VLOOKUP(B316,[1]銷貨單品號主檔!$A:$D,4,0),"學習周邊")</f>
        <v>0</v>
      </c>
      <c r="G316" s="30">
        <f t="shared" si="8"/>
        <v>0</v>
      </c>
      <c r="H316" s="11" t="str">
        <f t="shared" si="9"/>
        <v/>
      </c>
    </row>
    <row r="317" spans="1:8">
      <c r="A317">
        <f>IFERROR(VLOOKUP(B317,[1]銷貨單品號主檔!$A:$D,4,0),"學習周邊")</f>
        <v>0</v>
      </c>
      <c r="G317" s="30">
        <f t="shared" si="8"/>
        <v>0</v>
      </c>
      <c r="H317" s="11" t="str">
        <f t="shared" si="9"/>
        <v/>
      </c>
    </row>
    <row r="318" spans="1:8">
      <c r="A318">
        <f>IFERROR(VLOOKUP(B318,[1]銷貨單品號主檔!$A:$D,4,0),"學習周邊")</f>
        <v>0</v>
      </c>
      <c r="G318" s="30">
        <f t="shared" si="8"/>
        <v>0</v>
      </c>
      <c r="H318" s="11" t="str">
        <f t="shared" si="9"/>
        <v/>
      </c>
    </row>
    <row r="319" spans="1:8">
      <c r="A319">
        <f>IFERROR(VLOOKUP(B319,[1]銷貨單品號主檔!$A:$D,4,0),"學習周邊")</f>
        <v>0</v>
      </c>
      <c r="G319" s="30">
        <f t="shared" si="8"/>
        <v>0</v>
      </c>
      <c r="H319" s="11" t="str">
        <f t="shared" si="9"/>
        <v/>
      </c>
    </row>
    <row r="320" spans="1:8">
      <c r="A320">
        <f>IFERROR(VLOOKUP(B320,[1]銷貨單品號主檔!$A:$D,4,0),"學習周邊")</f>
        <v>0</v>
      </c>
      <c r="G320" s="30">
        <f t="shared" si="8"/>
        <v>0</v>
      </c>
      <c r="H320" s="11" t="str">
        <f t="shared" si="9"/>
        <v/>
      </c>
    </row>
    <row r="321" spans="1:8">
      <c r="A321">
        <f>IFERROR(VLOOKUP(B321,[1]銷貨單品號主檔!$A:$D,4,0),"學習周邊")</f>
        <v>0</v>
      </c>
      <c r="G321" s="30">
        <f t="shared" si="8"/>
        <v>0</v>
      </c>
      <c r="H321" s="11" t="str">
        <f t="shared" si="9"/>
        <v/>
      </c>
    </row>
    <row r="322" spans="1:8">
      <c r="A322">
        <f>IFERROR(VLOOKUP(B322,[1]銷貨單品號主檔!$A:$D,4,0),"學習周邊")</f>
        <v>0</v>
      </c>
      <c r="G322" s="30">
        <f t="shared" si="8"/>
        <v>0</v>
      </c>
      <c r="H322" s="11" t="str">
        <f t="shared" si="9"/>
        <v/>
      </c>
    </row>
    <row r="323" spans="1:8">
      <c r="A323">
        <f>IFERROR(VLOOKUP(B323,[1]銷貨單品號主檔!$A:$D,4,0),"學習周邊")</f>
        <v>0</v>
      </c>
      <c r="G323" s="30">
        <f t="shared" si="8"/>
        <v>0</v>
      </c>
      <c r="H323" s="11" t="str">
        <f t="shared" si="9"/>
        <v/>
      </c>
    </row>
    <row r="324" spans="1:8">
      <c r="A324">
        <f>IFERROR(VLOOKUP(B324,[1]銷貨單品號主檔!$A:$D,4,0),"學習周邊")</f>
        <v>0</v>
      </c>
      <c r="G324" s="30">
        <f t="shared" si="8"/>
        <v>0</v>
      </c>
      <c r="H324" s="11" t="str">
        <f t="shared" si="9"/>
        <v/>
      </c>
    </row>
    <row r="325" spans="1:8">
      <c r="A325">
        <f>IFERROR(VLOOKUP(B325,[1]銷貨單品號主檔!$A:$D,4,0),"學習周邊")</f>
        <v>0</v>
      </c>
      <c r="G325" s="30">
        <f t="shared" ref="G325:G388" si="10">F325/1.05</f>
        <v>0</v>
      </c>
      <c r="H325" s="11" t="str">
        <f t="shared" ref="H325:H388" si="11">IF(C325="","",TEXT(C325,"YYYY/M/D")*1)</f>
        <v/>
      </c>
    </row>
    <row r="326" spans="1:8">
      <c r="A326">
        <f>IFERROR(VLOOKUP(B326,[1]銷貨單品號主檔!$A:$D,4,0),"學習周邊")</f>
        <v>0</v>
      </c>
      <c r="G326" s="30">
        <f t="shared" si="10"/>
        <v>0</v>
      </c>
      <c r="H326" s="11" t="str">
        <f t="shared" si="11"/>
        <v/>
      </c>
    </row>
    <row r="327" spans="1:8">
      <c r="A327">
        <f>IFERROR(VLOOKUP(B327,[1]銷貨單品號主檔!$A:$D,4,0),"學習周邊")</f>
        <v>0</v>
      </c>
      <c r="G327" s="30">
        <f t="shared" si="10"/>
        <v>0</v>
      </c>
      <c r="H327" s="11" t="str">
        <f t="shared" si="11"/>
        <v/>
      </c>
    </row>
    <row r="328" spans="1:8">
      <c r="A328">
        <f>IFERROR(VLOOKUP(B328,[1]銷貨單品號主檔!$A:$D,4,0),"學習周邊")</f>
        <v>0</v>
      </c>
      <c r="G328" s="30">
        <f t="shared" si="10"/>
        <v>0</v>
      </c>
      <c r="H328" s="11" t="str">
        <f t="shared" si="11"/>
        <v/>
      </c>
    </row>
    <row r="329" spans="1:8">
      <c r="A329">
        <f>IFERROR(VLOOKUP(B329,[1]銷貨單品號主檔!$A:$D,4,0),"學習周邊")</f>
        <v>0</v>
      </c>
      <c r="G329" s="30">
        <f t="shared" si="10"/>
        <v>0</v>
      </c>
      <c r="H329" s="11" t="str">
        <f t="shared" si="11"/>
        <v/>
      </c>
    </row>
    <row r="330" spans="1:8">
      <c r="A330">
        <f>IFERROR(VLOOKUP(B330,[1]銷貨單品號主檔!$A:$D,4,0),"學習周邊")</f>
        <v>0</v>
      </c>
      <c r="G330" s="30">
        <f t="shared" si="10"/>
        <v>0</v>
      </c>
      <c r="H330" s="11" t="str">
        <f t="shared" si="11"/>
        <v/>
      </c>
    </row>
    <row r="331" spans="1:8">
      <c r="A331">
        <f>IFERROR(VLOOKUP(B331,[1]銷貨單品號主檔!$A:$D,4,0),"學習周邊")</f>
        <v>0</v>
      </c>
      <c r="G331" s="30">
        <f t="shared" si="10"/>
        <v>0</v>
      </c>
      <c r="H331" s="11" t="str">
        <f t="shared" si="11"/>
        <v/>
      </c>
    </row>
    <row r="332" spans="1:8">
      <c r="A332">
        <f>IFERROR(VLOOKUP(B332,[1]銷貨單品號主檔!$A:$D,4,0),"學習周邊")</f>
        <v>0</v>
      </c>
      <c r="G332" s="30">
        <f t="shared" si="10"/>
        <v>0</v>
      </c>
      <c r="H332" s="11" t="str">
        <f t="shared" si="11"/>
        <v/>
      </c>
    </row>
    <row r="333" spans="1:8">
      <c r="A333">
        <f>IFERROR(VLOOKUP(B333,[1]銷貨單品號主檔!$A:$D,4,0),"學習周邊")</f>
        <v>0</v>
      </c>
      <c r="G333" s="30">
        <f t="shared" si="10"/>
        <v>0</v>
      </c>
      <c r="H333" s="11" t="str">
        <f t="shared" si="11"/>
        <v/>
      </c>
    </row>
    <row r="334" spans="1:8">
      <c r="A334">
        <f>IFERROR(VLOOKUP(B334,[1]銷貨單品號主檔!$A:$D,4,0),"學習周邊")</f>
        <v>0</v>
      </c>
      <c r="G334" s="30">
        <f t="shared" si="10"/>
        <v>0</v>
      </c>
      <c r="H334" s="11" t="str">
        <f t="shared" si="11"/>
        <v/>
      </c>
    </row>
    <row r="335" spans="1:8">
      <c r="A335">
        <f>IFERROR(VLOOKUP(B335,[1]銷貨單品號主檔!$A:$D,4,0),"學習周邊")</f>
        <v>0</v>
      </c>
      <c r="G335" s="30">
        <f t="shared" si="10"/>
        <v>0</v>
      </c>
      <c r="H335" s="11" t="str">
        <f t="shared" si="11"/>
        <v/>
      </c>
    </row>
    <row r="336" spans="1:8">
      <c r="A336">
        <f>IFERROR(VLOOKUP(B336,[1]銷貨單品號主檔!$A:$D,4,0),"學習周邊")</f>
        <v>0</v>
      </c>
      <c r="G336" s="30">
        <f t="shared" si="10"/>
        <v>0</v>
      </c>
      <c r="H336" s="11" t="str">
        <f t="shared" si="11"/>
        <v/>
      </c>
    </row>
    <row r="337" spans="1:8">
      <c r="A337">
        <f>IFERROR(VLOOKUP(B337,[1]銷貨單品號主檔!$A:$D,4,0),"學習周邊")</f>
        <v>0</v>
      </c>
      <c r="G337" s="30">
        <f t="shared" si="10"/>
        <v>0</v>
      </c>
      <c r="H337" s="11" t="str">
        <f t="shared" si="11"/>
        <v/>
      </c>
    </row>
    <row r="338" spans="1:8">
      <c r="A338">
        <f>IFERROR(VLOOKUP(B338,[1]銷貨單品號主檔!$A:$D,4,0),"學習周邊")</f>
        <v>0</v>
      </c>
      <c r="G338" s="30">
        <f t="shared" si="10"/>
        <v>0</v>
      </c>
      <c r="H338" s="11" t="str">
        <f t="shared" si="11"/>
        <v/>
      </c>
    </row>
    <row r="339" spans="1:8">
      <c r="A339">
        <f>IFERROR(VLOOKUP(B339,[1]銷貨單品號主檔!$A:$D,4,0),"學習周邊")</f>
        <v>0</v>
      </c>
      <c r="G339" s="30">
        <f t="shared" si="10"/>
        <v>0</v>
      </c>
      <c r="H339" s="11" t="str">
        <f t="shared" si="11"/>
        <v/>
      </c>
    </row>
    <row r="340" spans="1:8">
      <c r="A340">
        <f>IFERROR(VLOOKUP(B340,[1]銷貨單品號主檔!$A:$D,4,0),"學習周邊")</f>
        <v>0</v>
      </c>
      <c r="G340" s="30">
        <f t="shared" si="10"/>
        <v>0</v>
      </c>
      <c r="H340" s="11" t="str">
        <f t="shared" si="11"/>
        <v/>
      </c>
    </row>
    <row r="341" spans="1:8">
      <c r="A341">
        <f>IFERROR(VLOOKUP(B341,[1]銷貨單品號主檔!$A:$D,4,0),"學習周邊")</f>
        <v>0</v>
      </c>
      <c r="G341" s="30">
        <f t="shared" si="10"/>
        <v>0</v>
      </c>
      <c r="H341" s="11" t="str">
        <f t="shared" si="11"/>
        <v/>
      </c>
    </row>
    <row r="342" spans="1:8">
      <c r="A342">
        <f>IFERROR(VLOOKUP(B342,[1]銷貨單品號主檔!$A:$D,4,0),"學習周邊")</f>
        <v>0</v>
      </c>
      <c r="G342" s="30">
        <f t="shared" si="10"/>
        <v>0</v>
      </c>
      <c r="H342" s="11" t="str">
        <f t="shared" si="11"/>
        <v/>
      </c>
    </row>
    <row r="343" spans="1:8">
      <c r="A343">
        <f>IFERROR(VLOOKUP(B343,[1]銷貨單品號主檔!$A:$D,4,0),"學習周邊")</f>
        <v>0</v>
      </c>
      <c r="G343" s="30">
        <f t="shared" si="10"/>
        <v>0</v>
      </c>
      <c r="H343" s="11" t="str">
        <f t="shared" si="11"/>
        <v/>
      </c>
    </row>
    <row r="344" spans="1:8">
      <c r="A344">
        <f>IFERROR(VLOOKUP(B344,[1]銷貨單品號主檔!$A:$D,4,0),"學習周邊")</f>
        <v>0</v>
      </c>
      <c r="G344" s="30">
        <f t="shared" si="10"/>
        <v>0</v>
      </c>
      <c r="H344" s="11" t="str">
        <f t="shared" si="11"/>
        <v/>
      </c>
    </row>
    <row r="345" spans="1:8">
      <c r="A345">
        <f>IFERROR(VLOOKUP(B345,[1]銷貨單品號主檔!$A:$D,4,0),"學習周邊")</f>
        <v>0</v>
      </c>
      <c r="G345" s="30">
        <f t="shared" si="10"/>
        <v>0</v>
      </c>
      <c r="H345" s="11" t="str">
        <f t="shared" si="11"/>
        <v/>
      </c>
    </row>
    <row r="346" spans="1:8">
      <c r="A346">
        <f>IFERROR(VLOOKUP(B346,[1]銷貨單品號主檔!$A:$D,4,0),"學習周邊")</f>
        <v>0</v>
      </c>
      <c r="G346" s="30">
        <f t="shared" si="10"/>
        <v>0</v>
      </c>
      <c r="H346" s="11" t="str">
        <f t="shared" si="11"/>
        <v/>
      </c>
    </row>
    <row r="347" spans="1:8">
      <c r="A347">
        <f>IFERROR(VLOOKUP(B347,[1]銷貨單品號主檔!$A:$D,4,0),"學習周邊")</f>
        <v>0</v>
      </c>
      <c r="G347" s="30">
        <f t="shared" si="10"/>
        <v>0</v>
      </c>
      <c r="H347" s="11" t="str">
        <f t="shared" si="11"/>
        <v/>
      </c>
    </row>
    <row r="348" spans="1:8">
      <c r="A348">
        <f>IFERROR(VLOOKUP(B348,[1]銷貨單品號主檔!$A:$D,4,0),"學習周邊")</f>
        <v>0</v>
      </c>
      <c r="G348" s="30">
        <f t="shared" si="10"/>
        <v>0</v>
      </c>
      <c r="H348" s="11" t="str">
        <f t="shared" si="11"/>
        <v/>
      </c>
    </row>
    <row r="349" spans="1:8">
      <c r="A349">
        <f>IFERROR(VLOOKUP(B349,[1]銷貨單品號主檔!$A:$D,4,0),"學習周邊")</f>
        <v>0</v>
      </c>
      <c r="G349" s="30">
        <f t="shared" si="10"/>
        <v>0</v>
      </c>
      <c r="H349" s="11" t="str">
        <f t="shared" si="11"/>
        <v/>
      </c>
    </row>
    <row r="350" spans="1:8">
      <c r="A350">
        <f>IFERROR(VLOOKUP(B350,[1]銷貨單品號主檔!$A:$D,4,0),"學習周邊")</f>
        <v>0</v>
      </c>
      <c r="G350" s="30">
        <f t="shared" si="10"/>
        <v>0</v>
      </c>
      <c r="H350" s="11" t="str">
        <f t="shared" si="11"/>
        <v/>
      </c>
    </row>
    <row r="351" spans="1:8">
      <c r="A351">
        <f>IFERROR(VLOOKUP(B351,[1]銷貨單品號主檔!$A:$D,4,0),"學習周邊")</f>
        <v>0</v>
      </c>
      <c r="G351" s="30">
        <f t="shared" si="10"/>
        <v>0</v>
      </c>
      <c r="H351" s="11" t="str">
        <f t="shared" si="11"/>
        <v/>
      </c>
    </row>
    <row r="352" spans="1:8">
      <c r="A352">
        <f>IFERROR(VLOOKUP(B352,[1]銷貨單品號主檔!$A:$D,4,0),"學習周邊")</f>
        <v>0</v>
      </c>
      <c r="G352" s="30">
        <f t="shared" si="10"/>
        <v>0</v>
      </c>
      <c r="H352" s="11" t="str">
        <f t="shared" si="11"/>
        <v/>
      </c>
    </row>
    <row r="353" spans="1:8">
      <c r="A353">
        <f>IFERROR(VLOOKUP(B353,[1]銷貨單品號主檔!$A:$D,4,0),"學習周邊")</f>
        <v>0</v>
      </c>
      <c r="G353" s="30">
        <f t="shared" si="10"/>
        <v>0</v>
      </c>
      <c r="H353" s="11" t="str">
        <f t="shared" si="11"/>
        <v/>
      </c>
    </row>
    <row r="354" spans="1:8">
      <c r="A354">
        <f>IFERROR(VLOOKUP(B354,[1]銷貨單品號主檔!$A:$D,4,0),"學習周邊")</f>
        <v>0</v>
      </c>
      <c r="G354" s="30">
        <f t="shared" si="10"/>
        <v>0</v>
      </c>
      <c r="H354" s="11" t="str">
        <f t="shared" si="11"/>
        <v/>
      </c>
    </row>
    <row r="355" spans="1:8">
      <c r="A355">
        <f>IFERROR(VLOOKUP(B355,[1]銷貨單品號主檔!$A:$D,4,0),"學習周邊")</f>
        <v>0</v>
      </c>
      <c r="G355" s="30">
        <f t="shared" si="10"/>
        <v>0</v>
      </c>
      <c r="H355" s="11" t="str">
        <f t="shared" si="11"/>
        <v/>
      </c>
    </row>
    <row r="356" spans="1:8">
      <c r="A356">
        <f>IFERROR(VLOOKUP(B356,[1]銷貨單品號主檔!$A:$D,4,0),"學習周邊")</f>
        <v>0</v>
      </c>
      <c r="G356" s="30">
        <f t="shared" si="10"/>
        <v>0</v>
      </c>
      <c r="H356" s="11" t="str">
        <f t="shared" si="11"/>
        <v/>
      </c>
    </row>
    <row r="357" spans="1:8">
      <c r="A357">
        <f>IFERROR(VLOOKUP(B357,[1]銷貨單品號主檔!$A:$D,4,0),"學習周邊")</f>
        <v>0</v>
      </c>
      <c r="G357" s="30">
        <f t="shared" si="10"/>
        <v>0</v>
      </c>
      <c r="H357" s="11" t="str">
        <f t="shared" si="11"/>
        <v/>
      </c>
    </row>
    <row r="358" spans="1:8">
      <c r="A358">
        <f>IFERROR(VLOOKUP(B358,[1]銷貨單品號主檔!$A:$D,4,0),"學習周邊")</f>
        <v>0</v>
      </c>
      <c r="G358" s="30">
        <f t="shared" si="10"/>
        <v>0</v>
      </c>
      <c r="H358" s="11" t="str">
        <f t="shared" si="11"/>
        <v/>
      </c>
    </row>
    <row r="359" spans="1:8">
      <c r="A359">
        <f>IFERROR(VLOOKUP(B359,[1]銷貨單品號主檔!$A:$D,4,0),"學習周邊")</f>
        <v>0</v>
      </c>
      <c r="G359" s="30">
        <f t="shared" si="10"/>
        <v>0</v>
      </c>
      <c r="H359" s="11" t="str">
        <f t="shared" si="11"/>
        <v/>
      </c>
    </row>
    <row r="360" spans="1:8">
      <c r="A360">
        <f>IFERROR(VLOOKUP(B360,[1]銷貨單品號主檔!$A:$D,4,0),"學習周邊")</f>
        <v>0</v>
      </c>
      <c r="G360" s="30">
        <f t="shared" si="10"/>
        <v>0</v>
      </c>
      <c r="H360" s="11" t="str">
        <f t="shared" si="11"/>
        <v/>
      </c>
    </row>
    <row r="361" spans="1:8">
      <c r="A361">
        <f>IFERROR(VLOOKUP(B361,[1]銷貨單品號主檔!$A:$D,4,0),"學習周邊")</f>
        <v>0</v>
      </c>
      <c r="G361" s="30">
        <f t="shared" si="10"/>
        <v>0</v>
      </c>
      <c r="H361" s="11" t="str">
        <f t="shared" si="11"/>
        <v/>
      </c>
    </row>
    <row r="362" spans="1:8">
      <c r="A362">
        <f>IFERROR(VLOOKUP(B362,[1]銷貨單品號主檔!$A:$D,4,0),"學習周邊")</f>
        <v>0</v>
      </c>
      <c r="G362" s="30">
        <f t="shared" si="10"/>
        <v>0</v>
      </c>
      <c r="H362" s="11" t="str">
        <f t="shared" si="11"/>
        <v/>
      </c>
    </row>
    <row r="363" spans="1:8">
      <c r="A363">
        <f>IFERROR(VLOOKUP(B363,[1]銷貨單品號主檔!$A:$D,4,0),"學習周邊")</f>
        <v>0</v>
      </c>
      <c r="G363" s="30">
        <f t="shared" si="10"/>
        <v>0</v>
      </c>
      <c r="H363" s="11" t="str">
        <f t="shared" si="11"/>
        <v/>
      </c>
    </row>
    <row r="364" spans="1:8">
      <c r="A364">
        <f>IFERROR(VLOOKUP(B364,[1]銷貨單品號主檔!$A:$D,4,0),"學習周邊")</f>
        <v>0</v>
      </c>
      <c r="G364" s="30">
        <f t="shared" si="10"/>
        <v>0</v>
      </c>
      <c r="H364" s="11" t="str">
        <f t="shared" si="11"/>
        <v/>
      </c>
    </row>
    <row r="365" spans="1:8">
      <c r="A365">
        <f>IFERROR(VLOOKUP(B365,[1]銷貨單品號主檔!$A:$D,4,0),"學習周邊")</f>
        <v>0</v>
      </c>
      <c r="G365" s="30">
        <f t="shared" si="10"/>
        <v>0</v>
      </c>
      <c r="H365" s="11" t="str">
        <f t="shared" si="11"/>
        <v/>
      </c>
    </row>
    <row r="366" spans="1:8">
      <c r="A366">
        <f>IFERROR(VLOOKUP(B366,[1]銷貨單品號主檔!$A:$D,4,0),"學習周邊")</f>
        <v>0</v>
      </c>
      <c r="G366" s="30">
        <f t="shared" si="10"/>
        <v>0</v>
      </c>
      <c r="H366" s="11" t="str">
        <f t="shared" si="11"/>
        <v/>
      </c>
    </row>
    <row r="367" spans="1:8">
      <c r="A367">
        <f>IFERROR(VLOOKUP(B367,[1]銷貨單品號主檔!$A:$D,4,0),"學習周邊")</f>
        <v>0</v>
      </c>
      <c r="G367" s="30">
        <f t="shared" si="10"/>
        <v>0</v>
      </c>
      <c r="H367" s="11" t="str">
        <f t="shared" si="11"/>
        <v/>
      </c>
    </row>
    <row r="368" spans="1:8">
      <c r="A368">
        <f>IFERROR(VLOOKUP(B368,[1]銷貨單品號主檔!$A:$D,4,0),"學習周邊")</f>
        <v>0</v>
      </c>
      <c r="G368" s="30">
        <f t="shared" si="10"/>
        <v>0</v>
      </c>
      <c r="H368" s="11" t="str">
        <f t="shared" si="11"/>
        <v/>
      </c>
    </row>
    <row r="369" spans="1:8">
      <c r="A369">
        <f>IFERROR(VLOOKUP(B369,[1]銷貨單品號主檔!$A:$D,4,0),"學習周邊")</f>
        <v>0</v>
      </c>
      <c r="G369" s="30">
        <f t="shared" si="10"/>
        <v>0</v>
      </c>
      <c r="H369" s="11" t="str">
        <f t="shared" si="11"/>
        <v/>
      </c>
    </row>
    <row r="370" spans="1:8">
      <c r="A370">
        <f>IFERROR(VLOOKUP(B370,[1]銷貨單品號主檔!$A:$D,4,0),"學習周邊")</f>
        <v>0</v>
      </c>
      <c r="G370" s="30">
        <f t="shared" si="10"/>
        <v>0</v>
      </c>
      <c r="H370" s="11" t="str">
        <f t="shared" si="11"/>
        <v/>
      </c>
    </row>
    <row r="371" spans="1:8">
      <c r="A371">
        <f>IFERROR(VLOOKUP(B371,[1]銷貨單品號主檔!$A:$D,4,0),"學習周邊")</f>
        <v>0</v>
      </c>
      <c r="G371" s="30">
        <f t="shared" si="10"/>
        <v>0</v>
      </c>
      <c r="H371" s="11" t="str">
        <f t="shared" si="11"/>
        <v/>
      </c>
    </row>
    <row r="372" spans="1:8">
      <c r="A372">
        <f>IFERROR(VLOOKUP(B372,[1]銷貨單品號主檔!$A:$D,4,0),"學習周邊")</f>
        <v>0</v>
      </c>
      <c r="G372" s="30">
        <f t="shared" si="10"/>
        <v>0</v>
      </c>
      <c r="H372" s="11" t="str">
        <f t="shared" si="11"/>
        <v/>
      </c>
    </row>
    <row r="373" spans="1:8">
      <c r="A373">
        <f>IFERROR(VLOOKUP(B373,[1]銷貨單品號主檔!$A:$D,4,0),"學習周邊")</f>
        <v>0</v>
      </c>
      <c r="G373" s="30">
        <f t="shared" si="10"/>
        <v>0</v>
      </c>
      <c r="H373" s="11" t="str">
        <f t="shared" si="11"/>
        <v/>
      </c>
    </row>
    <row r="374" spans="1:8">
      <c r="A374">
        <f>IFERROR(VLOOKUP(B374,[1]銷貨單品號主檔!$A:$D,4,0),"學習周邊")</f>
        <v>0</v>
      </c>
      <c r="G374" s="30">
        <f t="shared" si="10"/>
        <v>0</v>
      </c>
      <c r="H374" s="11" t="str">
        <f t="shared" si="11"/>
        <v/>
      </c>
    </row>
    <row r="375" spans="1:8">
      <c r="A375">
        <f>IFERROR(VLOOKUP(B375,[1]銷貨單品號主檔!$A:$D,4,0),"學習周邊")</f>
        <v>0</v>
      </c>
      <c r="G375" s="30">
        <f t="shared" si="10"/>
        <v>0</v>
      </c>
      <c r="H375" s="11" t="str">
        <f t="shared" si="11"/>
        <v/>
      </c>
    </row>
    <row r="376" spans="1:8">
      <c r="A376">
        <f>IFERROR(VLOOKUP(B376,[1]銷貨單品號主檔!$A:$D,4,0),"學習周邊")</f>
        <v>0</v>
      </c>
      <c r="G376" s="30">
        <f t="shared" si="10"/>
        <v>0</v>
      </c>
      <c r="H376" s="11" t="str">
        <f t="shared" si="11"/>
        <v/>
      </c>
    </row>
    <row r="377" spans="1:8">
      <c r="A377">
        <f>IFERROR(VLOOKUP(B377,[1]銷貨單品號主檔!$A:$D,4,0),"學習周邊")</f>
        <v>0</v>
      </c>
      <c r="G377" s="30">
        <f t="shared" si="10"/>
        <v>0</v>
      </c>
      <c r="H377" s="11" t="str">
        <f t="shared" si="11"/>
        <v/>
      </c>
    </row>
    <row r="378" spans="1:8">
      <c r="A378">
        <f>IFERROR(VLOOKUP(B378,[1]銷貨單品號主檔!$A:$D,4,0),"學習周邊")</f>
        <v>0</v>
      </c>
      <c r="G378" s="30">
        <f t="shared" si="10"/>
        <v>0</v>
      </c>
      <c r="H378" s="11" t="str">
        <f t="shared" si="11"/>
        <v/>
      </c>
    </row>
    <row r="379" spans="1:8">
      <c r="A379">
        <f>IFERROR(VLOOKUP(B379,[1]銷貨單品號主檔!$A:$D,4,0),"學習周邊")</f>
        <v>0</v>
      </c>
      <c r="G379" s="30">
        <f t="shared" si="10"/>
        <v>0</v>
      </c>
      <c r="H379" s="11" t="str">
        <f t="shared" si="11"/>
        <v/>
      </c>
    </row>
    <row r="380" spans="1:8">
      <c r="A380">
        <f>IFERROR(VLOOKUP(B380,[1]銷貨單品號主檔!$A:$D,4,0),"學習周邊")</f>
        <v>0</v>
      </c>
      <c r="G380" s="30">
        <f t="shared" si="10"/>
        <v>0</v>
      </c>
      <c r="H380" s="11" t="str">
        <f t="shared" si="11"/>
        <v/>
      </c>
    </row>
    <row r="381" spans="1:8">
      <c r="A381">
        <f>IFERROR(VLOOKUP(B381,[1]銷貨單品號主檔!$A:$D,4,0),"學習周邊")</f>
        <v>0</v>
      </c>
      <c r="G381" s="30">
        <f t="shared" si="10"/>
        <v>0</v>
      </c>
      <c r="H381" s="11" t="str">
        <f t="shared" si="11"/>
        <v/>
      </c>
    </row>
    <row r="382" spans="1:8">
      <c r="A382">
        <f>IFERROR(VLOOKUP(B382,[1]銷貨單品號主檔!$A:$D,4,0),"學習周邊")</f>
        <v>0</v>
      </c>
      <c r="G382" s="30">
        <f t="shared" si="10"/>
        <v>0</v>
      </c>
      <c r="H382" s="11" t="str">
        <f t="shared" si="11"/>
        <v/>
      </c>
    </row>
    <row r="383" spans="1:8">
      <c r="A383">
        <f>IFERROR(VLOOKUP(B383,[1]銷貨單品號主檔!$A:$D,4,0),"學習周邊")</f>
        <v>0</v>
      </c>
      <c r="G383" s="30">
        <f t="shared" si="10"/>
        <v>0</v>
      </c>
      <c r="H383" s="11" t="str">
        <f t="shared" si="11"/>
        <v/>
      </c>
    </row>
    <row r="384" spans="1:8">
      <c r="A384">
        <f>IFERROR(VLOOKUP(B384,[1]銷貨單品號主檔!$A:$D,4,0),"學習周邊")</f>
        <v>0</v>
      </c>
      <c r="G384" s="30">
        <f t="shared" si="10"/>
        <v>0</v>
      </c>
      <c r="H384" s="11" t="str">
        <f t="shared" si="11"/>
        <v/>
      </c>
    </row>
    <row r="385" spans="1:8">
      <c r="A385">
        <f>IFERROR(VLOOKUP(B385,[1]銷貨單品號主檔!$A:$D,4,0),"學習周邊")</f>
        <v>0</v>
      </c>
      <c r="G385" s="30">
        <f t="shared" si="10"/>
        <v>0</v>
      </c>
      <c r="H385" s="11" t="str">
        <f t="shared" si="11"/>
        <v/>
      </c>
    </row>
    <row r="386" spans="1:8">
      <c r="A386">
        <f>IFERROR(VLOOKUP(B386,[1]銷貨單品號主檔!$A:$D,4,0),"學習周邊")</f>
        <v>0</v>
      </c>
      <c r="G386" s="30">
        <f t="shared" si="10"/>
        <v>0</v>
      </c>
      <c r="H386" s="11" t="str">
        <f t="shared" si="11"/>
        <v/>
      </c>
    </row>
    <row r="387" spans="1:8">
      <c r="A387">
        <f>IFERROR(VLOOKUP(B387,[1]銷貨單品號主檔!$A:$D,4,0),"學習周邊")</f>
        <v>0</v>
      </c>
      <c r="G387" s="30">
        <f t="shared" si="10"/>
        <v>0</v>
      </c>
      <c r="H387" s="11" t="str">
        <f t="shared" si="11"/>
        <v/>
      </c>
    </row>
    <row r="388" spans="1:8">
      <c r="A388">
        <f>IFERROR(VLOOKUP(B388,[1]銷貨單品號主檔!$A:$D,4,0),"學習周邊")</f>
        <v>0</v>
      </c>
      <c r="G388" s="30">
        <f t="shared" si="10"/>
        <v>0</v>
      </c>
      <c r="H388" s="11" t="str">
        <f t="shared" si="11"/>
        <v/>
      </c>
    </row>
    <row r="389" spans="1:8">
      <c r="A389">
        <f>IFERROR(VLOOKUP(B389,[1]銷貨單品號主檔!$A:$D,4,0),"學習周邊")</f>
        <v>0</v>
      </c>
      <c r="G389" s="30">
        <f t="shared" ref="G389:G452" si="12">F389/1.05</f>
        <v>0</v>
      </c>
      <c r="H389" s="11" t="str">
        <f t="shared" ref="H389:H452" si="13">IF(C389="","",TEXT(C389,"YYYY/M/D")*1)</f>
        <v/>
      </c>
    </row>
    <row r="390" spans="1:8">
      <c r="A390">
        <f>IFERROR(VLOOKUP(B390,[1]銷貨單品號主檔!$A:$D,4,0),"學習周邊")</f>
        <v>0</v>
      </c>
      <c r="G390" s="30">
        <f t="shared" si="12"/>
        <v>0</v>
      </c>
      <c r="H390" s="11" t="str">
        <f t="shared" si="13"/>
        <v/>
      </c>
    </row>
    <row r="391" spans="1:8">
      <c r="A391">
        <f>IFERROR(VLOOKUP(B391,[1]銷貨單品號主檔!$A:$D,4,0),"學習周邊")</f>
        <v>0</v>
      </c>
      <c r="G391" s="30">
        <f t="shared" si="12"/>
        <v>0</v>
      </c>
      <c r="H391" s="11" t="str">
        <f t="shared" si="13"/>
        <v/>
      </c>
    </row>
    <row r="392" spans="1:8">
      <c r="A392">
        <f>IFERROR(VLOOKUP(B392,[1]銷貨單品號主檔!$A:$D,4,0),"學習周邊")</f>
        <v>0</v>
      </c>
      <c r="G392" s="30">
        <f t="shared" si="12"/>
        <v>0</v>
      </c>
      <c r="H392" s="11" t="str">
        <f t="shared" si="13"/>
        <v/>
      </c>
    </row>
    <row r="393" spans="1:8">
      <c r="A393">
        <f>IFERROR(VLOOKUP(B393,[1]銷貨單品號主檔!$A:$D,4,0),"學習周邊")</f>
        <v>0</v>
      </c>
      <c r="G393" s="30">
        <f t="shared" si="12"/>
        <v>0</v>
      </c>
      <c r="H393" s="11" t="str">
        <f t="shared" si="13"/>
        <v/>
      </c>
    </row>
    <row r="394" spans="1:8">
      <c r="A394">
        <f>IFERROR(VLOOKUP(B394,[1]銷貨單品號主檔!$A:$D,4,0),"學習周邊")</f>
        <v>0</v>
      </c>
      <c r="G394" s="30">
        <f t="shared" si="12"/>
        <v>0</v>
      </c>
      <c r="H394" s="11" t="str">
        <f t="shared" si="13"/>
        <v/>
      </c>
    </row>
    <row r="395" spans="1:8">
      <c r="A395">
        <f>IFERROR(VLOOKUP(B395,[1]銷貨單品號主檔!$A:$D,4,0),"學習周邊")</f>
        <v>0</v>
      </c>
      <c r="G395" s="30">
        <f t="shared" si="12"/>
        <v>0</v>
      </c>
      <c r="H395" s="11" t="str">
        <f t="shared" si="13"/>
        <v/>
      </c>
    </row>
    <row r="396" spans="1:8">
      <c r="A396">
        <f>IFERROR(VLOOKUP(B396,[1]銷貨單品號主檔!$A:$D,4,0),"學習周邊")</f>
        <v>0</v>
      </c>
      <c r="G396" s="30">
        <f t="shared" si="12"/>
        <v>0</v>
      </c>
      <c r="H396" s="11" t="str">
        <f t="shared" si="13"/>
        <v/>
      </c>
    </row>
    <row r="397" spans="1:8">
      <c r="A397">
        <f>IFERROR(VLOOKUP(B397,[1]銷貨單品號主檔!$A:$D,4,0),"學習周邊")</f>
        <v>0</v>
      </c>
      <c r="G397" s="30">
        <f t="shared" si="12"/>
        <v>0</v>
      </c>
      <c r="H397" s="11" t="str">
        <f t="shared" si="13"/>
        <v/>
      </c>
    </row>
    <row r="398" spans="1:8">
      <c r="A398">
        <f>IFERROR(VLOOKUP(B398,[1]銷貨單品號主檔!$A:$D,4,0),"學習周邊")</f>
        <v>0</v>
      </c>
      <c r="G398" s="30">
        <f t="shared" si="12"/>
        <v>0</v>
      </c>
      <c r="H398" s="11" t="str">
        <f t="shared" si="13"/>
        <v/>
      </c>
    </row>
    <row r="399" spans="1:8">
      <c r="A399">
        <f>IFERROR(VLOOKUP(B399,[1]銷貨單品號主檔!$A:$D,4,0),"學習周邊")</f>
        <v>0</v>
      </c>
      <c r="G399" s="30">
        <f t="shared" si="12"/>
        <v>0</v>
      </c>
      <c r="H399" s="11" t="str">
        <f t="shared" si="13"/>
        <v/>
      </c>
    </row>
    <row r="400" spans="1:8">
      <c r="A400">
        <f>IFERROR(VLOOKUP(B400,[1]銷貨單品號主檔!$A:$D,4,0),"學習周邊")</f>
        <v>0</v>
      </c>
      <c r="G400" s="30">
        <f t="shared" si="12"/>
        <v>0</v>
      </c>
      <c r="H400" s="11" t="str">
        <f t="shared" si="13"/>
        <v/>
      </c>
    </row>
    <row r="401" spans="1:8">
      <c r="A401">
        <f>IFERROR(VLOOKUP(B401,[1]銷貨單品號主檔!$A:$D,4,0),"學習周邊")</f>
        <v>0</v>
      </c>
      <c r="G401" s="30">
        <f t="shared" si="12"/>
        <v>0</v>
      </c>
      <c r="H401" s="11" t="str">
        <f t="shared" si="13"/>
        <v/>
      </c>
    </row>
    <row r="402" spans="1:8">
      <c r="A402">
        <f>IFERROR(VLOOKUP(B402,[1]銷貨單品號主檔!$A:$D,4,0),"學習周邊")</f>
        <v>0</v>
      </c>
      <c r="G402" s="30">
        <f t="shared" si="12"/>
        <v>0</v>
      </c>
      <c r="H402" s="11" t="str">
        <f t="shared" si="13"/>
        <v/>
      </c>
    </row>
    <row r="403" spans="1:8">
      <c r="A403">
        <f>IFERROR(VLOOKUP(B403,[1]銷貨單品號主檔!$A:$D,4,0),"學習周邊")</f>
        <v>0</v>
      </c>
      <c r="G403" s="30">
        <f t="shared" si="12"/>
        <v>0</v>
      </c>
      <c r="H403" s="11" t="str">
        <f t="shared" si="13"/>
        <v/>
      </c>
    </row>
    <row r="404" spans="1:8">
      <c r="A404">
        <f>IFERROR(VLOOKUP(B404,[1]銷貨單品號主檔!$A:$D,4,0),"學習周邊")</f>
        <v>0</v>
      </c>
      <c r="G404" s="30">
        <f t="shared" si="12"/>
        <v>0</v>
      </c>
      <c r="H404" s="11" t="str">
        <f t="shared" si="13"/>
        <v/>
      </c>
    </row>
    <row r="405" spans="1:8">
      <c r="A405">
        <f>IFERROR(VLOOKUP(B405,[1]銷貨單品號主檔!$A:$D,4,0),"學習周邊")</f>
        <v>0</v>
      </c>
      <c r="G405" s="30">
        <f t="shared" si="12"/>
        <v>0</v>
      </c>
      <c r="H405" s="11" t="str">
        <f t="shared" si="13"/>
        <v/>
      </c>
    </row>
    <row r="406" spans="1:8">
      <c r="A406">
        <f>IFERROR(VLOOKUP(B406,[1]銷貨單品號主檔!$A:$D,4,0),"學習周邊")</f>
        <v>0</v>
      </c>
      <c r="G406" s="30">
        <f t="shared" si="12"/>
        <v>0</v>
      </c>
      <c r="H406" s="11" t="str">
        <f t="shared" si="13"/>
        <v/>
      </c>
    </row>
    <row r="407" spans="1:8">
      <c r="A407">
        <f>IFERROR(VLOOKUP(B407,[1]銷貨單品號主檔!$A:$D,4,0),"學習周邊")</f>
        <v>0</v>
      </c>
      <c r="G407" s="30">
        <f t="shared" si="12"/>
        <v>0</v>
      </c>
      <c r="H407" s="11" t="str">
        <f t="shared" si="13"/>
        <v/>
      </c>
    </row>
    <row r="408" spans="1:8">
      <c r="A408">
        <f>IFERROR(VLOOKUP(B408,[1]銷貨單品號主檔!$A:$D,4,0),"學習周邊")</f>
        <v>0</v>
      </c>
      <c r="G408" s="30">
        <f t="shared" si="12"/>
        <v>0</v>
      </c>
      <c r="H408" s="11" t="str">
        <f t="shared" si="13"/>
        <v/>
      </c>
    </row>
    <row r="409" spans="1:8">
      <c r="A409">
        <f>IFERROR(VLOOKUP(B409,[1]銷貨單品號主檔!$A:$D,4,0),"學習周邊")</f>
        <v>0</v>
      </c>
      <c r="G409" s="30">
        <f t="shared" si="12"/>
        <v>0</v>
      </c>
      <c r="H409" s="11" t="str">
        <f t="shared" si="13"/>
        <v/>
      </c>
    </row>
    <row r="410" spans="1:8">
      <c r="A410">
        <f>IFERROR(VLOOKUP(B410,[1]銷貨單品號主檔!$A:$D,4,0),"學習周邊")</f>
        <v>0</v>
      </c>
      <c r="G410" s="30">
        <f t="shared" si="12"/>
        <v>0</v>
      </c>
      <c r="H410" s="11" t="str">
        <f t="shared" si="13"/>
        <v/>
      </c>
    </row>
    <row r="411" spans="1:8">
      <c r="A411">
        <f>IFERROR(VLOOKUP(B411,[1]銷貨單品號主檔!$A:$D,4,0),"學習周邊")</f>
        <v>0</v>
      </c>
      <c r="G411" s="30">
        <f t="shared" si="12"/>
        <v>0</v>
      </c>
      <c r="H411" s="11" t="str">
        <f t="shared" si="13"/>
        <v/>
      </c>
    </row>
    <row r="412" spans="1:8">
      <c r="A412">
        <f>IFERROR(VLOOKUP(B412,[1]銷貨單品號主檔!$A:$D,4,0),"學習周邊")</f>
        <v>0</v>
      </c>
      <c r="G412" s="30">
        <f t="shared" si="12"/>
        <v>0</v>
      </c>
      <c r="H412" s="11" t="str">
        <f t="shared" si="13"/>
        <v/>
      </c>
    </row>
    <row r="413" spans="1:8">
      <c r="A413">
        <f>IFERROR(VLOOKUP(B413,[1]銷貨單品號主檔!$A:$D,4,0),"學習周邊")</f>
        <v>0</v>
      </c>
      <c r="G413" s="30">
        <f t="shared" si="12"/>
        <v>0</v>
      </c>
      <c r="H413" s="11" t="str">
        <f t="shared" si="13"/>
        <v/>
      </c>
    </row>
    <row r="414" spans="1:8">
      <c r="A414">
        <f>IFERROR(VLOOKUP(B414,[1]銷貨單品號主檔!$A:$D,4,0),"學習周邊")</f>
        <v>0</v>
      </c>
      <c r="G414" s="30">
        <f t="shared" si="12"/>
        <v>0</v>
      </c>
      <c r="H414" s="11" t="str">
        <f t="shared" si="13"/>
        <v/>
      </c>
    </row>
    <row r="415" spans="1:8">
      <c r="A415">
        <f>IFERROR(VLOOKUP(B415,[1]銷貨單品號主檔!$A:$D,4,0),"學習周邊")</f>
        <v>0</v>
      </c>
      <c r="G415" s="30">
        <f t="shared" si="12"/>
        <v>0</v>
      </c>
      <c r="H415" s="11" t="str">
        <f t="shared" si="13"/>
        <v/>
      </c>
    </row>
    <row r="416" spans="1:8">
      <c r="A416">
        <f>IFERROR(VLOOKUP(B416,[1]銷貨單品號主檔!$A:$D,4,0),"學習周邊")</f>
        <v>0</v>
      </c>
      <c r="G416" s="30">
        <f t="shared" si="12"/>
        <v>0</v>
      </c>
      <c r="H416" s="11" t="str">
        <f t="shared" si="13"/>
        <v/>
      </c>
    </row>
    <row r="417" spans="1:8">
      <c r="A417">
        <f>IFERROR(VLOOKUP(B417,[1]銷貨單品號主檔!$A:$D,4,0),"學習周邊")</f>
        <v>0</v>
      </c>
      <c r="G417" s="30">
        <f t="shared" si="12"/>
        <v>0</v>
      </c>
      <c r="H417" s="11" t="str">
        <f t="shared" si="13"/>
        <v/>
      </c>
    </row>
    <row r="418" spans="1:8">
      <c r="A418">
        <f>IFERROR(VLOOKUP(B418,[1]銷貨單品號主檔!$A:$D,4,0),"學習周邊")</f>
        <v>0</v>
      </c>
      <c r="G418" s="30">
        <f t="shared" si="12"/>
        <v>0</v>
      </c>
      <c r="H418" s="11" t="str">
        <f t="shared" si="13"/>
        <v/>
      </c>
    </row>
    <row r="419" spans="1:8">
      <c r="A419">
        <f>IFERROR(VLOOKUP(B419,[1]銷貨單品號主檔!$A:$D,4,0),"學習周邊")</f>
        <v>0</v>
      </c>
      <c r="G419" s="30">
        <f t="shared" si="12"/>
        <v>0</v>
      </c>
      <c r="H419" s="11" t="str">
        <f t="shared" si="13"/>
        <v/>
      </c>
    </row>
    <row r="420" spans="1:8" s="23" customFormat="1">
      <c r="A420">
        <f>IFERROR(VLOOKUP(B420,[1]銷貨單品號主檔!$A:$D,4,0),"學習周邊")</f>
        <v>0</v>
      </c>
      <c r="B420"/>
      <c r="C420"/>
      <c r="D420"/>
      <c r="E420"/>
      <c r="F420"/>
      <c r="G420" s="30">
        <f t="shared" si="12"/>
        <v>0</v>
      </c>
      <c r="H420" s="11" t="str">
        <f t="shared" si="13"/>
        <v/>
      </c>
    </row>
    <row r="421" spans="1:8" s="23" customFormat="1">
      <c r="A421">
        <f>IFERROR(VLOOKUP(B421,[1]銷貨單品號主檔!$A:$D,4,0),"學習周邊")</f>
        <v>0</v>
      </c>
      <c r="B421"/>
      <c r="C421"/>
      <c r="D421"/>
      <c r="E421"/>
      <c r="F421"/>
      <c r="G421" s="30">
        <f t="shared" si="12"/>
        <v>0</v>
      </c>
      <c r="H421" s="11" t="str">
        <f t="shared" si="13"/>
        <v/>
      </c>
    </row>
    <row r="422" spans="1:8" s="23" customFormat="1">
      <c r="A422">
        <f>IFERROR(VLOOKUP(B422,[1]銷貨單品號主檔!$A:$D,4,0),"學習周邊")</f>
        <v>0</v>
      </c>
      <c r="B422"/>
      <c r="C422"/>
      <c r="D422"/>
      <c r="E422"/>
      <c r="F422"/>
      <c r="G422" s="30">
        <f t="shared" si="12"/>
        <v>0</v>
      </c>
      <c r="H422" s="11" t="str">
        <f t="shared" si="13"/>
        <v/>
      </c>
    </row>
    <row r="423" spans="1:8" s="23" customFormat="1">
      <c r="A423">
        <f>IFERROR(VLOOKUP(B423,[1]銷貨單品號主檔!$A:$D,4,0),"學習周邊")</f>
        <v>0</v>
      </c>
      <c r="B423"/>
      <c r="C423"/>
      <c r="D423"/>
      <c r="E423"/>
      <c r="F423"/>
      <c r="G423" s="30">
        <f t="shared" si="12"/>
        <v>0</v>
      </c>
      <c r="H423" s="11" t="str">
        <f t="shared" si="13"/>
        <v/>
      </c>
    </row>
    <row r="424" spans="1:8" s="23" customFormat="1">
      <c r="A424">
        <f>IFERROR(VLOOKUP(B424,[1]銷貨單品號主檔!$A:$D,4,0),"學習周邊")</f>
        <v>0</v>
      </c>
      <c r="B424"/>
      <c r="C424"/>
      <c r="D424"/>
      <c r="E424"/>
      <c r="F424"/>
      <c r="G424" s="30">
        <f t="shared" si="12"/>
        <v>0</v>
      </c>
      <c r="H424" s="11" t="str">
        <f t="shared" si="13"/>
        <v/>
      </c>
    </row>
    <row r="425" spans="1:8" s="23" customFormat="1">
      <c r="A425">
        <f>IFERROR(VLOOKUP(B425,[1]銷貨單品號主檔!$A:$D,4,0),"學習周邊")</f>
        <v>0</v>
      </c>
      <c r="B425"/>
      <c r="C425"/>
      <c r="D425"/>
      <c r="E425"/>
      <c r="F425"/>
      <c r="G425" s="30">
        <f t="shared" si="12"/>
        <v>0</v>
      </c>
      <c r="H425" s="11" t="str">
        <f t="shared" si="13"/>
        <v/>
      </c>
    </row>
    <row r="426" spans="1:8" s="23" customFormat="1">
      <c r="A426">
        <f>IFERROR(VLOOKUP(B426,[1]銷貨單品號主檔!$A:$D,4,0),"學習周邊")</f>
        <v>0</v>
      </c>
      <c r="B426"/>
      <c r="C426"/>
      <c r="D426"/>
      <c r="E426"/>
      <c r="F426"/>
      <c r="G426" s="30">
        <f t="shared" si="12"/>
        <v>0</v>
      </c>
      <c r="H426" s="11" t="str">
        <f t="shared" si="13"/>
        <v/>
      </c>
    </row>
    <row r="427" spans="1:8" s="23" customFormat="1">
      <c r="A427">
        <f>IFERROR(VLOOKUP(B427,[1]銷貨單品號主檔!$A:$D,4,0),"學習周邊")</f>
        <v>0</v>
      </c>
      <c r="B427"/>
      <c r="C427"/>
      <c r="D427"/>
      <c r="E427"/>
      <c r="F427"/>
      <c r="G427" s="30">
        <f t="shared" si="12"/>
        <v>0</v>
      </c>
      <c r="H427" s="11" t="str">
        <f t="shared" si="13"/>
        <v/>
      </c>
    </row>
    <row r="428" spans="1:8" s="23" customFormat="1">
      <c r="A428">
        <f>IFERROR(VLOOKUP(B428,[1]銷貨單品號主檔!$A:$D,4,0),"學習周邊")</f>
        <v>0</v>
      </c>
      <c r="B428"/>
      <c r="C428"/>
      <c r="D428"/>
      <c r="E428"/>
      <c r="F428"/>
      <c r="G428" s="30">
        <f t="shared" si="12"/>
        <v>0</v>
      </c>
      <c r="H428" s="11" t="str">
        <f t="shared" si="13"/>
        <v/>
      </c>
    </row>
    <row r="429" spans="1:8" s="23" customFormat="1">
      <c r="A429">
        <f>IFERROR(VLOOKUP(B429,[1]銷貨單品號主檔!$A:$D,4,0),"學習周邊")</f>
        <v>0</v>
      </c>
      <c r="B429"/>
      <c r="C429"/>
      <c r="D429"/>
      <c r="E429"/>
      <c r="F429"/>
      <c r="G429" s="30">
        <f t="shared" si="12"/>
        <v>0</v>
      </c>
      <c r="H429" s="11" t="str">
        <f t="shared" si="13"/>
        <v/>
      </c>
    </row>
    <row r="430" spans="1:8" s="23" customFormat="1">
      <c r="A430">
        <f>IFERROR(VLOOKUP(B430,[1]銷貨單品號主檔!$A:$D,4,0),"學習周邊")</f>
        <v>0</v>
      </c>
      <c r="B430"/>
      <c r="C430"/>
      <c r="D430"/>
      <c r="E430"/>
      <c r="F430"/>
      <c r="G430" s="30">
        <f t="shared" si="12"/>
        <v>0</v>
      </c>
      <c r="H430" s="11" t="str">
        <f t="shared" si="13"/>
        <v/>
      </c>
    </row>
    <row r="431" spans="1:8" s="23" customFormat="1">
      <c r="A431">
        <f>IFERROR(VLOOKUP(B431,[1]銷貨單品號主檔!$A:$D,4,0),"學習周邊")</f>
        <v>0</v>
      </c>
      <c r="B431"/>
      <c r="C431"/>
      <c r="D431"/>
      <c r="E431"/>
      <c r="F431"/>
      <c r="G431" s="30">
        <f t="shared" si="12"/>
        <v>0</v>
      </c>
      <c r="H431" s="11" t="str">
        <f t="shared" si="13"/>
        <v/>
      </c>
    </row>
    <row r="432" spans="1:8" s="23" customFormat="1">
      <c r="A432">
        <f>IFERROR(VLOOKUP(B432,[1]銷貨單品號主檔!$A:$D,4,0),"學習周邊")</f>
        <v>0</v>
      </c>
      <c r="B432"/>
      <c r="C432"/>
      <c r="D432"/>
      <c r="E432"/>
      <c r="F432"/>
      <c r="G432" s="30">
        <f t="shared" si="12"/>
        <v>0</v>
      </c>
      <c r="H432" s="11" t="str">
        <f t="shared" si="13"/>
        <v/>
      </c>
    </row>
    <row r="433" spans="1:8" s="23" customFormat="1">
      <c r="A433">
        <f>IFERROR(VLOOKUP(B433,[1]銷貨單品號主檔!$A:$D,4,0),"學習周邊")</f>
        <v>0</v>
      </c>
      <c r="B433"/>
      <c r="C433"/>
      <c r="D433"/>
      <c r="E433"/>
      <c r="F433"/>
      <c r="G433" s="30">
        <f t="shared" si="12"/>
        <v>0</v>
      </c>
      <c r="H433" s="11" t="str">
        <f t="shared" si="13"/>
        <v/>
      </c>
    </row>
    <row r="434" spans="1:8" s="23" customFormat="1">
      <c r="A434">
        <f>IFERROR(VLOOKUP(B434,[1]銷貨單品號主檔!$A:$D,4,0),"學習周邊")</f>
        <v>0</v>
      </c>
      <c r="B434"/>
      <c r="C434"/>
      <c r="D434"/>
      <c r="E434"/>
      <c r="F434"/>
      <c r="G434" s="30">
        <f t="shared" si="12"/>
        <v>0</v>
      </c>
      <c r="H434" s="11" t="str">
        <f t="shared" si="13"/>
        <v/>
      </c>
    </row>
    <row r="435" spans="1:8" s="23" customFormat="1">
      <c r="A435">
        <f>IFERROR(VLOOKUP(B435,[1]銷貨單品號主檔!$A:$D,4,0),"學習周邊")</f>
        <v>0</v>
      </c>
      <c r="B435"/>
      <c r="C435"/>
      <c r="D435"/>
      <c r="E435"/>
      <c r="F435"/>
      <c r="G435" s="30">
        <f t="shared" si="12"/>
        <v>0</v>
      </c>
      <c r="H435" s="11" t="str">
        <f t="shared" si="13"/>
        <v/>
      </c>
    </row>
    <row r="436" spans="1:8" s="23" customFormat="1">
      <c r="A436">
        <f>IFERROR(VLOOKUP(B436,[1]銷貨單品號主檔!$A:$D,4,0),"學習周邊")</f>
        <v>0</v>
      </c>
      <c r="B436"/>
      <c r="C436"/>
      <c r="D436"/>
      <c r="E436"/>
      <c r="F436"/>
      <c r="G436" s="30">
        <f t="shared" si="12"/>
        <v>0</v>
      </c>
      <c r="H436" s="11" t="str">
        <f t="shared" si="13"/>
        <v/>
      </c>
    </row>
    <row r="437" spans="1:8" s="23" customFormat="1">
      <c r="A437">
        <f>IFERROR(VLOOKUP(B437,[1]銷貨單品號主檔!$A:$D,4,0),"學習周邊")</f>
        <v>0</v>
      </c>
      <c r="B437"/>
      <c r="C437"/>
      <c r="D437"/>
      <c r="E437"/>
      <c r="F437"/>
      <c r="G437" s="30">
        <f t="shared" si="12"/>
        <v>0</v>
      </c>
      <c r="H437" s="11" t="str">
        <f t="shared" si="13"/>
        <v/>
      </c>
    </row>
    <row r="438" spans="1:8" s="23" customFormat="1">
      <c r="A438">
        <f>IFERROR(VLOOKUP(B438,[1]銷貨單品號主檔!$A:$D,4,0),"學習周邊")</f>
        <v>0</v>
      </c>
      <c r="B438"/>
      <c r="C438"/>
      <c r="D438"/>
      <c r="E438"/>
      <c r="F438"/>
      <c r="G438" s="30">
        <f t="shared" si="12"/>
        <v>0</v>
      </c>
      <c r="H438" s="11" t="str">
        <f t="shared" si="13"/>
        <v/>
      </c>
    </row>
    <row r="439" spans="1:8" s="23" customFormat="1">
      <c r="A439">
        <f>IFERROR(VLOOKUP(B439,[1]銷貨單品號主檔!$A:$D,4,0),"學習周邊")</f>
        <v>0</v>
      </c>
      <c r="B439"/>
      <c r="C439"/>
      <c r="D439"/>
      <c r="E439"/>
      <c r="F439"/>
      <c r="G439" s="30">
        <f t="shared" si="12"/>
        <v>0</v>
      </c>
      <c r="H439" s="11" t="str">
        <f t="shared" si="13"/>
        <v/>
      </c>
    </row>
    <row r="440" spans="1:8" s="23" customFormat="1">
      <c r="A440">
        <f>IFERROR(VLOOKUP(B440,[1]銷貨單品號主檔!$A:$D,4,0),"學習周邊")</f>
        <v>0</v>
      </c>
      <c r="B440"/>
      <c r="C440"/>
      <c r="D440"/>
      <c r="E440"/>
      <c r="F440"/>
      <c r="G440" s="30">
        <f t="shared" si="12"/>
        <v>0</v>
      </c>
      <c r="H440" s="11" t="str">
        <f t="shared" si="13"/>
        <v/>
      </c>
    </row>
    <row r="441" spans="1:8" s="23" customFormat="1">
      <c r="A441">
        <f>IFERROR(VLOOKUP(B441,[1]銷貨單品號主檔!$A:$D,4,0),"學習周邊")</f>
        <v>0</v>
      </c>
      <c r="B441"/>
      <c r="C441"/>
      <c r="D441"/>
      <c r="E441"/>
      <c r="F441"/>
      <c r="G441" s="30">
        <f t="shared" si="12"/>
        <v>0</v>
      </c>
      <c r="H441" s="11" t="str">
        <f t="shared" si="13"/>
        <v/>
      </c>
    </row>
    <row r="442" spans="1:8" s="23" customFormat="1">
      <c r="A442">
        <f>IFERROR(VLOOKUP(B442,[1]銷貨單品號主檔!$A:$D,4,0),"學習周邊")</f>
        <v>0</v>
      </c>
      <c r="B442"/>
      <c r="C442"/>
      <c r="D442"/>
      <c r="E442"/>
      <c r="F442"/>
      <c r="G442" s="30">
        <f t="shared" si="12"/>
        <v>0</v>
      </c>
      <c r="H442" s="11" t="str">
        <f t="shared" si="13"/>
        <v/>
      </c>
    </row>
    <row r="443" spans="1:8" s="23" customFormat="1">
      <c r="A443">
        <f>IFERROR(VLOOKUP(B443,[1]銷貨單品號主檔!$A:$D,4,0),"學習周邊")</f>
        <v>0</v>
      </c>
      <c r="B443"/>
      <c r="C443"/>
      <c r="D443"/>
      <c r="E443"/>
      <c r="F443"/>
      <c r="G443" s="30">
        <f t="shared" si="12"/>
        <v>0</v>
      </c>
      <c r="H443" s="11" t="str">
        <f t="shared" si="13"/>
        <v/>
      </c>
    </row>
    <row r="444" spans="1:8" s="23" customFormat="1">
      <c r="A444">
        <f>IFERROR(VLOOKUP(B444,[1]銷貨單品號主檔!$A:$D,4,0),"學習周邊")</f>
        <v>0</v>
      </c>
      <c r="B444"/>
      <c r="C444"/>
      <c r="D444"/>
      <c r="E444"/>
      <c r="F444"/>
      <c r="G444" s="30">
        <f t="shared" si="12"/>
        <v>0</v>
      </c>
      <c r="H444" s="11" t="str">
        <f t="shared" si="13"/>
        <v/>
      </c>
    </row>
    <row r="445" spans="1:8" s="23" customFormat="1">
      <c r="A445">
        <f>IFERROR(VLOOKUP(B445,[1]銷貨單品號主檔!$A:$D,4,0),"學習周邊")</f>
        <v>0</v>
      </c>
      <c r="B445"/>
      <c r="C445"/>
      <c r="D445"/>
      <c r="E445"/>
      <c r="F445"/>
      <c r="G445" s="30">
        <f t="shared" si="12"/>
        <v>0</v>
      </c>
      <c r="H445" s="11" t="str">
        <f t="shared" si="13"/>
        <v/>
      </c>
    </row>
    <row r="446" spans="1:8" s="23" customFormat="1">
      <c r="A446">
        <f>IFERROR(VLOOKUP(B446,[1]銷貨單品號主檔!$A:$D,4,0),"學習周邊")</f>
        <v>0</v>
      </c>
      <c r="B446"/>
      <c r="C446"/>
      <c r="D446"/>
      <c r="E446"/>
      <c r="F446"/>
      <c r="G446" s="30">
        <f t="shared" si="12"/>
        <v>0</v>
      </c>
      <c r="H446" s="11" t="str">
        <f t="shared" si="13"/>
        <v/>
      </c>
    </row>
    <row r="447" spans="1:8" s="23" customFormat="1">
      <c r="A447">
        <f>IFERROR(VLOOKUP(B447,[1]銷貨單品號主檔!$A:$D,4,0),"學習周邊")</f>
        <v>0</v>
      </c>
      <c r="B447"/>
      <c r="C447"/>
      <c r="D447"/>
      <c r="E447"/>
      <c r="F447"/>
      <c r="G447" s="30">
        <f t="shared" si="12"/>
        <v>0</v>
      </c>
      <c r="H447" s="11" t="str">
        <f t="shared" si="13"/>
        <v/>
      </c>
    </row>
    <row r="448" spans="1:8" s="23" customFormat="1">
      <c r="A448">
        <f>IFERROR(VLOOKUP(B448,[1]銷貨單品號主檔!$A:$D,4,0),"學習周邊")</f>
        <v>0</v>
      </c>
      <c r="B448"/>
      <c r="C448"/>
      <c r="D448"/>
      <c r="E448"/>
      <c r="F448"/>
      <c r="G448" s="30">
        <f t="shared" si="12"/>
        <v>0</v>
      </c>
      <c r="H448" s="11" t="str">
        <f t="shared" si="13"/>
        <v/>
      </c>
    </row>
    <row r="449" spans="1:8" s="23" customFormat="1">
      <c r="A449">
        <f>IFERROR(VLOOKUP(B449,[1]銷貨單品號主檔!$A:$D,4,0),"學習周邊")</f>
        <v>0</v>
      </c>
      <c r="B449"/>
      <c r="C449"/>
      <c r="D449"/>
      <c r="E449"/>
      <c r="F449"/>
      <c r="G449" s="30">
        <f t="shared" si="12"/>
        <v>0</v>
      </c>
      <c r="H449" s="11" t="str">
        <f t="shared" si="13"/>
        <v/>
      </c>
    </row>
    <row r="450" spans="1:8" s="23" customFormat="1">
      <c r="A450">
        <f>IFERROR(VLOOKUP(B450,[1]銷貨單品號主檔!$A:$D,4,0),"學習周邊")</f>
        <v>0</v>
      </c>
      <c r="B450"/>
      <c r="C450"/>
      <c r="D450"/>
      <c r="E450"/>
      <c r="F450"/>
      <c r="G450" s="30">
        <f t="shared" si="12"/>
        <v>0</v>
      </c>
      <c r="H450" s="11" t="str">
        <f t="shared" si="13"/>
        <v/>
      </c>
    </row>
    <row r="451" spans="1:8" s="23" customFormat="1">
      <c r="A451">
        <f>IFERROR(VLOOKUP(B451,[1]銷貨單品號主檔!$A:$D,4,0),"學習周邊")</f>
        <v>0</v>
      </c>
      <c r="B451"/>
      <c r="C451"/>
      <c r="D451"/>
      <c r="E451"/>
      <c r="F451"/>
      <c r="G451" s="30">
        <f t="shared" si="12"/>
        <v>0</v>
      </c>
      <c r="H451" s="11" t="str">
        <f t="shared" si="13"/>
        <v/>
      </c>
    </row>
    <row r="452" spans="1:8" s="23" customFormat="1">
      <c r="A452">
        <f>IFERROR(VLOOKUP(B452,[1]銷貨單品號主檔!$A:$D,4,0),"學習周邊")</f>
        <v>0</v>
      </c>
      <c r="B452"/>
      <c r="C452"/>
      <c r="D452"/>
      <c r="E452"/>
      <c r="F452"/>
      <c r="G452" s="30">
        <f t="shared" si="12"/>
        <v>0</v>
      </c>
      <c r="H452" s="11" t="str">
        <f t="shared" si="13"/>
        <v/>
      </c>
    </row>
    <row r="453" spans="1:8" s="23" customFormat="1">
      <c r="A453">
        <f>IFERROR(VLOOKUP(B453,[1]銷貨單品號主檔!$A:$D,4,0),"學習周邊")</f>
        <v>0</v>
      </c>
      <c r="B453"/>
      <c r="C453"/>
      <c r="D453"/>
      <c r="E453"/>
      <c r="F453"/>
      <c r="G453" s="30">
        <f t="shared" ref="G453:G516" si="14">F453/1.05</f>
        <v>0</v>
      </c>
      <c r="H453" s="11" t="str">
        <f t="shared" ref="H453:H516" si="15">IF(C453="","",TEXT(C453,"YYYY/M/D")*1)</f>
        <v/>
      </c>
    </row>
    <row r="454" spans="1:8" s="23" customFormat="1">
      <c r="A454">
        <f>IFERROR(VLOOKUP(B454,[1]銷貨單品號主檔!$A:$D,4,0),"學習周邊")</f>
        <v>0</v>
      </c>
      <c r="B454"/>
      <c r="C454"/>
      <c r="D454"/>
      <c r="E454"/>
      <c r="F454"/>
      <c r="G454" s="30">
        <f t="shared" si="14"/>
        <v>0</v>
      </c>
      <c r="H454" s="11" t="str">
        <f t="shared" si="15"/>
        <v/>
      </c>
    </row>
    <row r="455" spans="1:8" s="23" customFormat="1">
      <c r="A455">
        <f>IFERROR(VLOOKUP(B455,[1]銷貨單品號主檔!$A:$D,4,0),"學習周邊")</f>
        <v>0</v>
      </c>
      <c r="B455"/>
      <c r="C455"/>
      <c r="D455"/>
      <c r="E455"/>
      <c r="F455"/>
      <c r="G455" s="30">
        <f t="shared" si="14"/>
        <v>0</v>
      </c>
      <c r="H455" s="11" t="str">
        <f t="shared" si="15"/>
        <v/>
      </c>
    </row>
    <row r="456" spans="1:8" s="23" customFormat="1">
      <c r="A456">
        <f>IFERROR(VLOOKUP(B456,[1]銷貨單品號主檔!$A:$D,4,0),"學習周邊")</f>
        <v>0</v>
      </c>
      <c r="B456"/>
      <c r="C456"/>
      <c r="D456"/>
      <c r="E456"/>
      <c r="F456"/>
      <c r="G456" s="30">
        <f t="shared" si="14"/>
        <v>0</v>
      </c>
      <c r="H456" s="11" t="str">
        <f t="shared" si="15"/>
        <v/>
      </c>
    </row>
    <row r="457" spans="1:8" s="23" customFormat="1">
      <c r="A457">
        <f>IFERROR(VLOOKUP(B457,[1]銷貨單品號主檔!$A:$D,4,0),"學習周邊")</f>
        <v>0</v>
      </c>
      <c r="B457"/>
      <c r="C457"/>
      <c r="D457"/>
      <c r="E457"/>
      <c r="F457"/>
      <c r="G457" s="30">
        <f t="shared" si="14"/>
        <v>0</v>
      </c>
      <c r="H457" s="11" t="str">
        <f t="shared" si="15"/>
        <v/>
      </c>
    </row>
    <row r="458" spans="1:8" s="23" customFormat="1">
      <c r="A458">
        <f>IFERROR(VLOOKUP(B458,[1]銷貨單品號主檔!$A:$D,4,0),"學習周邊")</f>
        <v>0</v>
      </c>
      <c r="B458"/>
      <c r="C458"/>
      <c r="D458"/>
      <c r="E458"/>
      <c r="F458"/>
      <c r="G458" s="30">
        <f t="shared" si="14"/>
        <v>0</v>
      </c>
      <c r="H458" s="11" t="str">
        <f t="shared" si="15"/>
        <v/>
      </c>
    </row>
    <row r="459" spans="1:8" s="23" customFormat="1">
      <c r="A459">
        <f>IFERROR(VLOOKUP(B459,[1]銷貨單品號主檔!$A:$D,4,0),"學習周邊")</f>
        <v>0</v>
      </c>
      <c r="B459"/>
      <c r="C459"/>
      <c r="D459"/>
      <c r="E459"/>
      <c r="F459"/>
      <c r="G459" s="30">
        <f t="shared" si="14"/>
        <v>0</v>
      </c>
      <c r="H459" s="11" t="str">
        <f t="shared" si="15"/>
        <v/>
      </c>
    </row>
    <row r="460" spans="1:8" s="23" customFormat="1">
      <c r="A460">
        <f>IFERROR(VLOOKUP(B460,[1]銷貨單品號主檔!$A:$D,4,0),"學習周邊")</f>
        <v>0</v>
      </c>
      <c r="B460"/>
      <c r="C460"/>
      <c r="D460"/>
      <c r="E460"/>
      <c r="F460"/>
      <c r="G460" s="30">
        <f t="shared" si="14"/>
        <v>0</v>
      </c>
      <c r="H460" s="11" t="str">
        <f t="shared" si="15"/>
        <v/>
      </c>
    </row>
    <row r="461" spans="1:8" s="23" customFormat="1">
      <c r="A461">
        <f>IFERROR(VLOOKUP(B461,[1]銷貨單品號主檔!$A:$D,4,0),"學習周邊")</f>
        <v>0</v>
      </c>
      <c r="B461"/>
      <c r="C461"/>
      <c r="D461"/>
      <c r="E461"/>
      <c r="F461"/>
      <c r="G461" s="30">
        <f t="shared" si="14"/>
        <v>0</v>
      </c>
      <c r="H461" s="11" t="str">
        <f t="shared" si="15"/>
        <v/>
      </c>
    </row>
    <row r="462" spans="1:8" s="23" customFormat="1">
      <c r="A462">
        <f>IFERROR(VLOOKUP(B462,[1]銷貨單品號主檔!$A:$D,4,0),"學習周邊")</f>
        <v>0</v>
      </c>
      <c r="B462"/>
      <c r="C462"/>
      <c r="D462"/>
      <c r="E462"/>
      <c r="F462"/>
      <c r="G462" s="30">
        <f t="shared" si="14"/>
        <v>0</v>
      </c>
      <c r="H462" s="11" t="str">
        <f t="shared" si="15"/>
        <v/>
      </c>
    </row>
    <row r="463" spans="1:8" s="23" customFormat="1">
      <c r="A463">
        <f>IFERROR(VLOOKUP(B463,[1]銷貨單品號主檔!$A:$D,4,0),"學習周邊")</f>
        <v>0</v>
      </c>
      <c r="B463"/>
      <c r="C463"/>
      <c r="D463"/>
      <c r="E463"/>
      <c r="F463"/>
      <c r="G463" s="30">
        <f t="shared" si="14"/>
        <v>0</v>
      </c>
      <c r="H463" s="11" t="str">
        <f t="shared" si="15"/>
        <v/>
      </c>
    </row>
    <row r="464" spans="1:8" s="23" customFormat="1">
      <c r="A464">
        <f>IFERROR(VLOOKUP(B464,[1]銷貨單品號主檔!$A:$D,4,0),"學習周邊")</f>
        <v>0</v>
      </c>
      <c r="B464"/>
      <c r="C464"/>
      <c r="D464"/>
      <c r="E464"/>
      <c r="F464"/>
      <c r="G464" s="30">
        <f t="shared" si="14"/>
        <v>0</v>
      </c>
      <c r="H464" s="11" t="str">
        <f t="shared" si="15"/>
        <v/>
      </c>
    </row>
    <row r="465" spans="1:8" s="23" customFormat="1">
      <c r="A465">
        <f>IFERROR(VLOOKUP(B465,[1]銷貨單品號主檔!$A:$D,4,0),"學習周邊")</f>
        <v>0</v>
      </c>
      <c r="B465"/>
      <c r="C465"/>
      <c r="D465"/>
      <c r="E465"/>
      <c r="F465"/>
      <c r="G465" s="30">
        <f t="shared" si="14"/>
        <v>0</v>
      </c>
      <c r="H465" s="11" t="str">
        <f t="shared" si="15"/>
        <v/>
      </c>
    </row>
    <row r="466" spans="1:8" s="23" customFormat="1">
      <c r="A466">
        <f>IFERROR(VLOOKUP(B466,[1]銷貨單品號主檔!$A:$D,4,0),"學習周邊")</f>
        <v>0</v>
      </c>
      <c r="B466"/>
      <c r="C466"/>
      <c r="D466"/>
      <c r="E466"/>
      <c r="F466"/>
      <c r="G466" s="30">
        <f t="shared" si="14"/>
        <v>0</v>
      </c>
      <c r="H466" s="11" t="str">
        <f t="shared" si="15"/>
        <v/>
      </c>
    </row>
    <row r="467" spans="1:8" s="23" customFormat="1">
      <c r="A467">
        <f>IFERROR(VLOOKUP(B467,[1]銷貨單品號主檔!$A:$D,4,0),"學習周邊")</f>
        <v>0</v>
      </c>
      <c r="B467"/>
      <c r="C467"/>
      <c r="D467"/>
      <c r="E467"/>
      <c r="F467"/>
      <c r="G467" s="30">
        <f t="shared" si="14"/>
        <v>0</v>
      </c>
      <c r="H467" s="11" t="str">
        <f t="shared" si="15"/>
        <v/>
      </c>
    </row>
    <row r="468" spans="1:8" s="23" customFormat="1">
      <c r="A468">
        <f>IFERROR(VLOOKUP(B468,[1]銷貨單品號主檔!$A:$D,4,0),"學習周邊")</f>
        <v>0</v>
      </c>
      <c r="B468"/>
      <c r="C468"/>
      <c r="D468"/>
      <c r="E468"/>
      <c r="F468"/>
      <c r="G468" s="30">
        <f t="shared" si="14"/>
        <v>0</v>
      </c>
      <c r="H468" s="11" t="str">
        <f t="shared" si="15"/>
        <v/>
      </c>
    </row>
    <row r="469" spans="1:8" s="23" customFormat="1">
      <c r="A469">
        <f>IFERROR(VLOOKUP(B469,[1]銷貨單品號主檔!$A:$D,4,0),"學習周邊")</f>
        <v>0</v>
      </c>
      <c r="B469"/>
      <c r="C469"/>
      <c r="D469"/>
      <c r="E469"/>
      <c r="F469"/>
      <c r="G469" s="30">
        <f t="shared" si="14"/>
        <v>0</v>
      </c>
      <c r="H469" s="11" t="str">
        <f t="shared" si="15"/>
        <v/>
      </c>
    </row>
    <row r="470" spans="1:8" s="23" customFormat="1">
      <c r="A470">
        <f>IFERROR(VLOOKUP(B470,[1]銷貨單品號主檔!$A:$D,4,0),"學習周邊")</f>
        <v>0</v>
      </c>
      <c r="B470"/>
      <c r="C470"/>
      <c r="D470"/>
      <c r="E470"/>
      <c r="F470"/>
      <c r="G470" s="30">
        <f t="shared" si="14"/>
        <v>0</v>
      </c>
      <c r="H470" s="11" t="str">
        <f t="shared" si="15"/>
        <v/>
      </c>
    </row>
    <row r="471" spans="1:8" s="23" customFormat="1">
      <c r="A471">
        <f>IFERROR(VLOOKUP(B471,[1]銷貨單品號主檔!$A:$D,4,0),"學習周邊")</f>
        <v>0</v>
      </c>
      <c r="B471"/>
      <c r="C471"/>
      <c r="D471"/>
      <c r="E471"/>
      <c r="F471"/>
      <c r="G471" s="30">
        <f t="shared" si="14"/>
        <v>0</v>
      </c>
      <c r="H471" s="11" t="str">
        <f t="shared" si="15"/>
        <v/>
      </c>
    </row>
    <row r="472" spans="1:8" s="23" customFormat="1">
      <c r="A472">
        <f>IFERROR(VLOOKUP(B472,[1]銷貨單品號主檔!$A:$D,4,0),"學習周邊")</f>
        <v>0</v>
      </c>
      <c r="B472"/>
      <c r="C472"/>
      <c r="D472"/>
      <c r="E472"/>
      <c r="F472"/>
      <c r="G472" s="30">
        <f t="shared" si="14"/>
        <v>0</v>
      </c>
      <c r="H472" s="11" t="str">
        <f t="shared" si="15"/>
        <v/>
      </c>
    </row>
    <row r="473" spans="1:8" s="23" customFormat="1">
      <c r="A473">
        <f>IFERROR(VLOOKUP(B473,[1]銷貨單品號主檔!$A:$D,4,0),"學習周邊")</f>
        <v>0</v>
      </c>
      <c r="B473"/>
      <c r="C473"/>
      <c r="D473"/>
      <c r="E473"/>
      <c r="F473"/>
      <c r="G473" s="30">
        <f t="shared" si="14"/>
        <v>0</v>
      </c>
      <c r="H473" s="11" t="str">
        <f t="shared" si="15"/>
        <v/>
      </c>
    </row>
    <row r="474" spans="1:8" s="23" customFormat="1">
      <c r="A474">
        <f>IFERROR(VLOOKUP(B474,[1]銷貨單品號主檔!$A:$D,4,0),"學習周邊")</f>
        <v>0</v>
      </c>
      <c r="B474"/>
      <c r="C474"/>
      <c r="D474"/>
      <c r="E474"/>
      <c r="F474"/>
      <c r="G474" s="30">
        <f t="shared" si="14"/>
        <v>0</v>
      </c>
      <c r="H474" s="11" t="str">
        <f t="shared" si="15"/>
        <v/>
      </c>
    </row>
    <row r="475" spans="1:8" s="23" customFormat="1">
      <c r="A475">
        <f>IFERROR(VLOOKUP(B475,[1]銷貨單品號主檔!$A:$D,4,0),"學習周邊")</f>
        <v>0</v>
      </c>
      <c r="B475"/>
      <c r="C475"/>
      <c r="D475"/>
      <c r="E475"/>
      <c r="F475"/>
      <c r="G475" s="30">
        <f t="shared" si="14"/>
        <v>0</v>
      </c>
      <c r="H475" s="11" t="str">
        <f t="shared" si="15"/>
        <v/>
      </c>
    </row>
    <row r="476" spans="1:8" s="23" customFormat="1">
      <c r="A476">
        <f>IFERROR(VLOOKUP(B476,[1]銷貨單品號主檔!$A:$D,4,0),"學習周邊")</f>
        <v>0</v>
      </c>
      <c r="B476"/>
      <c r="C476"/>
      <c r="D476"/>
      <c r="E476"/>
      <c r="F476"/>
      <c r="G476" s="30">
        <f t="shared" si="14"/>
        <v>0</v>
      </c>
      <c r="H476" s="11" t="str">
        <f t="shared" si="15"/>
        <v/>
      </c>
    </row>
    <row r="477" spans="1:8" s="23" customFormat="1">
      <c r="A477">
        <f>IFERROR(VLOOKUP(B477,[1]銷貨單品號主檔!$A:$D,4,0),"學習周邊")</f>
        <v>0</v>
      </c>
      <c r="B477"/>
      <c r="C477"/>
      <c r="D477"/>
      <c r="E477"/>
      <c r="F477"/>
      <c r="G477" s="30">
        <f t="shared" si="14"/>
        <v>0</v>
      </c>
      <c r="H477" s="11" t="str">
        <f t="shared" si="15"/>
        <v/>
      </c>
    </row>
    <row r="478" spans="1:8" s="23" customFormat="1">
      <c r="A478">
        <f>IFERROR(VLOOKUP(B478,[1]銷貨單品號主檔!$A:$D,4,0),"學習周邊")</f>
        <v>0</v>
      </c>
      <c r="B478"/>
      <c r="C478"/>
      <c r="D478"/>
      <c r="E478"/>
      <c r="F478"/>
      <c r="G478" s="30">
        <f t="shared" si="14"/>
        <v>0</v>
      </c>
      <c r="H478" s="11" t="str">
        <f t="shared" si="15"/>
        <v/>
      </c>
    </row>
    <row r="479" spans="1:8" s="23" customFormat="1">
      <c r="A479">
        <f>IFERROR(VLOOKUP(B479,[1]銷貨單品號主檔!$A:$D,4,0),"學習周邊")</f>
        <v>0</v>
      </c>
      <c r="B479"/>
      <c r="C479"/>
      <c r="D479"/>
      <c r="E479"/>
      <c r="F479"/>
      <c r="G479" s="30">
        <f t="shared" si="14"/>
        <v>0</v>
      </c>
      <c r="H479" s="11" t="str">
        <f t="shared" si="15"/>
        <v/>
      </c>
    </row>
    <row r="480" spans="1:8" s="23" customFormat="1">
      <c r="A480">
        <f>IFERROR(VLOOKUP(B480,[1]銷貨單品號主檔!$A:$D,4,0),"學習周邊")</f>
        <v>0</v>
      </c>
      <c r="B480"/>
      <c r="C480"/>
      <c r="D480"/>
      <c r="E480"/>
      <c r="F480"/>
      <c r="G480" s="30">
        <f t="shared" si="14"/>
        <v>0</v>
      </c>
      <c r="H480" s="11" t="str">
        <f t="shared" si="15"/>
        <v/>
      </c>
    </row>
    <row r="481" spans="1:8" s="23" customFormat="1">
      <c r="A481">
        <f>IFERROR(VLOOKUP(B481,[1]銷貨單品號主檔!$A:$D,4,0),"學習周邊")</f>
        <v>0</v>
      </c>
      <c r="B481"/>
      <c r="C481"/>
      <c r="D481"/>
      <c r="E481"/>
      <c r="F481"/>
      <c r="G481" s="30">
        <f t="shared" si="14"/>
        <v>0</v>
      </c>
      <c r="H481" s="11" t="str">
        <f t="shared" si="15"/>
        <v/>
      </c>
    </row>
    <row r="482" spans="1:8" s="23" customFormat="1">
      <c r="A482">
        <f>IFERROR(VLOOKUP(B482,[1]銷貨單品號主檔!$A:$D,4,0),"學習周邊")</f>
        <v>0</v>
      </c>
      <c r="B482"/>
      <c r="C482"/>
      <c r="D482"/>
      <c r="E482"/>
      <c r="F482"/>
      <c r="G482" s="30">
        <f t="shared" si="14"/>
        <v>0</v>
      </c>
      <c r="H482" s="11" t="str">
        <f t="shared" si="15"/>
        <v/>
      </c>
    </row>
    <row r="483" spans="1:8" s="23" customFormat="1">
      <c r="A483">
        <f>IFERROR(VLOOKUP(B483,[1]銷貨單品號主檔!$A:$D,4,0),"學習周邊")</f>
        <v>0</v>
      </c>
      <c r="B483"/>
      <c r="C483"/>
      <c r="D483"/>
      <c r="E483"/>
      <c r="F483"/>
      <c r="G483" s="30">
        <f t="shared" si="14"/>
        <v>0</v>
      </c>
      <c r="H483" s="11" t="str">
        <f t="shared" si="15"/>
        <v/>
      </c>
    </row>
    <row r="484" spans="1:8" s="23" customFormat="1">
      <c r="A484">
        <f>IFERROR(VLOOKUP(B484,[1]銷貨單品號主檔!$A:$D,4,0),"學習周邊")</f>
        <v>0</v>
      </c>
      <c r="B484"/>
      <c r="C484"/>
      <c r="D484"/>
      <c r="E484"/>
      <c r="F484"/>
      <c r="G484" s="30">
        <f t="shared" si="14"/>
        <v>0</v>
      </c>
      <c r="H484" s="11" t="str">
        <f t="shared" si="15"/>
        <v/>
      </c>
    </row>
    <row r="485" spans="1:8" s="23" customFormat="1">
      <c r="A485">
        <f>IFERROR(VLOOKUP(B485,[1]銷貨單品號主檔!$A:$D,4,0),"學習周邊")</f>
        <v>0</v>
      </c>
      <c r="B485"/>
      <c r="C485"/>
      <c r="D485"/>
      <c r="E485"/>
      <c r="F485"/>
      <c r="G485" s="30">
        <f t="shared" si="14"/>
        <v>0</v>
      </c>
      <c r="H485" s="11" t="str">
        <f t="shared" si="15"/>
        <v/>
      </c>
    </row>
    <row r="486" spans="1:8" s="23" customFormat="1">
      <c r="A486">
        <f>IFERROR(VLOOKUP(B486,[1]銷貨單品號主檔!$A:$D,4,0),"學習周邊")</f>
        <v>0</v>
      </c>
      <c r="B486"/>
      <c r="C486"/>
      <c r="D486"/>
      <c r="E486"/>
      <c r="F486"/>
      <c r="G486" s="30">
        <f t="shared" si="14"/>
        <v>0</v>
      </c>
      <c r="H486" s="11" t="str">
        <f t="shared" si="15"/>
        <v/>
      </c>
    </row>
    <row r="487" spans="1:8" s="23" customFormat="1">
      <c r="A487">
        <f>IFERROR(VLOOKUP(B487,[1]銷貨單品號主檔!$A:$D,4,0),"學習周邊")</f>
        <v>0</v>
      </c>
      <c r="B487"/>
      <c r="C487"/>
      <c r="D487"/>
      <c r="E487"/>
      <c r="F487"/>
      <c r="G487" s="30">
        <f t="shared" si="14"/>
        <v>0</v>
      </c>
      <c r="H487" s="11" t="str">
        <f t="shared" si="15"/>
        <v/>
      </c>
    </row>
    <row r="488" spans="1:8" s="23" customFormat="1">
      <c r="A488">
        <f>IFERROR(VLOOKUP(B488,[1]銷貨單品號主檔!$A:$D,4,0),"學習周邊")</f>
        <v>0</v>
      </c>
      <c r="B488"/>
      <c r="C488"/>
      <c r="D488"/>
      <c r="E488"/>
      <c r="F488"/>
      <c r="G488" s="30">
        <f t="shared" si="14"/>
        <v>0</v>
      </c>
      <c r="H488" s="11" t="str">
        <f t="shared" si="15"/>
        <v/>
      </c>
    </row>
    <row r="489" spans="1:8" s="23" customFormat="1">
      <c r="A489">
        <f>IFERROR(VLOOKUP(B489,[1]銷貨單品號主檔!$A:$D,4,0),"學習周邊")</f>
        <v>0</v>
      </c>
      <c r="B489"/>
      <c r="C489"/>
      <c r="D489"/>
      <c r="E489"/>
      <c r="F489"/>
      <c r="G489" s="30">
        <f t="shared" si="14"/>
        <v>0</v>
      </c>
      <c r="H489" s="11" t="str">
        <f t="shared" si="15"/>
        <v/>
      </c>
    </row>
    <row r="490" spans="1:8" s="23" customFormat="1">
      <c r="A490">
        <f>IFERROR(VLOOKUP(B490,[1]銷貨單品號主檔!$A:$D,4,0),"學習周邊")</f>
        <v>0</v>
      </c>
      <c r="B490"/>
      <c r="C490"/>
      <c r="D490"/>
      <c r="E490"/>
      <c r="F490"/>
      <c r="G490" s="30">
        <f t="shared" si="14"/>
        <v>0</v>
      </c>
      <c r="H490" s="11" t="str">
        <f t="shared" si="15"/>
        <v/>
      </c>
    </row>
    <row r="491" spans="1:8" s="23" customFormat="1">
      <c r="A491">
        <f>IFERROR(VLOOKUP(B491,[1]銷貨單品號主檔!$A:$D,4,0),"學習周邊")</f>
        <v>0</v>
      </c>
      <c r="B491"/>
      <c r="C491"/>
      <c r="D491"/>
      <c r="E491"/>
      <c r="F491"/>
      <c r="G491" s="30">
        <f t="shared" si="14"/>
        <v>0</v>
      </c>
      <c r="H491" s="11" t="str">
        <f t="shared" si="15"/>
        <v/>
      </c>
    </row>
    <row r="492" spans="1:8" s="23" customFormat="1">
      <c r="A492">
        <f>IFERROR(VLOOKUP(B492,[1]銷貨單品號主檔!$A:$D,4,0),"學習周邊")</f>
        <v>0</v>
      </c>
      <c r="B492"/>
      <c r="C492"/>
      <c r="D492"/>
      <c r="E492"/>
      <c r="F492"/>
      <c r="G492" s="30">
        <f t="shared" si="14"/>
        <v>0</v>
      </c>
      <c r="H492" s="11" t="str">
        <f t="shared" si="15"/>
        <v/>
      </c>
    </row>
    <row r="493" spans="1:8" s="23" customFormat="1">
      <c r="A493">
        <f>IFERROR(VLOOKUP(B493,[1]銷貨單品號主檔!$A:$D,4,0),"學習周邊")</f>
        <v>0</v>
      </c>
      <c r="B493"/>
      <c r="C493"/>
      <c r="D493"/>
      <c r="E493"/>
      <c r="F493"/>
      <c r="G493" s="30">
        <f t="shared" si="14"/>
        <v>0</v>
      </c>
      <c r="H493" s="11" t="str">
        <f t="shared" si="15"/>
        <v/>
      </c>
    </row>
    <row r="494" spans="1:8" s="23" customFormat="1">
      <c r="A494">
        <f>IFERROR(VLOOKUP(B494,[1]銷貨單品號主檔!$A:$D,4,0),"學習周邊")</f>
        <v>0</v>
      </c>
      <c r="B494"/>
      <c r="C494"/>
      <c r="D494"/>
      <c r="E494"/>
      <c r="F494"/>
      <c r="G494" s="30">
        <f t="shared" si="14"/>
        <v>0</v>
      </c>
      <c r="H494" s="11" t="str">
        <f t="shared" si="15"/>
        <v/>
      </c>
    </row>
    <row r="495" spans="1:8" s="23" customFormat="1">
      <c r="A495">
        <f>IFERROR(VLOOKUP(B495,[1]銷貨單品號主檔!$A:$D,4,0),"學習周邊")</f>
        <v>0</v>
      </c>
      <c r="B495"/>
      <c r="C495"/>
      <c r="D495"/>
      <c r="E495"/>
      <c r="F495"/>
      <c r="G495" s="30">
        <f t="shared" si="14"/>
        <v>0</v>
      </c>
      <c r="H495" s="11" t="str">
        <f t="shared" si="15"/>
        <v/>
      </c>
    </row>
    <row r="496" spans="1:8" s="23" customFormat="1">
      <c r="A496">
        <f>IFERROR(VLOOKUP(B496,[1]銷貨單品號主檔!$A:$D,4,0),"學習周邊")</f>
        <v>0</v>
      </c>
      <c r="B496"/>
      <c r="C496"/>
      <c r="D496"/>
      <c r="E496"/>
      <c r="F496"/>
      <c r="G496" s="30">
        <f t="shared" si="14"/>
        <v>0</v>
      </c>
      <c r="H496" s="11" t="str">
        <f t="shared" si="15"/>
        <v/>
      </c>
    </row>
    <row r="497" spans="1:8" s="23" customFormat="1">
      <c r="A497">
        <f>IFERROR(VLOOKUP(B497,[1]銷貨單品號主檔!$A:$D,4,0),"學習周邊")</f>
        <v>0</v>
      </c>
      <c r="B497"/>
      <c r="C497"/>
      <c r="D497"/>
      <c r="E497"/>
      <c r="F497"/>
      <c r="G497" s="30">
        <f t="shared" si="14"/>
        <v>0</v>
      </c>
      <c r="H497" s="11" t="str">
        <f t="shared" si="15"/>
        <v/>
      </c>
    </row>
    <row r="498" spans="1:8" s="23" customFormat="1">
      <c r="A498">
        <f>IFERROR(VLOOKUP(B498,[1]銷貨單品號主檔!$A:$D,4,0),"學習周邊")</f>
        <v>0</v>
      </c>
      <c r="B498"/>
      <c r="C498"/>
      <c r="D498"/>
      <c r="E498"/>
      <c r="F498"/>
      <c r="G498" s="30">
        <f t="shared" si="14"/>
        <v>0</v>
      </c>
      <c r="H498" s="11" t="str">
        <f t="shared" si="15"/>
        <v/>
      </c>
    </row>
    <row r="499" spans="1:8" s="23" customFormat="1">
      <c r="A499">
        <f>IFERROR(VLOOKUP(B499,[1]銷貨單品號主檔!$A:$D,4,0),"學習周邊")</f>
        <v>0</v>
      </c>
      <c r="B499"/>
      <c r="C499"/>
      <c r="D499"/>
      <c r="E499"/>
      <c r="F499"/>
      <c r="G499" s="30">
        <f t="shared" si="14"/>
        <v>0</v>
      </c>
      <c r="H499" s="11" t="str">
        <f t="shared" si="15"/>
        <v/>
      </c>
    </row>
    <row r="500" spans="1:8">
      <c r="A500">
        <f>IFERROR(VLOOKUP(B500,[1]銷貨單品號主檔!$A:$D,4,0),"學習周邊")</f>
        <v>0</v>
      </c>
      <c r="G500" s="30">
        <f t="shared" si="14"/>
        <v>0</v>
      </c>
      <c r="H500" s="11" t="str">
        <f t="shared" si="15"/>
        <v/>
      </c>
    </row>
    <row r="501" spans="1:8">
      <c r="A501">
        <f>IFERROR(VLOOKUP(B501,[1]銷貨單品號主檔!$A:$D,4,0),"學習周邊")</f>
        <v>0</v>
      </c>
      <c r="G501" s="30">
        <f t="shared" si="14"/>
        <v>0</v>
      </c>
      <c r="H501" s="11" t="str">
        <f t="shared" si="15"/>
        <v/>
      </c>
    </row>
    <row r="502" spans="1:8">
      <c r="A502">
        <f>IFERROR(VLOOKUP(B502,[1]銷貨單品號主檔!$A:$D,4,0),"學習周邊")</f>
        <v>0</v>
      </c>
      <c r="G502" s="30">
        <f t="shared" si="14"/>
        <v>0</v>
      </c>
      <c r="H502" s="11" t="str">
        <f t="shared" si="15"/>
        <v/>
      </c>
    </row>
    <row r="503" spans="1:8">
      <c r="A503">
        <f>IFERROR(VLOOKUP(B503,[1]銷貨單品號主檔!$A:$D,4,0),"學習周邊")</f>
        <v>0</v>
      </c>
      <c r="G503" s="30">
        <f t="shared" si="14"/>
        <v>0</v>
      </c>
      <c r="H503" s="11" t="str">
        <f t="shared" si="15"/>
        <v/>
      </c>
    </row>
    <row r="504" spans="1:8">
      <c r="A504">
        <f>IFERROR(VLOOKUP(B504,[1]銷貨單品號主檔!$A:$D,4,0),"學習周邊")</f>
        <v>0</v>
      </c>
      <c r="G504" s="30">
        <f t="shared" si="14"/>
        <v>0</v>
      </c>
      <c r="H504" s="11" t="str">
        <f t="shared" si="15"/>
        <v/>
      </c>
    </row>
    <row r="505" spans="1:8">
      <c r="A505">
        <f>IFERROR(VLOOKUP(B505,[1]銷貨單品號主檔!$A:$D,4,0),"學習周邊")</f>
        <v>0</v>
      </c>
      <c r="G505" s="30">
        <f t="shared" si="14"/>
        <v>0</v>
      </c>
      <c r="H505" s="11" t="str">
        <f t="shared" si="15"/>
        <v/>
      </c>
    </row>
    <row r="506" spans="1:8">
      <c r="A506">
        <f>IFERROR(VLOOKUP(B506,[1]銷貨單品號主檔!$A:$D,4,0),"學習周邊")</f>
        <v>0</v>
      </c>
      <c r="G506" s="30">
        <f t="shared" si="14"/>
        <v>0</v>
      </c>
      <c r="H506" s="11" t="str">
        <f t="shared" si="15"/>
        <v/>
      </c>
    </row>
    <row r="507" spans="1:8">
      <c r="A507">
        <f>IFERROR(VLOOKUP(B507,[1]銷貨單品號主檔!$A:$D,4,0),"學習周邊")</f>
        <v>0</v>
      </c>
      <c r="G507" s="30">
        <f t="shared" si="14"/>
        <v>0</v>
      </c>
      <c r="H507" s="11" t="str">
        <f t="shared" si="15"/>
        <v/>
      </c>
    </row>
    <row r="508" spans="1:8">
      <c r="A508">
        <f>IFERROR(VLOOKUP(B508,[1]銷貨單品號主檔!$A:$D,4,0),"學習周邊")</f>
        <v>0</v>
      </c>
      <c r="G508" s="30">
        <f t="shared" si="14"/>
        <v>0</v>
      </c>
      <c r="H508" s="11" t="str">
        <f t="shared" si="15"/>
        <v/>
      </c>
    </row>
    <row r="509" spans="1:8">
      <c r="A509">
        <f>IFERROR(VLOOKUP(B509,[1]銷貨單品號主檔!$A:$D,4,0),"學習周邊")</f>
        <v>0</v>
      </c>
      <c r="G509" s="30">
        <f t="shared" si="14"/>
        <v>0</v>
      </c>
      <c r="H509" s="11" t="str">
        <f t="shared" si="15"/>
        <v/>
      </c>
    </row>
    <row r="510" spans="1:8">
      <c r="A510">
        <f>IFERROR(VLOOKUP(B510,[1]銷貨單品號主檔!$A:$D,4,0),"學習周邊")</f>
        <v>0</v>
      </c>
      <c r="G510" s="30">
        <f t="shared" si="14"/>
        <v>0</v>
      </c>
      <c r="H510" s="11" t="str">
        <f t="shared" si="15"/>
        <v/>
      </c>
    </row>
    <row r="511" spans="1:8">
      <c r="A511">
        <f>IFERROR(VLOOKUP(B511,[1]銷貨單品號主檔!$A:$D,4,0),"學習周邊")</f>
        <v>0</v>
      </c>
      <c r="G511" s="30">
        <f t="shared" si="14"/>
        <v>0</v>
      </c>
      <c r="H511" s="11" t="str">
        <f t="shared" si="15"/>
        <v/>
      </c>
    </row>
    <row r="512" spans="1:8">
      <c r="A512">
        <f>IFERROR(VLOOKUP(B512,[1]銷貨單品號主檔!$A:$D,4,0),"學習周邊")</f>
        <v>0</v>
      </c>
      <c r="G512" s="30">
        <f t="shared" si="14"/>
        <v>0</v>
      </c>
      <c r="H512" s="11" t="str">
        <f t="shared" si="15"/>
        <v/>
      </c>
    </row>
    <row r="513" spans="1:8">
      <c r="A513">
        <f>IFERROR(VLOOKUP(B513,[1]銷貨單品號主檔!$A:$D,4,0),"學習周邊")</f>
        <v>0</v>
      </c>
      <c r="G513" s="30">
        <f t="shared" si="14"/>
        <v>0</v>
      </c>
      <c r="H513" s="11" t="str">
        <f t="shared" si="15"/>
        <v/>
      </c>
    </row>
    <row r="514" spans="1:8">
      <c r="A514">
        <f>IFERROR(VLOOKUP(B514,[1]銷貨單品號主檔!$A:$D,4,0),"學習周邊")</f>
        <v>0</v>
      </c>
      <c r="G514" s="30">
        <f t="shared" si="14"/>
        <v>0</v>
      </c>
      <c r="H514" s="11" t="str">
        <f t="shared" si="15"/>
        <v/>
      </c>
    </row>
    <row r="515" spans="1:8">
      <c r="A515">
        <f>IFERROR(VLOOKUP(B515,[1]銷貨單品號主檔!$A:$D,4,0),"學習周邊")</f>
        <v>0</v>
      </c>
      <c r="G515" s="30">
        <f t="shared" si="14"/>
        <v>0</v>
      </c>
      <c r="H515" s="11" t="str">
        <f t="shared" si="15"/>
        <v/>
      </c>
    </row>
    <row r="516" spans="1:8">
      <c r="A516">
        <f>IFERROR(VLOOKUP(B516,[1]銷貨單品號主檔!$A:$D,4,0),"學習周邊")</f>
        <v>0</v>
      </c>
      <c r="G516" s="30">
        <f t="shared" si="14"/>
        <v>0</v>
      </c>
      <c r="H516" s="11" t="str">
        <f t="shared" si="15"/>
        <v/>
      </c>
    </row>
    <row r="517" spans="1:8">
      <c r="A517">
        <f>IFERROR(VLOOKUP(B517,[1]銷貨單品號主檔!$A:$D,4,0),"學習周邊")</f>
        <v>0</v>
      </c>
      <c r="G517" s="30">
        <f t="shared" ref="G517:G580" si="16">F517/1.05</f>
        <v>0</v>
      </c>
      <c r="H517" s="11" t="str">
        <f t="shared" ref="H517:H580" si="17">IF(C517="","",TEXT(C517,"YYYY/M/D")*1)</f>
        <v/>
      </c>
    </row>
    <row r="518" spans="1:8">
      <c r="A518">
        <f>IFERROR(VLOOKUP(B518,[1]銷貨單品號主檔!$A:$D,4,0),"學習周邊")</f>
        <v>0</v>
      </c>
      <c r="G518" s="30">
        <f t="shared" si="16"/>
        <v>0</v>
      </c>
      <c r="H518" s="11" t="str">
        <f t="shared" si="17"/>
        <v/>
      </c>
    </row>
    <row r="519" spans="1:8">
      <c r="A519">
        <f>IFERROR(VLOOKUP(B519,[1]銷貨單品號主檔!$A:$D,4,0),"學習周邊")</f>
        <v>0</v>
      </c>
      <c r="G519" s="30">
        <f t="shared" si="16"/>
        <v>0</v>
      </c>
      <c r="H519" s="11" t="str">
        <f t="shared" si="17"/>
        <v/>
      </c>
    </row>
    <row r="520" spans="1:8">
      <c r="A520">
        <f>IFERROR(VLOOKUP(B520,[1]銷貨單品號主檔!$A:$D,4,0),"學習周邊")</f>
        <v>0</v>
      </c>
      <c r="G520" s="30">
        <f t="shared" si="16"/>
        <v>0</v>
      </c>
      <c r="H520" s="11" t="str">
        <f t="shared" si="17"/>
        <v/>
      </c>
    </row>
    <row r="521" spans="1:8">
      <c r="A521">
        <f>IFERROR(VLOOKUP(B521,[1]銷貨單品號主檔!$A:$D,4,0),"學習周邊")</f>
        <v>0</v>
      </c>
      <c r="G521" s="30">
        <f t="shared" si="16"/>
        <v>0</v>
      </c>
      <c r="H521" s="11" t="str">
        <f t="shared" si="17"/>
        <v/>
      </c>
    </row>
    <row r="522" spans="1:8">
      <c r="A522">
        <f>IFERROR(VLOOKUP(B522,[1]銷貨單品號主檔!$A:$D,4,0),"學習周邊")</f>
        <v>0</v>
      </c>
      <c r="G522" s="30">
        <f t="shared" si="16"/>
        <v>0</v>
      </c>
      <c r="H522" s="11" t="str">
        <f t="shared" si="17"/>
        <v/>
      </c>
    </row>
    <row r="523" spans="1:8">
      <c r="A523">
        <f>IFERROR(VLOOKUP(B523,[1]銷貨單品號主檔!$A:$D,4,0),"學習周邊")</f>
        <v>0</v>
      </c>
      <c r="G523" s="30">
        <f t="shared" si="16"/>
        <v>0</v>
      </c>
      <c r="H523" s="11" t="str">
        <f t="shared" si="17"/>
        <v/>
      </c>
    </row>
    <row r="524" spans="1:8">
      <c r="A524">
        <f>IFERROR(VLOOKUP(B524,[1]銷貨單品號主檔!$A:$D,4,0),"學習周邊")</f>
        <v>0</v>
      </c>
      <c r="G524" s="30">
        <f t="shared" si="16"/>
        <v>0</v>
      </c>
      <c r="H524" s="11" t="str">
        <f t="shared" si="17"/>
        <v/>
      </c>
    </row>
    <row r="525" spans="1:8">
      <c r="A525">
        <f>IFERROR(VLOOKUP(B525,[1]銷貨單品號主檔!$A:$D,4,0),"學習周邊")</f>
        <v>0</v>
      </c>
      <c r="G525" s="30">
        <f t="shared" si="16"/>
        <v>0</v>
      </c>
      <c r="H525" s="11" t="str">
        <f t="shared" si="17"/>
        <v/>
      </c>
    </row>
    <row r="526" spans="1:8">
      <c r="A526">
        <f>IFERROR(VLOOKUP(B526,[1]銷貨單品號主檔!$A:$D,4,0),"學習周邊")</f>
        <v>0</v>
      </c>
      <c r="G526" s="30">
        <f t="shared" si="16"/>
        <v>0</v>
      </c>
      <c r="H526" s="11" t="str">
        <f t="shared" si="17"/>
        <v/>
      </c>
    </row>
    <row r="527" spans="1:8">
      <c r="A527">
        <f>IFERROR(VLOOKUP(B527,[1]銷貨單品號主檔!$A:$D,4,0),"學習周邊")</f>
        <v>0</v>
      </c>
      <c r="G527" s="30">
        <f t="shared" si="16"/>
        <v>0</v>
      </c>
      <c r="H527" s="11" t="str">
        <f t="shared" si="17"/>
        <v/>
      </c>
    </row>
    <row r="528" spans="1:8">
      <c r="A528">
        <f>IFERROR(VLOOKUP(B528,[1]銷貨單品號主檔!$A:$D,4,0),"學習周邊")</f>
        <v>0</v>
      </c>
      <c r="G528" s="30">
        <f t="shared" si="16"/>
        <v>0</v>
      </c>
      <c r="H528" s="11" t="str">
        <f t="shared" si="17"/>
        <v/>
      </c>
    </row>
    <row r="529" spans="1:8">
      <c r="A529">
        <f>IFERROR(VLOOKUP(B529,[1]銷貨單品號主檔!$A:$D,4,0),"學習周邊")</f>
        <v>0</v>
      </c>
      <c r="G529" s="30">
        <f t="shared" si="16"/>
        <v>0</v>
      </c>
      <c r="H529" s="11" t="str">
        <f t="shared" si="17"/>
        <v/>
      </c>
    </row>
    <row r="530" spans="1:8">
      <c r="A530">
        <f>IFERROR(VLOOKUP(B530,[1]銷貨單品號主檔!$A:$D,4,0),"學習周邊")</f>
        <v>0</v>
      </c>
      <c r="G530" s="30">
        <f t="shared" si="16"/>
        <v>0</v>
      </c>
      <c r="H530" s="11" t="str">
        <f t="shared" si="17"/>
        <v/>
      </c>
    </row>
    <row r="531" spans="1:8">
      <c r="A531">
        <f>IFERROR(VLOOKUP(B531,[1]銷貨單品號主檔!$A:$D,4,0),"學習周邊")</f>
        <v>0</v>
      </c>
      <c r="G531" s="30">
        <f t="shared" si="16"/>
        <v>0</v>
      </c>
      <c r="H531" s="11" t="str">
        <f t="shared" si="17"/>
        <v/>
      </c>
    </row>
    <row r="532" spans="1:8">
      <c r="A532">
        <f>IFERROR(VLOOKUP(B532,[1]銷貨單品號主檔!$A:$D,4,0),"學習周邊")</f>
        <v>0</v>
      </c>
      <c r="G532" s="30">
        <f t="shared" si="16"/>
        <v>0</v>
      </c>
      <c r="H532" s="11" t="str">
        <f t="shared" si="17"/>
        <v/>
      </c>
    </row>
    <row r="533" spans="1:8">
      <c r="A533">
        <f>IFERROR(VLOOKUP(B533,[1]銷貨單品號主檔!$A:$D,4,0),"學習周邊")</f>
        <v>0</v>
      </c>
      <c r="G533" s="30">
        <f t="shared" si="16"/>
        <v>0</v>
      </c>
      <c r="H533" s="11" t="str">
        <f t="shared" si="17"/>
        <v/>
      </c>
    </row>
    <row r="534" spans="1:8">
      <c r="A534">
        <f>IFERROR(VLOOKUP(B534,[1]銷貨單品號主檔!$A:$D,4,0),"學習周邊")</f>
        <v>0</v>
      </c>
      <c r="G534" s="30">
        <f t="shared" si="16"/>
        <v>0</v>
      </c>
      <c r="H534" s="11" t="str">
        <f t="shared" si="17"/>
        <v/>
      </c>
    </row>
    <row r="535" spans="1:8">
      <c r="A535">
        <f>IFERROR(VLOOKUP(B535,[1]銷貨單品號主檔!$A:$D,4,0),"學習周邊")</f>
        <v>0</v>
      </c>
      <c r="G535" s="30">
        <f t="shared" si="16"/>
        <v>0</v>
      </c>
      <c r="H535" s="11" t="str">
        <f t="shared" si="17"/>
        <v/>
      </c>
    </row>
    <row r="536" spans="1:8">
      <c r="A536">
        <f>IFERROR(VLOOKUP(B536,[1]銷貨單品號主檔!$A:$D,4,0),"學習周邊")</f>
        <v>0</v>
      </c>
      <c r="G536" s="30">
        <f t="shared" si="16"/>
        <v>0</v>
      </c>
      <c r="H536" s="11" t="str">
        <f t="shared" si="17"/>
        <v/>
      </c>
    </row>
    <row r="537" spans="1:8">
      <c r="A537">
        <f>IFERROR(VLOOKUP(B537,[1]銷貨單品號主檔!$A:$D,4,0),"學習周邊")</f>
        <v>0</v>
      </c>
      <c r="G537" s="30">
        <f t="shared" si="16"/>
        <v>0</v>
      </c>
      <c r="H537" s="11" t="str">
        <f t="shared" si="17"/>
        <v/>
      </c>
    </row>
    <row r="538" spans="1:8">
      <c r="A538">
        <f>IFERROR(VLOOKUP(B538,[1]銷貨單品號主檔!$A:$D,4,0),"學習周邊")</f>
        <v>0</v>
      </c>
      <c r="G538" s="30">
        <f t="shared" si="16"/>
        <v>0</v>
      </c>
      <c r="H538" s="11" t="str">
        <f t="shared" si="17"/>
        <v/>
      </c>
    </row>
    <row r="539" spans="1:8">
      <c r="A539">
        <f>IFERROR(VLOOKUP(B539,[1]銷貨單品號主檔!$A:$D,4,0),"學習周邊")</f>
        <v>0</v>
      </c>
      <c r="G539" s="30">
        <f t="shared" si="16"/>
        <v>0</v>
      </c>
      <c r="H539" s="11" t="str">
        <f t="shared" si="17"/>
        <v/>
      </c>
    </row>
    <row r="540" spans="1:8">
      <c r="A540">
        <f>IFERROR(VLOOKUP(B540,[1]銷貨單品號主檔!$A:$D,4,0),"學習周邊")</f>
        <v>0</v>
      </c>
      <c r="G540" s="30">
        <f t="shared" si="16"/>
        <v>0</v>
      </c>
      <c r="H540" s="11" t="str">
        <f t="shared" si="17"/>
        <v/>
      </c>
    </row>
    <row r="541" spans="1:8">
      <c r="A541">
        <f>IFERROR(VLOOKUP(B541,[1]銷貨單品號主檔!$A:$D,4,0),"學習周邊")</f>
        <v>0</v>
      </c>
      <c r="G541" s="30">
        <f t="shared" si="16"/>
        <v>0</v>
      </c>
      <c r="H541" s="11" t="str">
        <f t="shared" si="17"/>
        <v/>
      </c>
    </row>
    <row r="542" spans="1:8">
      <c r="A542">
        <f>IFERROR(VLOOKUP(B542,[1]銷貨單品號主檔!$A:$D,4,0),"學習周邊")</f>
        <v>0</v>
      </c>
      <c r="G542" s="30">
        <f t="shared" si="16"/>
        <v>0</v>
      </c>
      <c r="H542" s="11" t="str">
        <f t="shared" si="17"/>
        <v/>
      </c>
    </row>
    <row r="543" spans="1:8">
      <c r="A543">
        <f>IFERROR(VLOOKUP(B543,[1]銷貨單品號主檔!$A:$D,4,0),"學習周邊")</f>
        <v>0</v>
      </c>
      <c r="G543" s="30">
        <f t="shared" si="16"/>
        <v>0</v>
      </c>
      <c r="H543" s="11" t="str">
        <f t="shared" si="17"/>
        <v/>
      </c>
    </row>
    <row r="544" spans="1:8">
      <c r="A544">
        <f>IFERROR(VLOOKUP(B544,[1]銷貨單品號主檔!$A:$D,4,0),"學習周邊")</f>
        <v>0</v>
      </c>
      <c r="G544" s="30">
        <f t="shared" si="16"/>
        <v>0</v>
      </c>
      <c r="H544" s="11" t="str">
        <f t="shared" si="17"/>
        <v/>
      </c>
    </row>
    <row r="545" spans="1:8">
      <c r="A545">
        <f>IFERROR(VLOOKUP(B545,[1]銷貨單品號主檔!$A:$D,4,0),"學習周邊")</f>
        <v>0</v>
      </c>
      <c r="G545" s="30">
        <f t="shared" si="16"/>
        <v>0</v>
      </c>
      <c r="H545" s="11" t="str">
        <f t="shared" si="17"/>
        <v/>
      </c>
    </row>
    <row r="546" spans="1:8">
      <c r="A546">
        <f>IFERROR(VLOOKUP(B546,[1]銷貨單品號主檔!$A:$D,4,0),"學習周邊")</f>
        <v>0</v>
      </c>
      <c r="G546" s="30">
        <f t="shared" si="16"/>
        <v>0</v>
      </c>
      <c r="H546" s="11" t="str">
        <f t="shared" si="17"/>
        <v/>
      </c>
    </row>
    <row r="547" spans="1:8">
      <c r="A547">
        <f>IFERROR(VLOOKUP(B547,[1]銷貨單品號主檔!$A:$D,4,0),"學習周邊")</f>
        <v>0</v>
      </c>
      <c r="G547" s="30">
        <f t="shared" si="16"/>
        <v>0</v>
      </c>
      <c r="H547" s="11" t="str">
        <f t="shared" si="17"/>
        <v/>
      </c>
    </row>
    <row r="548" spans="1:8">
      <c r="A548">
        <f>IFERROR(VLOOKUP(B548,[1]銷貨單品號主檔!$A:$D,4,0),"學習周邊")</f>
        <v>0</v>
      </c>
      <c r="G548" s="30">
        <f t="shared" si="16"/>
        <v>0</v>
      </c>
      <c r="H548" s="11" t="str">
        <f t="shared" si="17"/>
        <v/>
      </c>
    </row>
    <row r="549" spans="1:8">
      <c r="A549">
        <f>IFERROR(VLOOKUP(B549,[1]銷貨單品號主檔!$A:$D,4,0),"學習周邊")</f>
        <v>0</v>
      </c>
      <c r="G549" s="30">
        <f t="shared" si="16"/>
        <v>0</v>
      </c>
      <c r="H549" s="11" t="str">
        <f t="shared" si="17"/>
        <v/>
      </c>
    </row>
    <row r="550" spans="1:8">
      <c r="A550">
        <f>IFERROR(VLOOKUP(B550,[1]銷貨單品號主檔!$A:$D,4,0),"學習周邊")</f>
        <v>0</v>
      </c>
      <c r="G550" s="30">
        <f t="shared" si="16"/>
        <v>0</v>
      </c>
      <c r="H550" s="11" t="str">
        <f t="shared" si="17"/>
        <v/>
      </c>
    </row>
    <row r="551" spans="1:8">
      <c r="A551">
        <f>IFERROR(VLOOKUP(B551,[1]銷貨單品號主檔!$A:$D,4,0),"學習周邊")</f>
        <v>0</v>
      </c>
      <c r="G551" s="30">
        <f t="shared" si="16"/>
        <v>0</v>
      </c>
      <c r="H551" s="11" t="str">
        <f t="shared" si="17"/>
        <v/>
      </c>
    </row>
    <row r="552" spans="1:8">
      <c r="A552">
        <f>IFERROR(VLOOKUP(B552,[1]銷貨單品號主檔!$A:$D,4,0),"學習周邊")</f>
        <v>0</v>
      </c>
      <c r="G552" s="30">
        <f t="shared" si="16"/>
        <v>0</v>
      </c>
      <c r="H552" s="11" t="str">
        <f t="shared" si="17"/>
        <v/>
      </c>
    </row>
    <row r="553" spans="1:8">
      <c r="A553">
        <f>IFERROR(VLOOKUP(B553,[1]銷貨單品號主檔!$A:$D,4,0),"學習周邊")</f>
        <v>0</v>
      </c>
      <c r="G553" s="30">
        <f t="shared" si="16"/>
        <v>0</v>
      </c>
      <c r="H553" s="11" t="str">
        <f t="shared" si="17"/>
        <v/>
      </c>
    </row>
    <row r="554" spans="1:8">
      <c r="A554">
        <f>IFERROR(VLOOKUP(B554,[1]銷貨單品號主檔!$A:$D,4,0),"學習周邊")</f>
        <v>0</v>
      </c>
      <c r="G554" s="30">
        <f t="shared" si="16"/>
        <v>0</v>
      </c>
      <c r="H554" s="11" t="str">
        <f t="shared" si="17"/>
        <v/>
      </c>
    </row>
    <row r="555" spans="1:8">
      <c r="A555">
        <f>IFERROR(VLOOKUP(B555,[1]銷貨單品號主檔!$A:$D,4,0),"學習周邊")</f>
        <v>0</v>
      </c>
      <c r="G555" s="30">
        <f t="shared" si="16"/>
        <v>0</v>
      </c>
      <c r="H555" s="11" t="str">
        <f t="shared" si="17"/>
        <v/>
      </c>
    </row>
    <row r="556" spans="1:8">
      <c r="A556">
        <f>IFERROR(VLOOKUP(B556,[1]銷貨單品號主檔!$A:$D,4,0),"學習周邊")</f>
        <v>0</v>
      </c>
      <c r="G556" s="30">
        <f t="shared" si="16"/>
        <v>0</v>
      </c>
      <c r="H556" s="11" t="str">
        <f t="shared" si="17"/>
        <v/>
      </c>
    </row>
    <row r="557" spans="1:8">
      <c r="A557">
        <f>IFERROR(VLOOKUP(B557,[1]銷貨單品號主檔!$A:$D,4,0),"學習周邊")</f>
        <v>0</v>
      </c>
      <c r="G557" s="30">
        <f t="shared" si="16"/>
        <v>0</v>
      </c>
      <c r="H557" s="11" t="str">
        <f t="shared" si="17"/>
        <v/>
      </c>
    </row>
    <row r="558" spans="1:8">
      <c r="A558">
        <f>IFERROR(VLOOKUP(B558,[1]銷貨單品號主檔!$A:$D,4,0),"學習周邊")</f>
        <v>0</v>
      </c>
      <c r="G558" s="30">
        <f t="shared" si="16"/>
        <v>0</v>
      </c>
      <c r="H558" s="11" t="str">
        <f t="shared" si="17"/>
        <v/>
      </c>
    </row>
    <row r="559" spans="1:8">
      <c r="A559">
        <f>IFERROR(VLOOKUP(B559,[1]銷貨單品號主檔!$A:$D,4,0),"學習周邊")</f>
        <v>0</v>
      </c>
      <c r="G559" s="30">
        <f t="shared" si="16"/>
        <v>0</v>
      </c>
      <c r="H559" s="11" t="str">
        <f t="shared" si="17"/>
        <v/>
      </c>
    </row>
    <row r="560" spans="1:8">
      <c r="A560">
        <f>IFERROR(VLOOKUP(B560,[1]銷貨單品號主檔!$A:$D,4,0),"學習周邊")</f>
        <v>0</v>
      </c>
      <c r="G560" s="30">
        <f t="shared" si="16"/>
        <v>0</v>
      </c>
      <c r="H560" s="11" t="str">
        <f t="shared" si="17"/>
        <v/>
      </c>
    </row>
    <row r="561" spans="1:8">
      <c r="A561">
        <f>IFERROR(VLOOKUP(B561,[1]銷貨單品號主檔!$A:$D,4,0),"學習周邊")</f>
        <v>0</v>
      </c>
      <c r="G561" s="30">
        <f t="shared" si="16"/>
        <v>0</v>
      </c>
      <c r="H561" s="11" t="str">
        <f t="shared" si="17"/>
        <v/>
      </c>
    </row>
    <row r="562" spans="1:8">
      <c r="A562">
        <f>IFERROR(VLOOKUP(B562,[1]銷貨單品號主檔!$A:$D,4,0),"學習周邊")</f>
        <v>0</v>
      </c>
      <c r="G562" s="30">
        <f t="shared" si="16"/>
        <v>0</v>
      </c>
      <c r="H562" s="11" t="str">
        <f t="shared" si="17"/>
        <v/>
      </c>
    </row>
    <row r="563" spans="1:8">
      <c r="A563">
        <f>IFERROR(VLOOKUP(B563,[1]銷貨單品號主檔!$A:$D,4,0),"學習周邊")</f>
        <v>0</v>
      </c>
      <c r="G563" s="30">
        <f t="shared" si="16"/>
        <v>0</v>
      </c>
      <c r="H563" s="11" t="str">
        <f t="shared" si="17"/>
        <v/>
      </c>
    </row>
    <row r="564" spans="1:8">
      <c r="A564">
        <f>IFERROR(VLOOKUP(B564,[1]銷貨單品號主檔!$A:$D,4,0),"學習周邊")</f>
        <v>0</v>
      </c>
      <c r="G564" s="30">
        <f t="shared" si="16"/>
        <v>0</v>
      </c>
      <c r="H564" s="11" t="str">
        <f t="shared" si="17"/>
        <v/>
      </c>
    </row>
    <row r="565" spans="1:8">
      <c r="A565">
        <f>IFERROR(VLOOKUP(B565,[1]銷貨單品號主檔!$A:$D,4,0),"學習周邊")</f>
        <v>0</v>
      </c>
      <c r="G565" s="30">
        <f t="shared" si="16"/>
        <v>0</v>
      </c>
      <c r="H565" s="11" t="str">
        <f t="shared" si="17"/>
        <v/>
      </c>
    </row>
    <row r="566" spans="1:8">
      <c r="A566">
        <f>IFERROR(VLOOKUP(B566,[1]銷貨單品號主檔!$A:$D,4,0),"學習周邊")</f>
        <v>0</v>
      </c>
      <c r="G566" s="30">
        <f t="shared" si="16"/>
        <v>0</v>
      </c>
      <c r="H566" s="11" t="str">
        <f t="shared" si="17"/>
        <v/>
      </c>
    </row>
    <row r="567" spans="1:8">
      <c r="A567">
        <f>IFERROR(VLOOKUP(B567,[1]銷貨單品號主檔!$A:$D,4,0),"學習周邊")</f>
        <v>0</v>
      </c>
      <c r="G567" s="30">
        <f t="shared" si="16"/>
        <v>0</v>
      </c>
      <c r="H567" s="11" t="str">
        <f t="shared" si="17"/>
        <v/>
      </c>
    </row>
    <row r="568" spans="1:8">
      <c r="A568">
        <f>IFERROR(VLOOKUP(B568,[1]銷貨單品號主檔!$A:$D,4,0),"學習周邊")</f>
        <v>0</v>
      </c>
      <c r="G568" s="30">
        <f t="shared" si="16"/>
        <v>0</v>
      </c>
      <c r="H568" s="11" t="str">
        <f t="shared" si="17"/>
        <v/>
      </c>
    </row>
    <row r="569" spans="1:8">
      <c r="A569">
        <f>IFERROR(VLOOKUP(B569,[1]銷貨單品號主檔!$A:$D,4,0),"學習周邊")</f>
        <v>0</v>
      </c>
      <c r="G569" s="30">
        <f t="shared" si="16"/>
        <v>0</v>
      </c>
      <c r="H569" s="11" t="str">
        <f t="shared" si="17"/>
        <v/>
      </c>
    </row>
    <row r="570" spans="1:8">
      <c r="A570">
        <f>IFERROR(VLOOKUP(B570,[1]銷貨單品號主檔!$A:$D,4,0),"學習周邊")</f>
        <v>0</v>
      </c>
      <c r="G570" s="30">
        <f t="shared" si="16"/>
        <v>0</v>
      </c>
      <c r="H570" s="11" t="str">
        <f t="shared" si="17"/>
        <v/>
      </c>
    </row>
    <row r="571" spans="1:8">
      <c r="A571">
        <f>IFERROR(VLOOKUP(B571,[1]銷貨單品號主檔!$A:$D,4,0),"學習周邊")</f>
        <v>0</v>
      </c>
      <c r="G571" s="30">
        <f t="shared" si="16"/>
        <v>0</v>
      </c>
      <c r="H571" s="11" t="str">
        <f t="shared" si="17"/>
        <v/>
      </c>
    </row>
    <row r="572" spans="1:8">
      <c r="A572">
        <f>IFERROR(VLOOKUP(B572,[1]銷貨單品號主檔!$A:$D,4,0),"學習周邊")</f>
        <v>0</v>
      </c>
      <c r="G572" s="30">
        <f t="shared" si="16"/>
        <v>0</v>
      </c>
      <c r="H572" s="11" t="str">
        <f t="shared" si="17"/>
        <v/>
      </c>
    </row>
    <row r="573" spans="1:8">
      <c r="A573">
        <f>IFERROR(VLOOKUP(B573,[1]銷貨單品號主檔!$A:$D,4,0),"學習周邊")</f>
        <v>0</v>
      </c>
      <c r="G573" s="30">
        <f t="shared" si="16"/>
        <v>0</v>
      </c>
      <c r="H573" s="11" t="str">
        <f t="shared" si="17"/>
        <v/>
      </c>
    </row>
    <row r="574" spans="1:8">
      <c r="A574">
        <f>IFERROR(VLOOKUP(B574,[1]銷貨單品號主檔!$A:$D,4,0),"學習周邊")</f>
        <v>0</v>
      </c>
      <c r="G574" s="30">
        <f t="shared" si="16"/>
        <v>0</v>
      </c>
      <c r="H574" s="11" t="str">
        <f t="shared" si="17"/>
        <v/>
      </c>
    </row>
    <row r="575" spans="1:8">
      <c r="A575">
        <f>IFERROR(VLOOKUP(B575,[1]銷貨單品號主檔!$A:$D,4,0),"學習周邊")</f>
        <v>0</v>
      </c>
      <c r="G575" s="30">
        <f t="shared" si="16"/>
        <v>0</v>
      </c>
      <c r="H575" s="11" t="str">
        <f t="shared" si="17"/>
        <v/>
      </c>
    </row>
    <row r="576" spans="1:8">
      <c r="A576">
        <f>IFERROR(VLOOKUP(B576,[1]銷貨單品號主檔!$A:$D,4,0),"學習周邊")</f>
        <v>0</v>
      </c>
      <c r="G576" s="30">
        <f t="shared" si="16"/>
        <v>0</v>
      </c>
      <c r="H576" s="11" t="str">
        <f t="shared" si="17"/>
        <v/>
      </c>
    </row>
    <row r="577" spans="1:8">
      <c r="A577">
        <f>IFERROR(VLOOKUP(B577,[1]銷貨單品號主檔!$A:$D,4,0),"學習周邊")</f>
        <v>0</v>
      </c>
      <c r="G577" s="30">
        <f t="shared" si="16"/>
        <v>0</v>
      </c>
      <c r="H577" s="11" t="str">
        <f t="shared" si="17"/>
        <v/>
      </c>
    </row>
    <row r="578" spans="1:8">
      <c r="A578">
        <f>IFERROR(VLOOKUP(B578,[1]銷貨單品號主檔!$A:$D,4,0),"學習周邊")</f>
        <v>0</v>
      </c>
      <c r="G578" s="30">
        <f t="shared" si="16"/>
        <v>0</v>
      </c>
      <c r="H578" s="11" t="str">
        <f t="shared" si="17"/>
        <v/>
      </c>
    </row>
    <row r="579" spans="1:8">
      <c r="A579">
        <f>IFERROR(VLOOKUP(B579,[1]銷貨單品號主檔!$A:$D,4,0),"學習周邊")</f>
        <v>0</v>
      </c>
      <c r="G579" s="30">
        <f t="shared" si="16"/>
        <v>0</v>
      </c>
      <c r="H579" s="11" t="str">
        <f t="shared" si="17"/>
        <v/>
      </c>
    </row>
    <row r="580" spans="1:8">
      <c r="A580">
        <f>IFERROR(VLOOKUP(B580,[1]銷貨單品號主檔!$A:$D,4,0),"學習周邊")</f>
        <v>0</v>
      </c>
      <c r="G580" s="30">
        <f t="shared" si="16"/>
        <v>0</v>
      </c>
      <c r="H580" s="11" t="str">
        <f t="shared" si="17"/>
        <v/>
      </c>
    </row>
    <row r="581" spans="1:8">
      <c r="A581">
        <f>IFERROR(VLOOKUP(B581,[1]銷貨單品號主檔!$A:$D,4,0),"學習周邊")</f>
        <v>0</v>
      </c>
      <c r="G581" s="30">
        <f t="shared" ref="G581:G644" si="18">F581/1.05</f>
        <v>0</v>
      </c>
      <c r="H581" s="11" t="str">
        <f t="shared" ref="H581:H644" si="19">IF(C581="","",TEXT(C581,"YYYY/M/D")*1)</f>
        <v/>
      </c>
    </row>
    <row r="582" spans="1:8">
      <c r="A582">
        <f>IFERROR(VLOOKUP(B582,[1]銷貨單品號主檔!$A:$D,4,0),"學習周邊")</f>
        <v>0</v>
      </c>
      <c r="G582" s="30">
        <f t="shared" si="18"/>
        <v>0</v>
      </c>
      <c r="H582" s="11" t="str">
        <f t="shared" si="19"/>
        <v/>
      </c>
    </row>
    <row r="583" spans="1:8">
      <c r="A583">
        <f>IFERROR(VLOOKUP(B583,[1]銷貨單品號主檔!$A:$D,4,0),"學習周邊")</f>
        <v>0</v>
      </c>
      <c r="G583" s="30">
        <f t="shared" si="18"/>
        <v>0</v>
      </c>
      <c r="H583" s="11" t="str">
        <f t="shared" si="19"/>
        <v/>
      </c>
    </row>
    <row r="584" spans="1:8">
      <c r="A584">
        <f>IFERROR(VLOOKUP(B584,[1]銷貨單品號主檔!$A:$D,4,0),"學習周邊")</f>
        <v>0</v>
      </c>
      <c r="G584" s="30">
        <f t="shared" si="18"/>
        <v>0</v>
      </c>
      <c r="H584" s="11" t="str">
        <f t="shared" si="19"/>
        <v/>
      </c>
    </row>
    <row r="585" spans="1:8">
      <c r="A585">
        <f>IFERROR(VLOOKUP(B585,[1]銷貨單品號主檔!$A:$D,4,0),"學習周邊")</f>
        <v>0</v>
      </c>
      <c r="G585" s="30">
        <f t="shared" si="18"/>
        <v>0</v>
      </c>
      <c r="H585" s="11" t="str">
        <f t="shared" si="19"/>
        <v/>
      </c>
    </row>
    <row r="586" spans="1:8">
      <c r="A586">
        <f>IFERROR(VLOOKUP(B586,[1]銷貨單品號主檔!$A:$D,4,0),"學習周邊")</f>
        <v>0</v>
      </c>
      <c r="G586" s="30">
        <f t="shared" si="18"/>
        <v>0</v>
      </c>
      <c r="H586" s="11" t="str">
        <f t="shared" si="19"/>
        <v/>
      </c>
    </row>
    <row r="587" spans="1:8">
      <c r="A587">
        <f>IFERROR(VLOOKUP(B587,[1]銷貨單品號主檔!$A:$D,4,0),"學習周邊")</f>
        <v>0</v>
      </c>
      <c r="G587" s="30">
        <f t="shared" si="18"/>
        <v>0</v>
      </c>
      <c r="H587" s="11" t="str">
        <f t="shared" si="19"/>
        <v/>
      </c>
    </row>
    <row r="588" spans="1:8">
      <c r="A588">
        <f>IFERROR(VLOOKUP(B588,[1]銷貨單品號主檔!$A:$D,4,0),"學習周邊")</f>
        <v>0</v>
      </c>
      <c r="G588" s="30">
        <f t="shared" si="18"/>
        <v>0</v>
      </c>
      <c r="H588" s="11" t="str">
        <f t="shared" si="19"/>
        <v/>
      </c>
    </row>
    <row r="589" spans="1:8">
      <c r="A589">
        <f>IFERROR(VLOOKUP(B589,[1]銷貨單品號主檔!$A:$D,4,0),"學習周邊")</f>
        <v>0</v>
      </c>
      <c r="G589" s="30">
        <f t="shared" si="18"/>
        <v>0</v>
      </c>
      <c r="H589" s="11" t="str">
        <f t="shared" si="19"/>
        <v/>
      </c>
    </row>
    <row r="590" spans="1:8">
      <c r="A590">
        <f>IFERROR(VLOOKUP(B590,[1]銷貨單品號主檔!$A:$D,4,0),"學習周邊")</f>
        <v>0</v>
      </c>
      <c r="G590" s="30">
        <f t="shared" si="18"/>
        <v>0</v>
      </c>
      <c r="H590" s="11" t="str">
        <f t="shared" si="19"/>
        <v/>
      </c>
    </row>
    <row r="591" spans="1:8">
      <c r="A591">
        <f>IFERROR(VLOOKUP(B591,[1]銷貨單品號主檔!$A:$D,4,0),"學習周邊")</f>
        <v>0</v>
      </c>
      <c r="G591" s="30">
        <f t="shared" si="18"/>
        <v>0</v>
      </c>
      <c r="H591" s="11" t="str">
        <f t="shared" si="19"/>
        <v/>
      </c>
    </row>
    <row r="592" spans="1:8">
      <c r="A592">
        <f>IFERROR(VLOOKUP(B592,[1]銷貨單品號主檔!$A:$D,4,0),"學習周邊")</f>
        <v>0</v>
      </c>
      <c r="G592" s="30">
        <f t="shared" si="18"/>
        <v>0</v>
      </c>
      <c r="H592" s="11" t="str">
        <f t="shared" si="19"/>
        <v/>
      </c>
    </row>
    <row r="593" spans="1:8">
      <c r="A593">
        <f>IFERROR(VLOOKUP(B593,[1]銷貨單品號主檔!$A:$D,4,0),"學習周邊")</f>
        <v>0</v>
      </c>
      <c r="G593" s="30">
        <f t="shared" si="18"/>
        <v>0</v>
      </c>
      <c r="H593" s="11" t="str">
        <f t="shared" si="19"/>
        <v/>
      </c>
    </row>
    <row r="594" spans="1:8">
      <c r="A594">
        <f>IFERROR(VLOOKUP(B594,[1]銷貨單品號主檔!$A:$D,4,0),"學習周邊")</f>
        <v>0</v>
      </c>
      <c r="G594" s="30">
        <f t="shared" si="18"/>
        <v>0</v>
      </c>
      <c r="H594" s="11" t="str">
        <f t="shared" si="19"/>
        <v/>
      </c>
    </row>
    <row r="595" spans="1:8">
      <c r="A595">
        <f>IFERROR(VLOOKUP(B595,[1]銷貨單品號主檔!$A:$D,4,0),"學習周邊")</f>
        <v>0</v>
      </c>
      <c r="G595" s="30">
        <f t="shared" si="18"/>
        <v>0</v>
      </c>
      <c r="H595" s="11" t="str">
        <f t="shared" si="19"/>
        <v/>
      </c>
    </row>
    <row r="596" spans="1:8">
      <c r="A596">
        <f>IFERROR(VLOOKUP(B596,[1]銷貨單品號主檔!$A:$D,4,0),"學習周邊")</f>
        <v>0</v>
      </c>
      <c r="G596" s="30">
        <f t="shared" si="18"/>
        <v>0</v>
      </c>
      <c r="H596" s="11" t="str">
        <f t="shared" si="19"/>
        <v/>
      </c>
    </row>
    <row r="597" spans="1:8">
      <c r="A597">
        <f>IFERROR(VLOOKUP(B597,[1]銷貨單品號主檔!$A:$D,4,0),"學習周邊")</f>
        <v>0</v>
      </c>
      <c r="G597" s="30">
        <f t="shared" si="18"/>
        <v>0</v>
      </c>
      <c r="H597" s="11" t="str">
        <f t="shared" si="19"/>
        <v/>
      </c>
    </row>
    <row r="598" spans="1:8">
      <c r="A598">
        <f>IFERROR(VLOOKUP(B598,[1]銷貨單品號主檔!$A:$D,4,0),"學習周邊")</f>
        <v>0</v>
      </c>
      <c r="G598" s="30">
        <f t="shared" si="18"/>
        <v>0</v>
      </c>
      <c r="H598" s="11" t="str">
        <f t="shared" si="19"/>
        <v/>
      </c>
    </row>
    <row r="599" spans="1:8">
      <c r="A599">
        <f>IFERROR(VLOOKUP(B599,[1]銷貨單品號主檔!$A:$D,4,0),"學習周邊")</f>
        <v>0</v>
      </c>
      <c r="G599" s="30">
        <f t="shared" si="18"/>
        <v>0</v>
      </c>
      <c r="H599" s="11" t="str">
        <f t="shared" si="19"/>
        <v/>
      </c>
    </row>
    <row r="600" spans="1:8">
      <c r="A600">
        <f>IFERROR(VLOOKUP(B600,[1]銷貨單品號主檔!$A:$D,4,0),"學習周邊")</f>
        <v>0</v>
      </c>
      <c r="G600" s="30">
        <f t="shared" si="18"/>
        <v>0</v>
      </c>
      <c r="H600" s="11" t="str">
        <f t="shared" si="19"/>
        <v/>
      </c>
    </row>
    <row r="601" spans="1:8">
      <c r="A601">
        <f>IFERROR(VLOOKUP(B601,[1]銷貨單品號主檔!$A:$D,4,0),"學習周邊")</f>
        <v>0</v>
      </c>
      <c r="G601" s="30">
        <f t="shared" si="18"/>
        <v>0</v>
      </c>
      <c r="H601" s="11" t="str">
        <f t="shared" si="19"/>
        <v/>
      </c>
    </row>
    <row r="602" spans="1:8">
      <c r="A602">
        <f>IFERROR(VLOOKUP(B602,[1]銷貨單品號主檔!$A:$D,4,0),"學習周邊")</f>
        <v>0</v>
      </c>
      <c r="G602" s="30">
        <f t="shared" si="18"/>
        <v>0</v>
      </c>
      <c r="H602" s="11" t="str">
        <f t="shared" si="19"/>
        <v/>
      </c>
    </row>
    <row r="603" spans="1:8">
      <c r="A603">
        <f>IFERROR(VLOOKUP(B603,[1]銷貨單品號主檔!$A:$D,4,0),"學習周邊")</f>
        <v>0</v>
      </c>
      <c r="G603" s="30">
        <f t="shared" si="18"/>
        <v>0</v>
      </c>
      <c r="H603" s="11" t="str">
        <f t="shared" si="19"/>
        <v/>
      </c>
    </row>
    <row r="604" spans="1:8">
      <c r="A604">
        <f>IFERROR(VLOOKUP(B604,[1]銷貨單品號主檔!$A:$D,4,0),"學習周邊")</f>
        <v>0</v>
      </c>
      <c r="G604" s="30">
        <f t="shared" si="18"/>
        <v>0</v>
      </c>
      <c r="H604" s="11" t="str">
        <f t="shared" si="19"/>
        <v/>
      </c>
    </row>
    <row r="605" spans="1:8">
      <c r="A605">
        <f>IFERROR(VLOOKUP(B605,[1]銷貨單品號主檔!$A:$D,4,0),"學習周邊")</f>
        <v>0</v>
      </c>
      <c r="G605" s="30">
        <f t="shared" si="18"/>
        <v>0</v>
      </c>
      <c r="H605" s="11" t="str">
        <f t="shared" si="19"/>
        <v/>
      </c>
    </row>
    <row r="606" spans="1:8">
      <c r="A606">
        <f>IFERROR(VLOOKUP(B606,[1]銷貨單品號主檔!$A:$D,4,0),"學習周邊")</f>
        <v>0</v>
      </c>
      <c r="G606" s="30">
        <f t="shared" si="18"/>
        <v>0</v>
      </c>
      <c r="H606" s="11" t="str">
        <f t="shared" si="19"/>
        <v/>
      </c>
    </row>
    <row r="607" spans="1:8">
      <c r="A607">
        <f>IFERROR(VLOOKUP(B607,[1]銷貨單品號主檔!$A:$D,4,0),"學習周邊")</f>
        <v>0</v>
      </c>
      <c r="G607" s="30">
        <f t="shared" si="18"/>
        <v>0</v>
      </c>
      <c r="H607" s="11" t="str">
        <f t="shared" si="19"/>
        <v/>
      </c>
    </row>
    <row r="608" spans="1:8">
      <c r="A608">
        <f>IFERROR(VLOOKUP(B608,[1]銷貨單品號主檔!$A:$D,4,0),"學習周邊")</f>
        <v>0</v>
      </c>
      <c r="G608" s="30">
        <f t="shared" si="18"/>
        <v>0</v>
      </c>
      <c r="H608" s="11" t="str">
        <f t="shared" si="19"/>
        <v/>
      </c>
    </row>
    <row r="609" spans="1:8">
      <c r="A609">
        <f>IFERROR(VLOOKUP(B609,[1]銷貨單品號主檔!$A:$D,4,0),"學習周邊")</f>
        <v>0</v>
      </c>
      <c r="G609" s="30">
        <f t="shared" si="18"/>
        <v>0</v>
      </c>
      <c r="H609" s="11" t="str">
        <f t="shared" si="19"/>
        <v/>
      </c>
    </row>
    <row r="610" spans="1:8">
      <c r="A610">
        <f>IFERROR(VLOOKUP(B610,[1]銷貨單品號主檔!$A:$D,4,0),"學習周邊")</f>
        <v>0</v>
      </c>
      <c r="G610" s="30">
        <f t="shared" si="18"/>
        <v>0</v>
      </c>
      <c r="H610" s="11" t="str">
        <f t="shared" si="19"/>
        <v/>
      </c>
    </row>
    <row r="611" spans="1:8">
      <c r="A611">
        <f>IFERROR(VLOOKUP(B611,[1]銷貨單品號主檔!$A:$D,4,0),"學習周邊")</f>
        <v>0</v>
      </c>
      <c r="G611" s="30">
        <f t="shared" si="18"/>
        <v>0</v>
      </c>
      <c r="H611" s="11" t="str">
        <f t="shared" si="19"/>
        <v/>
      </c>
    </row>
    <row r="612" spans="1:8">
      <c r="A612">
        <f>IFERROR(VLOOKUP(B612,[1]銷貨單品號主檔!$A:$D,4,0),"學習周邊")</f>
        <v>0</v>
      </c>
      <c r="G612" s="30">
        <f t="shared" si="18"/>
        <v>0</v>
      </c>
      <c r="H612" s="11" t="str">
        <f t="shared" si="19"/>
        <v/>
      </c>
    </row>
    <row r="613" spans="1:8">
      <c r="A613">
        <f>IFERROR(VLOOKUP(B613,[1]銷貨單品號主檔!$A:$D,4,0),"學習周邊")</f>
        <v>0</v>
      </c>
      <c r="G613" s="30">
        <f t="shared" si="18"/>
        <v>0</v>
      </c>
      <c r="H613" s="11" t="str">
        <f t="shared" si="19"/>
        <v/>
      </c>
    </row>
    <row r="614" spans="1:8">
      <c r="A614">
        <f>IFERROR(VLOOKUP(B614,[1]銷貨單品號主檔!$A:$D,4,0),"學習周邊")</f>
        <v>0</v>
      </c>
      <c r="G614" s="30">
        <f t="shared" si="18"/>
        <v>0</v>
      </c>
      <c r="H614" s="11" t="str">
        <f t="shared" si="19"/>
        <v/>
      </c>
    </row>
    <row r="615" spans="1:8">
      <c r="A615">
        <f>IFERROR(VLOOKUP(B615,[1]銷貨單品號主檔!$A:$D,4,0),"學習周邊")</f>
        <v>0</v>
      </c>
      <c r="G615" s="30">
        <f t="shared" si="18"/>
        <v>0</v>
      </c>
      <c r="H615" s="11" t="str">
        <f t="shared" si="19"/>
        <v/>
      </c>
    </row>
    <row r="616" spans="1:8">
      <c r="A616">
        <f>IFERROR(VLOOKUP(B616,[1]銷貨單品號主檔!$A:$D,4,0),"學習周邊")</f>
        <v>0</v>
      </c>
      <c r="G616" s="30">
        <f t="shared" si="18"/>
        <v>0</v>
      </c>
      <c r="H616" s="11" t="str">
        <f t="shared" si="19"/>
        <v/>
      </c>
    </row>
    <row r="617" spans="1:8">
      <c r="A617">
        <f>IFERROR(VLOOKUP(B617,[1]銷貨單品號主檔!$A:$D,4,0),"學習周邊")</f>
        <v>0</v>
      </c>
      <c r="G617" s="30">
        <f t="shared" si="18"/>
        <v>0</v>
      </c>
      <c r="H617" s="11" t="str">
        <f t="shared" si="19"/>
        <v/>
      </c>
    </row>
    <row r="618" spans="1:8">
      <c r="A618">
        <f>IFERROR(VLOOKUP(B618,[1]銷貨單品號主檔!$A:$D,4,0),"學習周邊")</f>
        <v>0</v>
      </c>
      <c r="G618" s="30">
        <f t="shared" si="18"/>
        <v>0</v>
      </c>
      <c r="H618" s="11" t="str">
        <f t="shared" si="19"/>
        <v/>
      </c>
    </row>
    <row r="619" spans="1:8">
      <c r="A619">
        <f>IFERROR(VLOOKUP(B619,[1]銷貨單品號主檔!$A:$D,4,0),"學習周邊")</f>
        <v>0</v>
      </c>
      <c r="G619" s="30">
        <f t="shared" si="18"/>
        <v>0</v>
      </c>
      <c r="H619" s="11" t="str">
        <f t="shared" si="19"/>
        <v/>
      </c>
    </row>
    <row r="620" spans="1:8">
      <c r="A620">
        <f>IFERROR(VLOOKUP(B620,[1]銷貨單品號主檔!$A:$D,4,0),"學習周邊")</f>
        <v>0</v>
      </c>
      <c r="G620" s="30">
        <f t="shared" si="18"/>
        <v>0</v>
      </c>
      <c r="H620" s="11" t="str">
        <f t="shared" si="19"/>
        <v/>
      </c>
    </row>
    <row r="621" spans="1:8">
      <c r="A621">
        <f>IFERROR(VLOOKUP(B621,[1]銷貨單品號主檔!$A:$D,4,0),"學習周邊")</f>
        <v>0</v>
      </c>
      <c r="G621" s="30">
        <f t="shared" si="18"/>
        <v>0</v>
      </c>
      <c r="H621" s="11" t="str">
        <f t="shared" si="19"/>
        <v/>
      </c>
    </row>
    <row r="622" spans="1:8">
      <c r="A622">
        <f>IFERROR(VLOOKUP(B622,[1]銷貨單品號主檔!$A:$D,4,0),"學習周邊")</f>
        <v>0</v>
      </c>
      <c r="G622" s="30">
        <f t="shared" si="18"/>
        <v>0</v>
      </c>
      <c r="H622" s="11" t="str">
        <f t="shared" si="19"/>
        <v/>
      </c>
    </row>
    <row r="623" spans="1:8">
      <c r="A623">
        <f>IFERROR(VLOOKUP(B623,[1]銷貨單品號主檔!$A:$D,4,0),"學習周邊")</f>
        <v>0</v>
      </c>
      <c r="G623" s="30">
        <f t="shared" si="18"/>
        <v>0</v>
      </c>
      <c r="H623" s="11" t="str">
        <f t="shared" si="19"/>
        <v/>
      </c>
    </row>
    <row r="624" spans="1:8">
      <c r="A624">
        <f>IFERROR(VLOOKUP(B624,[1]銷貨單品號主檔!$A:$D,4,0),"學習周邊")</f>
        <v>0</v>
      </c>
      <c r="G624" s="30">
        <f t="shared" si="18"/>
        <v>0</v>
      </c>
      <c r="H624" s="11" t="str">
        <f t="shared" si="19"/>
        <v/>
      </c>
    </row>
    <row r="625" spans="1:8">
      <c r="A625">
        <f>IFERROR(VLOOKUP(B625,[1]銷貨單品號主檔!$A:$D,4,0),"學習周邊")</f>
        <v>0</v>
      </c>
      <c r="G625" s="30">
        <f t="shared" si="18"/>
        <v>0</v>
      </c>
      <c r="H625" s="11" t="str">
        <f t="shared" si="19"/>
        <v/>
      </c>
    </row>
    <row r="626" spans="1:8">
      <c r="A626">
        <f>IFERROR(VLOOKUP(B626,[1]銷貨單品號主檔!$A:$D,4,0),"學習周邊")</f>
        <v>0</v>
      </c>
      <c r="G626" s="30">
        <f t="shared" si="18"/>
        <v>0</v>
      </c>
      <c r="H626" s="11" t="str">
        <f t="shared" si="19"/>
        <v/>
      </c>
    </row>
    <row r="627" spans="1:8">
      <c r="A627">
        <f>IFERROR(VLOOKUP(B627,[1]銷貨單品號主檔!$A:$D,4,0),"學習周邊")</f>
        <v>0</v>
      </c>
      <c r="G627" s="30">
        <f t="shared" si="18"/>
        <v>0</v>
      </c>
      <c r="H627" s="11" t="str">
        <f t="shared" si="19"/>
        <v/>
      </c>
    </row>
    <row r="628" spans="1:8">
      <c r="A628">
        <f>IFERROR(VLOOKUP(B628,[1]銷貨單品號主檔!$A:$D,4,0),"學習周邊")</f>
        <v>0</v>
      </c>
      <c r="G628" s="30">
        <f t="shared" si="18"/>
        <v>0</v>
      </c>
      <c r="H628" s="11" t="str">
        <f t="shared" si="19"/>
        <v/>
      </c>
    </row>
    <row r="629" spans="1:8">
      <c r="A629">
        <f>IFERROR(VLOOKUP(B629,[1]銷貨單品號主檔!$A:$D,4,0),"學習周邊")</f>
        <v>0</v>
      </c>
      <c r="G629" s="30">
        <f t="shared" si="18"/>
        <v>0</v>
      </c>
      <c r="H629" s="11" t="str">
        <f t="shared" si="19"/>
        <v/>
      </c>
    </row>
    <row r="630" spans="1:8">
      <c r="A630">
        <f>IFERROR(VLOOKUP(B630,[1]銷貨單品號主檔!$A:$D,4,0),"學習周邊")</f>
        <v>0</v>
      </c>
      <c r="G630" s="30">
        <f t="shared" si="18"/>
        <v>0</v>
      </c>
      <c r="H630" s="11" t="str">
        <f t="shared" si="19"/>
        <v/>
      </c>
    </row>
    <row r="631" spans="1:8">
      <c r="A631">
        <f>IFERROR(VLOOKUP(B631,[1]銷貨單品號主檔!$A:$D,4,0),"學習周邊")</f>
        <v>0</v>
      </c>
      <c r="G631" s="30">
        <f t="shared" si="18"/>
        <v>0</v>
      </c>
      <c r="H631" s="11" t="str">
        <f t="shared" si="19"/>
        <v/>
      </c>
    </row>
    <row r="632" spans="1:8">
      <c r="A632">
        <f>IFERROR(VLOOKUP(B632,[1]銷貨單品號主檔!$A:$D,4,0),"學習周邊")</f>
        <v>0</v>
      </c>
      <c r="G632" s="30">
        <f t="shared" si="18"/>
        <v>0</v>
      </c>
      <c r="H632" s="11" t="str">
        <f t="shared" si="19"/>
        <v/>
      </c>
    </row>
    <row r="633" spans="1:8">
      <c r="A633">
        <f>IFERROR(VLOOKUP(B633,[1]銷貨單品號主檔!$A:$D,4,0),"學習周邊")</f>
        <v>0</v>
      </c>
      <c r="G633" s="30">
        <f t="shared" si="18"/>
        <v>0</v>
      </c>
      <c r="H633" s="11" t="str">
        <f t="shared" si="19"/>
        <v/>
      </c>
    </row>
    <row r="634" spans="1:8">
      <c r="A634">
        <f>IFERROR(VLOOKUP(B634,[1]銷貨單品號主檔!$A:$D,4,0),"學習周邊")</f>
        <v>0</v>
      </c>
      <c r="G634" s="30">
        <f t="shared" si="18"/>
        <v>0</v>
      </c>
      <c r="H634" s="11" t="str">
        <f t="shared" si="19"/>
        <v/>
      </c>
    </row>
    <row r="635" spans="1:8">
      <c r="A635">
        <f>IFERROR(VLOOKUP(B635,[1]銷貨單品號主檔!$A:$D,4,0),"學習周邊")</f>
        <v>0</v>
      </c>
      <c r="G635" s="30">
        <f t="shared" si="18"/>
        <v>0</v>
      </c>
      <c r="H635" s="11" t="str">
        <f t="shared" si="19"/>
        <v/>
      </c>
    </row>
    <row r="636" spans="1:8">
      <c r="A636">
        <f>IFERROR(VLOOKUP(B636,[1]銷貨單品號主檔!$A:$D,4,0),"學習周邊")</f>
        <v>0</v>
      </c>
      <c r="G636" s="30">
        <f t="shared" si="18"/>
        <v>0</v>
      </c>
      <c r="H636" s="11" t="str">
        <f t="shared" si="19"/>
        <v/>
      </c>
    </row>
    <row r="637" spans="1:8">
      <c r="A637">
        <f>IFERROR(VLOOKUP(B637,[1]銷貨單品號主檔!$A:$D,4,0),"學習周邊")</f>
        <v>0</v>
      </c>
      <c r="G637" s="30">
        <f t="shared" si="18"/>
        <v>0</v>
      </c>
      <c r="H637" s="11" t="str">
        <f t="shared" si="19"/>
        <v/>
      </c>
    </row>
    <row r="638" spans="1:8">
      <c r="A638">
        <f>IFERROR(VLOOKUP(B638,[1]銷貨單品號主檔!$A:$D,4,0),"學習周邊")</f>
        <v>0</v>
      </c>
      <c r="G638" s="30">
        <f t="shared" si="18"/>
        <v>0</v>
      </c>
      <c r="H638" s="11" t="str">
        <f t="shared" si="19"/>
        <v/>
      </c>
    </row>
    <row r="639" spans="1:8">
      <c r="A639">
        <f>IFERROR(VLOOKUP(B639,[1]銷貨單品號主檔!$A:$D,4,0),"學習周邊")</f>
        <v>0</v>
      </c>
      <c r="G639" s="30">
        <f t="shared" si="18"/>
        <v>0</v>
      </c>
      <c r="H639" s="11" t="str">
        <f t="shared" si="19"/>
        <v/>
      </c>
    </row>
    <row r="640" spans="1:8">
      <c r="A640">
        <f>IFERROR(VLOOKUP(B640,[1]銷貨單品號主檔!$A:$D,4,0),"學習周邊")</f>
        <v>0</v>
      </c>
      <c r="G640" s="30">
        <f t="shared" si="18"/>
        <v>0</v>
      </c>
      <c r="H640" s="11" t="str">
        <f t="shared" si="19"/>
        <v/>
      </c>
    </row>
    <row r="641" spans="1:8">
      <c r="A641">
        <f>IFERROR(VLOOKUP(B641,[1]銷貨單品號主檔!$A:$D,4,0),"學習周邊")</f>
        <v>0</v>
      </c>
      <c r="G641" s="30">
        <f t="shared" si="18"/>
        <v>0</v>
      </c>
      <c r="H641" s="11" t="str">
        <f t="shared" si="19"/>
        <v/>
      </c>
    </row>
    <row r="642" spans="1:8">
      <c r="A642">
        <f>IFERROR(VLOOKUP(B642,[1]銷貨單品號主檔!$A:$D,4,0),"學習周邊")</f>
        <v>0</v>
      </c>
      <c r="G642" s="30">
        <f t="shared" si="18"/>
        <v>0</v>
      </c>
      <c r="H642" s="11" t="str">
        <f t="shared" si="19"/>
        <v/>
      </c>
    </row>
    <row r="643" spans="1:8">
      <c r="A643">
        <f>IFERROR(VLOOKUP(B643,[1]銷貨單品號主檔!$A:$D,4,0),"學習周邊")</f>
        <v>0</v>
      </c>
      <c r="G643" s="30">
        <f t="shared" si="18"/>
        <v>0</v>
      </c>
      <c r="H643" s="11" t="str">
        <f t="shared" si="19"/>
        <v/>
      </c>
    </row>
    <row r="644" spans="1:8">
      <c r="A644">
        <f>IFERROR(VLOOKUP(B644,[1]銷貨單品號主檔!$A:$D,4,0),"學習周邊")</f>
        <v>0</v>
      </c>
      <c r="G644" s="30">
        <f t="shared" si="18"/>
        <v>0</v>
      </c>
      <c r="H644" s="11" t="str">
        <f t="shared" si="19"/>
        <v/>
      </c>
    </row>
    <row r="645" spans="1:8">
      <c r="A645">
        <f>IFERROR(VLOOKUP(B645,[1]銷貨單品號主檔!$A:$D,4,0),"學習周邊")</f>
        <v>0</v>
      </c>
      <c r="G645" s="30">
        <f t="shared" ref="G645:G699" si="20">F645/1.05</f>
        <v>0</v>
      </c>
      <c r="H645" s="11" t="str">
        <f t="shared" ref="H645:H699" si="21">IF(C645="","",TEXT(C645,"YYYY/M/D")*1)</f>
        <v/>
      </c>
    </row>
    <row r="646" spans="1:8">
      <c r="A646">
        <f>IFERROR(VLOOKUP(B646,[1]銷貨單品號主檔!$A:$D,4,0),"學習周邊")</f>
        <v>0</v>
      </c>
      <c r="G646" s="30">
        <f t="shared" si="20"/>
        <v>0</v>
      </c>
      <c r="H646" s="11" t="str">
        <f t="shared" si="21"/>
        <v/>
      </c>
    </row>
    <row r="647" spans="1:8">
      <c r="A647">
        <f>IFERROR(VLOOKUP(B647,[1]銷貨單品號主檔!$A:$D,4,0),"學習周邊")</f>
        <v>0</v>
      </c>
      <c r="G647" s="30">
        <f t="shared" si="20"/>
        <v>0</v>
      </c>
      <c r="H647" s="11" t="str">
        <f t="shared" si="21"/>
        <v/>
      </c>
    </row>
    <row r="648" spans="1:8">
      <c r="A648">
        <f>IFERROR(VLOOKUP(B648,[1]銷貨單品號主檔!$A:$D,4,0),"學習周邊")</f>
        <v>0</v>
      </c>
      <c r="G648" s="30">
        <f t="shared" si="20"/>
        <v>0</v>
      </c>
      <c r="H648" s="11" t="str">
        <f t="shared" si="21"/>
        <v/>
      </c>
    </row>
    <row r="649" spans="1:8">
      <c r="A649">
        <f>IFERROR(VLOOKUP(B649,[1]銷貨單品號主檔!$A:$D,4,0),"學習周邊")</f>
        <v>0</v>
      </c>
      <c r="G649" s="30">
        <f t="shared" si="20"/>
        <v>0</v>
      </c>
      <c r="H649" s="11" t="str">
        <f t="shared" si="21"/>
        <v/>
      </c>
    </row>
    <row r="650" spans="1:8">
      <c r="A650">
        <f>IFERROR(VLOOKUP(B650,[1]銷貨單品號主檔!$A:$D,4,0),"學習周邊")</f>
        <v>0</v>
      </c>
      <c r="G650" s="30">
        <f t="shared" si="20"/>
        <v>0</v>
      </c>
      <c r="H650" s="11" t="str">
        <f t="shared" si="21"/>
        <v/>
      </c>
    </row>
    <row r="651" spans="1:8">
      <c r="A651">
        <f>IFERROR(VLOOKUP(B651,[1]銷貨單品號主檔!$A:$D,4,0),"學習周邊")</f>
        <v>0</v>
      </c>
      <c r="G651" s="30">
        <f t="shared" si="20"/>
        <v>0</v>
      </c>
      <c r="H651" s="11" t="str">
        <f t="shared" si="21"/>
        <v/>
      </c>
    </row>
    <row r="652" spans="1:8">
      <c r="A652">
        <f>IFERROR(VLOOKUP(B652,[1]銷貨單品號主檔!$A:$D,4,0),"學習周邊")</f>
        <v>0</v>
      </c>
      <c r="G652" s="30">
        <f t="shared" si="20"/>
        <v>0</v>
      </c>
      <c r="H652" s="11" t="str">
        <f t="shared" si="21"/>
        <v/>
      </c>
    </row>
    <row r="653" spans="1:8">
      <c r="A653">
        <f>IFERROR(VLOOKUP(B653,[1]銷貨單品號主檔!$A:$D,4,0),"學習周邊")</f>
        <v>0</v>
      </c>
      <c r="G653" s="30">
        <f t="shared" si="20"/>
        <v>0</v>
      </c>
      <c r="H653" s="11" t="str">
        <f t="shared" si="21"/>
        <v/>
      </c>
    </row>
    <row r="654" spans="1:8">
      <c r="A654">
        <f>IFERROR(VLOOKUP(B654,[1]銷貨單品號主檔!$A:$D,4,0),"學習周邊")</f>
        <v>0</v>
      </c>
      <c r="G654" s="30">
        <f t="shared" si="20"/>
        <v>0</v>
      </c>
      <c r="H654" s="11" t="str">
        <f t="shared" si="21"/>
        <v/>
      </c>
    </row>
    <row r="655" spans="1:8">
      <c r="A655">
        <f>IFERROR(VLOOKUP(B655,[1]銷貨單品號主檔!$A:$D,4,0),"學習周邊")</f>
        <v>0</v>
      </c>
      <c r="G655" s="30">
        <f t="shared" si="20"/>
        <v>0</v>
      </c>
      <c r="H655" s="11" t="str">
        <f t="shared" si="21"/>
        <v/>
      </c>
    </row>
    <row r="656" spans="1:8">
      <c r="A656">
        <f>IFERROR(VLOOKUP(B656,[1]銷貨單品號主檔!$A:$D,4,0),"學習周邊")</f>
        <v>0</v>
      </c>
      <c r="G656" s="30">
        <f t="shared" si="20"/>
        <v>0</v>
      </c>
      <c r="H656" s="11" t="str">
        <f t="shared" si="21"/>
        <v/>
      </c>
    </row>
    <row r="657" spans="1:8">
      <c r="A657">
        <f>IFERROR(VLOOKUP(B657,[1]銷貨單品號主檔!$A:$D,4,0),"學習周邊")</f>
        <v>0</v>
      </c>
      <c r="G657" s="30">
        <f t="shared" si="20"/>
        <v>0</v>
      </c>
      <c r="H657" s="11" t="str">
        <f t="shared" si="21"/>
        <v/>
      </c>
    </row>
    <row r="658" spans="1:8">
      <c r="A658">
        <f>IFERROR(VLOOKUP(B658,[1]銷貨單品號主檔!$A:$D,4,0),"學習周邊")</f>
        <v>0</v>
      </c>
      <c r="G658" s="30">
        <f t="shared" si="20"/>
        <v>0</v>
      </c>
      <c r="H658" s="11" t="str">
        <f t="shared" si="21"/>
        <v/>
      </c>
    </row>
    <row r="659" spans="1:8">
      <c r="A659">
        <f>IFERROR(VLOOKUP(B659,[1]銷貨單品號主檔!$A:$D,4,0),"學習周邊")</f>
        <v>0</v>
      </c>
      <c r="G659" s="30">
        <f t="shared" si="20"/>
        <v>0</v>
      </c>
      <c r="H659" s="11" t="str">
        <f t="shared" si="21"/>
        <v/>
      </c>
    </row>
    <row r="660" spans="1:8">
      <c r="A660">
        <f>IFERROR(VLOOKUP(B660,[1]銷貨單品號主檔!$A:$D,4,0),"學習周邊")</f>
        <v>0</v>
      </c>
      <c r="G660" s="30">
        <f t="shared" si="20"/>
        <v>0</v>
      </c>
      <c r="H660" s="11" t="str">
        <f t="shared" si="21"/>
        <v/>
      </c>
    </row>
    <row r="661" spans="1:8">
      <c r="A661">
        <f>IFERROR(VLOOKUP(B661,[1]銷貨單品號主檔!$A:$D,4,0),"學習周邊")</f>
        <v>0</v>
      </c>
      <c r="G661" s="30">
        <f t="shared" si="20"/>
        <v>0</v>
      </c>
      <c r="H661" s="11" t="str">
        <f t="shared" si="21"/>
        <v/>
      </c>
    </row>
    <row r="662" spans="1:8">
      <c r="A662">
        <f>IFERROR(VLOOKUP(B662,[1]銷貨單品號主檔!$A:$D,4,0),"學習周邊")</f>
        <v>0</v>
      </c>
      <c r="G662" s="30">
        <f t="shared" si="20"/>
        <v>0</v>
      </c>
      <c r="H662" s="11" t="str">
        <f t="shared" si="21"/>
        <v/>
      </c>
    </row>
    <row r="663" spans="1:8">
      <c r="A663">
        <f>IFERROR(VLOOKUP(B663,[1]銷貨單品號主檔!$A:$D,4,0),"學習周邊")</f>
        <v>0</v>
      </c>
      <c r="G663" s="30">
        <f t="shared" si="20"/>
        <v>0</v>
      </c>
      <c r="H663" s="11" t="str">
        <f t="shared" si="21"/>
        <v/>
      </c>
    </row>
    <row r="664" spans="1:8">
      <c r="A664">
        <f>IFERROR(VLOOKUP(B664,[1]銷貨單品號主檔!$A:$D,4,0),"學習周邊")</f>
        <v>0</v>
      </c>
      <c r="G664" s="30">
        <f t="shared" si="20"/>
        <v>0</v>
      </c>
      <c r="H664" s="11" t="str">
        <f t="shared" si="21"/>
        <v/>
      </c>
    </row>
    <row r="665" spans="1:8">
      <c r="A665">
        <f>IFERROR(VLOOKUP(B665,[1]銷貨單品號主檔!$A:$D,4,0),"學習周邊")</f>
        <v>0</v>
      </c>
      <c r="G665" s="30">
        <f t="shared" si="20"/>
        <v>0</v>
      </c>
      <c r="H665" s="11" t="str">
        <f t="shared" si="21"/>
        <v/>
      </c>
    </row>
    <row r="666" spans="1:8">
      <c r="A666">
        <f>IFERROR(VLOOKUP(B666,[1]銷貨單品號主檔!$A:$D,4,0),"學習周邊")</f>
        <v>0</v>
      </c>
      <c r="G666" s="30">
        <f t="shared" si="20"/>
        <v>0</v>
      </c>
      <c r="H666" s="11" t="str">
        <f t="shared" si="21"/>
        <v/>
      </c>
    </row>
    <row r="667" spans="1:8">
      <c r="A667">
        <f>IFERROR(VLOOKUP(B667,[1]銷貨單品號主檔!$A:$D,4,0),"學習周邊")</f>
        <v>0</v>
      </c>
      <c r="G667" s="30">
        <f t="shared" si="20"/>
        <v>0</v>
      </c>
      <c r="H667" s="11" t="str">
        <f t="shared" si="21"/>
        <v/>
      </c>
    </row>
    <row r="668" spans="1:8">
      <c r="A668">
        <f>IFERROR(VLOOKUP(B668,[1]銷貨單品號主檔!$A:$D,4,0),"學習周邊")</f>
        <v>0</v>
      </c>
      <c r="G668" s="30">
        <f t="shared" si="20"/>
        <v>0</v>
      </c>
      <c r="H668" s="11" t="str">
        <f t="shared" si="21"/>
        <v/>
      </c>
    </row>
    <row r="669" spans="1:8">
      <c r="A669">
        <f>IFERROR(VLOOKUP(B669,[1]銷貨單品號主檔!$A:$D,4,0),"學習周邊")</f>
        <v>0</v>
      </c>
      <c r="G669" s="30">
        <f t="shared" si="20"/>
        <v>0</v>
      </c>
      <c r="H669" s="11" t="str">
        <f t="shared" si="21"/>
        <v/>
      </c>
    </row>
    <row r="670" spans="1:8">
      <c r="A670">
        <f>IFERROR(VLOOKUP(B670,[1]銷貨單品號主檔!$A:$D,4,0),"學習周邊")</f>
        <v>0</v>
      </c>
      <c r="G670" s="30">
        <f t="shared" si="20"/>
        <v>0</v>
      </c>
      <c r="H670" s="11" t="str">
        <f t="shared" si="21"/>
        <v/>
      </c>
    </row>
    <row r="671" spans="1:8">
      <c r="A671">
        <f>IFERROR(VLOOKUP(B671,[1]銷貨單品號主檔!$A:$D,4,0),"學習周邊")</f>
        <v>0</v>
      </c>
      <c r="G671" s="30">
        <f t="shared" si="20"/>
        <v>0</v>
      </c>
      <c r="H671" s="11" t="str">
        <f t="shared" si="21"/>
        <v/>
      </c>
    </row>
    <row r="672" spans="1:8">
      <c r="A672">
        <f>IFERROR(VLOOKUP(B672,[1]銷貨單品號主檔!$A:$D,4,0),"學習周邊")</f>
        <v>0</v>
      </c>
      <c r="G672" s="30">
        <f t="shared" si="20"/>
        <v>0</v>
      </c>
      <c r="H672" s="11" t="str">
        <f t="shared" si="21"/>
        <v/>
      </c>
    </row>
    <row r="673" spans="1:8">
      <c r="A673">
        <f>IFERROR(VLOOKUP(B673,[1]銷貨單品號主檔!$A:$D,4,0),"學習周邊")</f>
        <v>0</v>
      </c>
      <c r="G673" s="30">
        <f t="shared" si="20"/>
        <v>0</v>
      </c>
      <c r="H673" s="11" t="str">
        <f t="shared" si="21"/>
        <v/>
      </c>
    </row>
    <row r="674" spans="1:8">
      <c r="A674">
        <f>IFERROR(VLOOKUP(B674,[1]銷貨單品號主檔!$A:$D,4,0),"學習周邊")</f>
        <v>0</v>
      </c>
      <c r="G674" s="30">
        <f t="shared" si="20"/>
        <v>0</v>
      </c>
      <c r="H674" s="11" t="str">
        <f t="shared" si="21"/>
        <v/>
      </c>
    </row>
    <row r="675" spans="1:8">
      <c r="A675">
        <f>IFERROR(VLOOKUP(B675,[1]銷貨單品號主檔!$A:$D,4,0),"學習周邊")</f>
        <v>0</v>
      </c>
      <c r="G675" s="30">
        <f t="shared" si="20"/>
        <v>0</v>
      </c>
      <c r="H675" s="11" t="str">
        <f t="shared" si="21"/>
        <v/>
      </c>
    </row>
    <row r="676" spans="1:8">
      <c r="A676">
        <f>IFERROR(VLOOKUP(B676,[1]銷貨單品號主檔!$A:$D,4,0),"學習周邊")</f>
        <v>0</v>
      </c>
      <c r="G676" s="30">
        <f t="shared" si="20"/>
        <v>0</v>
      </c>
      <c r="H676" s="11" t="str">
        <f t="shared" si="21"/>
        <v/>
      </c>
    </row>
    <row r="677" spans="1:8">
      <c r="A677">
        <f>IFERROR(VLOOKUP(B677,[1]銷貨單品號主檔!$A:$D,4,0),"學習周邊")</f>
        <v>0</v>
      </c>
      <c r="G677" s="30">
        <f t="shared" si="20"/>
        <v>0</v>
      </c>
      <c r="H677" s="11" t="str">
        <f t="shared" si="21"/>
        <v/>
      </c>
    </row>
    <row r="678" spans="1:8">
      <c r="A678">
        <f>IFERROR(VLOOKUP(B678,[1]銷貨單品號主檔!$A:$D,4,0),"學習周邊")</f>
        <v>0</v>
      </c>
      <c r="G678" s="30">
        <f t="shared" si="20"/>
        <v>0</v>
      </c>
      <c r="H678" s="11" t="str">
        <f t="shared" si="21"/>
        <v/>
      </c>
    </row>
    <row r="679" spans="1:8">
      <c r="A679">
        <f>IFERROR(VLOOKUP(B679,[1]銷貨單品號主檔!$A:$D,4,0),"學習周邊")</f>
        <v>0</v>
      </c>
      <c r="G679" s="30">
        <f t="shared" si="20"/>
        <v>0</v>
      </c>
      <c r="H679" s="11" t="str">
        <f t="shared" si="21"/>
        <v/>
      </c>
    </row>
    <row r="680" spans="1:8">
      <c r="A680">
        <f>IFERROR(VLOOKUP(B680,[1]銷貨單品號主檔!$A:$D,4,0),"學習周邊")</f>
        <v>0</v>
      </c>
      <c r="G680" s="30">
        <f t="shared" si="20"/>
        <v>0</v>
      </c>
      <c r="H680" s="11" t="str">
        <f t="shared" si="21"/>
        <v/>
      </c>
    </row>
    <row r="681" spans="1:8">
      <c r="A681">
        <f>IFERROR(VLOOKUP(B681,[1]銷貨單品號主檔!$A:$D,4,0),"學習周邊")</f>
        <v>0</v>
      </c>
      <c r="G681" s="30">
        <f t="shared" si="20"/>
        <v>0</v>
      </c>
      <c r="H681" s="11" t="str">
        <f t="shared" si="21"/>
        <v/>
      </c>
    </row>
    <row r="682" spans="1:8">
      <c r="A682">
        <f>IFERROR(VLOOKUP(B682,[1]銷貨單品號主檔!$A:$D,4,0),"學習周邊")</f>
        <v>0</v>
      </c>
      <c r="G682" s="30">
        <f t="shared" si="20"/>
        <v>0</v>
      </c>
      <c r="H682" s="11" t="str">
        <f t="shared" si="21"/>
        <v/>
      </c>
    </row>
    <row r="683" spans="1:8">
      <c r="A683">
        <f>IFERROR(VLOOKUP(B683,[1]銷貨單品號主檔!$A:$D,4,0),"學習周邊")</f>
        <v>0</v>
      </c>
      <c r="G683" s="30">
        <f t="shared" si="20"/>
        <v>0</v>
      </c>
      <c r="H683" s="11" t="str">
        <f t="shared" si="21"/>
        <v/>
      </c>
    </row>
    <row r="684" spans="1:8">
      <c r="A684">
        <f>IFERROR(VLOOKUP(B684,[1]銷貨單品號主檔!$A:$D,4,0),"學習周邊")</f>
        <v>0</v>
      </c>
      <c r="G684" s="30">
        <f t="shared" si="20"/>
        <v>0</v>
      </c>
      <c r="H684" s="11" t="str">
        <f t="shared" si="21"/>
        <v/>
      </c>
    </row>
    <row r="685" spans="1:8">
      <c r="A685">
        <f>IFERROR(VLOOKUP(B685,[1]銷貨單品號主檔!$A:$D,4,0),"學習周邊")</f>
        <v>0</v>
      </c>
      <c r="G685" s="30">
        <f t="shared" si="20"/>
        <v>0</v>
      </c>
      <c r="H685" s="11" t="str">
        <f t="shared" si="21"/>
        <v/>
      </c>
    </row>
    <row r="686" spans="1:8">
      <c r="A686">
        <f>IFERROR(VLOOKUP(B686,[1]銷貨單品號主檔!$A:$D,4,0),"學習周邊")</f>
        <v>0</v>
      </c>
      <c r="G686" s="30">
        <f t="shared" si="20"/>
        <v>0</v>
      </c>
      <c r="H686" s="11" t="str">
        <f t="shared" si="21"/>
        <v/>
      </c>
    </row>
    <row r="687" spans="1:8">
      <c r="A687">
        <f>IFERROR(VLOOKUP(B687,[1]銷貨單品號主檔!$A:$D,4,0),"學習周邊")</f>
        <v>0</v>
      </c>
      <c r="G687" s="30">
        <f t="shared" si="20"/>
        <v>0</v>
      </c>
      <c r="H687" s="11" t="str">
        <f t="shared" si="21"/>
        <v/>
      </c>
    </row>
    <row r="688" spans="1:8">
      <c r="A688">
        <f>IFERROR(VLOOKUP(B688,[1]銷貨單品號主檔!$A:$D,4,0),"學習周邊")</f>
        <v>0</v>
      </c>
      <c r="G688" s="30">
        <f t="shared" si="20"/>
        <v>0</v>
      </c>
      <c r="H688" s="11" t="str">
        <f t="shared" si="21"/>
        <v/>
      </c>
    </row>
    <row r="689" spans="1:8">
      <c r="A689">
        <f>IFERROR(VLOOKUP(B689,[1]銷貨單品號主檔!$A:$D,4,0),"學習周邊")</f>
        <v>0</v>
      </c>
      <c r="G689" s="30">
        <f t="shared" si="20"/>
        <v>0</v>
      </c>
      <c r="H689" s="11" t="str">
        <f t="shared" si="21"/>
        <v/>
      </c>
    </row>
    <row r="690" spans="1:8">
      <c r="A690">
        <f>IFERROR(VLOOKUP(B690,[1]銷貨單品號主檔!$A:$D,4,0),"學習周邊")</f>
        <v>0</v>
      </c>
      <c r="G690" s="30">
        <f t="shared" si="20"/>
        <v>0</v>
      </c>
      <c r="H690" s="11" t="str">
        <f t="shared" si="21"/>
        <v/>
      </c>
    </row>
    <row r="691" spans="1:8">
      <c r="A691">
        <f>IFERROR(VLOOKUP(B691,[1]銷貨單品號主檔!$A:$D,4,0),"學習周邊")</f>
        <v>0</v>
      </c>
      <c r="G691" s="30">
        <f t="shared" si="20"/>
        <v>0</v>
      </c>
      <c r="H691" s="11" t="str">
        <f t="shared" si="21"/>
        <v/>
      </c>
    </row>
    <row r="692" spans="1:8">
      <c r="A692">
        <f>IFERROR(VLOOKUP(B692,[1]銷貨單品號主檔!$A:$D,4,0),"學習周邊")</f>
        <v>0</v>
      </c>
      <c r="G692" s="30">
        <f t="shared" si="20"/>
        <v>0</v>
      </c>
      <c r="H692" s="11" t="str">
        <f t="shared" si="21"/>
        <v/>
      </c>
    </row>
    <row r="693" spans="1:8">
      <c r="A693">
        <f>IFERROR(VLOOKUP(B693,[1]銷貨單品號主檔!$A:$D,4,0),"學習周邊")</f>
        <v>0</v>
      </c>
      <c r="G693" s="30">
        <f t="shared" si="20"/>
        <v>0</v>
      </c>
      <c r="H693" s="11" t="str">
        <f t="shared" si="21"/>
        <v/>
      </c>
    </row>
    <row r="694" spans="1:8">
      <c r="A694">
        <f>IFERROR(VLOOKUP(B694,[1]銷貨單品號主檔!$A:$D,4,0),"學習周邊")</f>
        <v>0</v>
      </c>
      <c r="G694" s="30">
        <f t="shared" si="20"/>
        <v>0</v>
      </c>
      <c r="H694" s="11" t="str">
        <f t="shared" si="21"/>
        <v/>
      </c>
    </row>
    <row r="695" spans="1:8">
      <c r="A695">
        <f>IFERROR(VLOOKUP(B695,[1]銷貨單品號主檔!$A:$D,4,0),"學習周邊")</f>
        <v>0</v>
      </c>
      <c r="G695" s="30">
        <f t="shared" si="20"/>
        <v>0</v>
      </c>
      <c r="H695" s="11" t="str">
        <f t="shared" si="21"/>
        <v/>
      </c>
    </row>
    <row r="696" spans="1:8">
      <c r="A696">
        <f>IFERROR(VLOOKUP(B696,[1]銷貨單品號主檔!$A:$D,4,0),"學習周邊")</f>
        <v>0</v>
      </c>
      <c r="G696" s="30">
        <f t="shared" si="20"/>
        <v>0</v>
      </c>
      <c r="H696" s="11" t="str">
        <f t="shared" si="21"/>
        <v/>
      </c>
    </row>
    <row r="697" spans="1:8">
      <c r="A697">
        <f>IFERROR(VLOOKUP(B697,[1]銷貨單品號主檔!$A:$D,4,0),"學習周邊")</f>
        <v>0</v>
      </c>
      <c r="G697" s="30">
        <f t="shared" si="20"/>
        <v>0</v>
      </c>
      <c r="H697" s="11" t="str">
        <f t="shared" si="21"/>
        <v/>
      </c>
    </row>
    <row r="698" spans="1:8">
      <c r="A698">
        <f>IFERROR(VLOOKUP(B698,[1]銷貨單品號主檔!$A:$D,4,0),"學習周邊")</f>
        <v>0</v>
      </c>
      <c r="G698" s="30">
        <f t="shared" si="20"/>
        <v>0</v>
      </c>
      <c r="H698" s="11" t="str">
        <f t="shared" si="21"/>
        <v/>
      </c>
    </row>
    <row r="699" spans="1:8">
      <c r="A699">
        <f>IFERROR(VLOOKUP(B699,[1]銷貨單品號主檔!$A:$D,4,0),"學習周邊")</f>
        <v>0</v>
      </c>
      <c r="G699" s="30">
        <f t="shared" si="20"/>
        <v>0</v>
      </c>
      <c r="H699" s="11" t="str">
        <f t="shared" si="21"/>
        <v/>
      </c>
    </row>
  </sheetData>
  <phoneticPr fontId="4" type="noConversion"/>
  <conditionalFormatting sqref="A3:A699">
    <cfRule type="cellIs" dxfId="65" priority="6" operator="equal">
      <formula>"Mirafeel"</formula>
    </cfRule>
    <cfRule type="cellIs" dxfId="64" priority="7" operator="equal">
      <formula>"學習"</formula>
    </cfRule>
  </conditionalFormatting>
  <conditionalFormatting sqref="A4:A699">
    <cfRule type="cellIs" dxfId="63" priority="5" operator="equal">
      <formula>"生活周邊"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9572-C79A-40A9-B8F8-537D9803E6AC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5C5F-1528-4ECE-B124-9693521BF638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4918-6C8E-4CF0-9B83-FD4321DFFE3D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A17C-0400-4236-986A-26A39BEB11E1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34C1-1222-4531-82EB-E255E0570F96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BD55-9AD1-4B0F-8009-4BB784F62AEA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7BAC-8551-403B-8FE8-1584541964BB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9BA0-C4DE-4FA0-B50B-722C65325F25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A6F1-A097-4B32-8DD8-FD61252CB66A}">
  <dimension ref="A1"/>
  <sheetViews>
    <sheetView workbookViewId="0"/>
  </sheetViews>
  <sheetFormatPr defaultRowHeight="15.75"/>
  <sheetData/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FBAA-4FEB-4B0B-A385-D1503CFD5410}">
  <dimension ref="A1"/>
  <sheetViews>
    <sheetView workbookViewId="0">
      <selection activeCell="M26" sqref="M26"/>
    </sheetView>
  </sheetViews>
  <sheetFormatPr defaultRowHeight="15.75"/>
  <sheetData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960DC1CFB1A488E9684ED70108A56" ma:contentTypeVersion="3" ma:contentTypeDescription="Create a new document." ma:contentTypeScope="" ma:versionID="81461b283cedc299c618c4f138c52780">
  <xsd:schema xmlns:xsd="http://www.w3.org/2001/XMLSchema" xmlns:xs="http://www.w3.org/2001/XMLSchema" xmlns:p="http://schemas.microsoft.com/office/2006/metadata/properties" xmlns:ns2="d690bfb9-cd98-4eba-8fbd-3265b6a2feeb" targetNamespace="http://schemas.microsoft.com/office/2006/metadata/properties" ma:root="true" ma:fieldsID="4476418282aeb7efdd01d59b78a0d897" ns2:_="">
    <xsd:import namespace="d690bfb9-cd98-4eba-8fbd-3265b6a2f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0bfb9-cd98-4eba-8fbd-3265b6a2f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898DC0-37D5-4618-9C01-A93353DF65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270048-ACBF-4A25-BD02-C1436DF36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0bfb9-cd98-4eba-8fbd-3265b6a2fe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9D464D-2934-4DB5-821A-B2ADD17A6A5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d690bfb9-cd98-4eba-8fbd-3265b6a2feeb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國定假日表</vt:lpstr>
      <vt:lpstr>年度工作天</vt:lpstr>
      <vt:lpstr>管道定義</vt:lpstr>
      <vt:lpstr>2604WEB&amp;KOL</vt:lpstr>
      <vt:lpstr>2604 EC</vt:lpstr>
      <vt:lpstr>2604TM</vt:lpstr>
      <vt:lpstr>2605WEB&amp;KOL</vt:lpstr>
      <vt:lpstr>2605EC</vt:lpstr>
      <vt:lpstr>2605TM</vt:lpstr>
      <vt:lpstr>2606</vt:lpstr>
      <vt:lpstr>2607</vt:lpstr>
      <vt:lpstr>2608</vt:lpstr>
      <vt:lpstr>2609</vt:lpstr>
      <vt:lpstr>2610</vt:lpstr>
      <vt:lpstr>2611</vt:lpstr>
      <vt:lpstr>2612</vt:lpstr>
      <vt:lpstr>2701</vt:lpstr>
      <vt:lpstr>2702</vt:lpstr>
      <vt:lpstr>2703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王詩雅</dc:creator>
  <cp:lastModifiedBy>王詩雅</cp:lastModifiedBy>
  <dcterms:created xsi:type="dcterms:W3CDTF">2026-04-22T03:49:21Z</dcterms:created>
  <dcterms:modified xsi:type="dcterms:W3CDTF">2026-05-07T01:50:17Z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0x01010025E960DC1CFB1A488E9684ED70108A56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